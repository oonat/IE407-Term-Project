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28f8d26f624cd18d39-my.sharepoint.com/personal/e246801_metu_edu_tr/Documents/"/>
    </mc:Choice>
  </mc:AlternateContent>
  <xr:revisionPtr revIDLastSave="0" documentId="8_{CC22ABA5-2090-448E-BF13-B076D4183101}" xr6:coauthVersionLast="46" xr6:coauthVersionMax="46" xr10:uidLastSave="{00000000-0000-0000-0000-000000000000}"/>
  <bookViews>
    <workbookView xWindow="-108" yWindow="-108" windowWidth="23256" windowHeight="12576" xr2:uid="{29C75357-6D86-4F34-87D3-5ABA805A4EC9}"/>
  </bookViews>
  <sheets>
    <sheet name="Sayfa1" sheetId="1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OpenSolver_UpdateSensitivity" localSheetId="0" hidden="1">1</definedName>
    <definedName name="solver_adj" localSheetId="0" hidden="1">Sayfa1!$AI$6:$AM$30,Sayfa1!$AP$6:$AT$30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2147483647</definedName>
    <definedName name="solver_lhs1" localSheetId="0" hidden="1">Sayfa1!$C$63:$C$87</definedName>
    <definedName name="solver_lhs2" localSheetId="0" hidden="1">Sayfa1!$H$63:$L$87</definedName>
    <definedName name="solver_lhs3" localSheetId="0" hidden="1">Sayfa1!$U$63:$U$87</definedName>
    <definedName name="solver_lhs4" localSheetId="0" hidden="1">Sayfa1!$Z$63:$Z$87</definedName>
    <definedName name="solver_lhs5" localSheetId="0" hidden="1">Sayfa1!$AE$63:$AE$67</definedName>
    <definedName name="solver_lhs6" localSheetId="0" hidden="1">Sayfa1!$AJ$63:$AJ$66</definedName>
    <definedName name="solver_lhs7" localSheetId="0" hidden="1">Sayfa1!$AO$63:$AS$65</definedName>
    <definedName name="solver_lhs8" localSheetId="0" hidden="1">Sayfa1!$BB$63:$BF$87</definedName>
    <definedName name="solver_neg" localSheetId="0" hidden="1">1</definedName>
    <definedName name="solver_num" localSheetId="0" hidden="1">8</definedName>
    <definedName name="solver_nwt" localSheetId="0" hidden="1">1</definedName>
    <definedName name="solver_opt" localSheetId="0" hidden="1">Sayfa1!$B$55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2</definedName>
    <definedName name="solver_rel7" localSheetId="0" hidden="1">1</definedName>
    <definedName name="solver_rel8" localSheetId="0" hidden="1">1</definedName>
    <definedName name="solver_rhs1" localSheetId="0" hidden="1">1</definedName>
    <definedName name="solver_rhs2" localSheetId="0" hidden="1">4</definedName>
    <definedName name="solver_rhs3" localSheetId="0" hidden="1">0</definedName>
    <definedName name="solver_rhs4" localSheetId="0" hidden="1">0</definedName>
    <definedName name="solver_rhs5" localSheetId="0" hidden="1">0</definedName>
    <definedName name="solver_rhs6" localSheetId="0" hidden="1">0</definedName>
    <definedName name="solver_rhs7" localSheetId="0" hidden="1">1</definedName>
    <definedName name="solver_rhs8" localSheetId="0" hidden="1">1</definedName>
    <definedName name="solver_rlx" localSheetId="0" hidden="1">2</definedName>
    <definedName name="solver_scl" localSheetId="0" hidden="1">2</definedName>
    <definedName name="solver_sho" localSheetId="0" hidden="1">0</definedName>
    <definedName name="solver_tim" localSheetId="0" hidden="1">2147483647</definedName>
    <definedName name="solver_tol" localSheetId="0" hidden="1">0.05</definedName>
    <definedName name="solver_typ" localSheetId="0" hidden="1">1</definedName>
    <definedName name="solver_val" localSheetId="0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64" i="1" l="1"/>
  <c r="BC64" i="1"/>
  <c r="BD64" i="1"/>
  <c r="BE64" i="1"/>
  <c r="BF64" i="1"/>
  <c r="BB65" i="1"/>
  <c r="BC65" i="1"/>
  <c r="BD65" i="1"/>
  <c r="BE65" i="1"/>
  <c r="BF65" i="1"/>
  <c r="BB66" i="1"/>
  <c r="BC66" i="1"/>
  <c r="BD66" i="1"/>
  <c r="BE66" i="1"/>
  <c r="BF66" i="1"/>
  <c r="BB67" i="1"/>
  <c r="BC67" i="1"/>
  <c r="BD67" i="1"/>
  <c r="BE67" i="1"/>
  <c r="BF67" i="1"/>
  <c r="BB68" i="1"/>
  <c r="BC68" i="1"/>
  <c r="BD68" i="1"/>
  <c r="BE68" i="1"/>
  <c r="BF68" i="1"/>
  <c r="BB69" i="1"/>
  <c r="BC69" i="1"/>
  <c r="BD69" i="1"/>
  <c r="BE69" i="1"/>
  <c r="BF69" i="1"/>
  <c r="BB70" i="1"/>
  <c r="BC70" i="1"/>
  <c r="BD70" i="1"/>
  <c r="BE70" i="1"/>
  <c r="BF70" i="1"/>
  <c r="BB71" i="1"/>
  <c r="BC71" i="1"/>
  <c r="BD71" i="1"/>
  <c r="BE71" i="1"/>
  <c r="BF71" i="1"/>
  <c r="BB72" i="1"/>
  <c r="BC72" i="1"/>
  <c r="BD72" i="1"/>
  <c r="BE72" i="1"/>
  <c r="BF72" i="1"/>
  <c r="BB73" i="1"/>
  <c r="BC73" i="1"/>
  <c r="BD73" i="1"/>
  <c r="BE73" i="1"/>
  <c r="BF73" i="1"/>
  <c r="BB74" i="1"/>
  <c r="BC74" i="1"/>
  <c r="BD74" i="1"/>
  <c r="BE74" i="1"/>
  <c r="BF74" i="1"/>
  <c r="BB75" i="1"/>
  <c r="BC75" i="1"/>
  <c r="BD75" i="1"/>
  <c r="BE75" i="1"/>
  <c r="BF75" i="1"/>
  <c r="BB76" i="1"/>
  <c r="BC76" i="1"/>
  <c r="BD76" i="1"/>
  <c r="BE76" i="1"/>
  <c r="BF76" i="1"/>
  <c r="BB77" i="1"/>
  <c r="BC77" i="1"/>
  <c r="BD77" i="1"/>
  <c r="BE77" i="1"/>
  <c r="BF77" i="1"/>
  <c r="BB78" i="1"/>
  <c r="BC78" i="1"/>
  <c r="BD78" i="1"/>
  <c r="BE78" i="1"/>
  <c r="BF78" i="1"/>
  <c r="BB79" i="1"/>
  <c r="BC79" i="1"/>
  <c r="BD79" i="1"/>
  <c r="BE79" i="1"/>
  <c r="BF79" i="1"/>
  <c r="BB80" i="1"/>
  <c r="BC80" i="1"/>
  <c r="BD80" i="1"/>
  <c r="BE80" i="1"/>
  <c r="BF80" i="1"/>
  <c r="BB81" i="1"/>
  <c r="BC81" i="1"/>
  <c r="BD81" i="1"/>
  <c r="BE81" i="1"/>
  <c r="BF81" i="1"/>
  <c r="BB82" i="1"/>
  <c r="BC82" i="1"/>
  <c r="BD82" i="1"/>
  <c r="BE82" i="1"/>
  <c r="BF82" i="1"/>
  <c r="BB83" i="1"/>
  <c r="BC83" i="1"/>
  <c r="BD83" i="1"/>
  <c r="BE83" i="1"/>
  <c r="BF83" i="1"/>
  <c r="BB84" i="1"/>
  <c r="BC84" i="1"/>
  <c r="BD84" i="1"/>
  <c r="BE84" i="1"/>
  <c r="BF84" i="1"/>
  <c r="BB85" i="1"/>
  <c r="BC85" i="1"/>
  <c r="BD85" i="1"/>
  <c r="BE85" i="1"/>
  <c r="BF85" i="1"/>
  <c r="BB86" i="1"/>
  <c r="BC86" i="1"/>
  <c r="BD86" i="1"/>
  <c r="BE86" i="1"/>
  <c r="BF86" i="1"/>
  <c r="BB87" i="1"/>
  <c r="BC87" i="1"/>
  <c r="BD87" i="1"/>
  <c r="BE87" i="1"/>
  <c r="BF87" i="1"/>
  <c r="BC63" i="1"/>
  <c r="BD63" i="1"/>
  <c r="BE63" i="1"/>
  <c r="BF63" i="1"/>
  <c r="BB63" i="1"/>
  <c r="L64" i="1"/>
  <c r="Z87" i="1" a="1"/>
  <c r="Z87" i="1" s="1"/>
  <c r="Z63" i="1" a="1"/>
  <c r="Z63" i="1" s="1"/>
  <c r="Z69" i="1" a="1"/>
  <c r="Z69" i="1" s="1"/>
  <c r="Z64" i="1" a="1"/>
  <c r="Z64" i="1" s="1"/>
  <c r="Z65" i="1" a="1"/>
  <c r="Z65" i="1" s="1"/>
  <c r="Z66" i="1" a="1"/>
  <c r="Z66" i="1" s="1"/>
  <c r="Z67" i="1" a="1"/>
  <c r="Z67" i="1" s="1"/>
  <c r="Z68" i="1" a="1"/>
  <c r="Z68" i="1" s="1"/>
  <c r="Z70" i="1" a="1"/>
  <c r="Z70" i="1" s="1"/>
  <c r="Z71" i="1" a="1"/>
  <c r="Z71" i="1" s="1"/>
  <c r="Z72" i="1" a="1"/>
  <c r="Z72" i="1" s="1"/>
  <c r="Z73" i="1" a="1"/>
  <c r="Z73" i="1" s="1"/>
  <c r="Z74" i="1" a="1"/>
  <c r="Z74" i="1" s="1"/>
  <c r="Z75" i="1" a="1"/>
  <c r="Z75" i="1" s="1"/>
  <c r="Z76" i="1" a="1"/>
  <c r="Z76" i="1" s="1"/>
  <c r="Z77" i="1" a="1"/>
  <c r="Z77" i="1" s="1"/>
  <c r="Z78" i="1" a="1"/>
  <c r="Z78" i="1" s="1"/>
  <c r="Z79" i="1" a="1"/>
  <c r="Z79" i="1" s="1"/>
  <c r="Z80" i="1" a="1"/>
  <c r="Z80" i="1" s="1"/>
  <c r="Z81" i="1" a="1"/>
  <c r="Z81" i="1" s="1"/>
  <c r="Z82" i="1" a="1"/>
  <c r="Z82" i="1" s="1"/>
  <c r="Z83" i="1" a="1"/>
  <c r="Z83" i="1" s="1"/>
  <c r="Z84" i="1" a="1"/>
  <c r="Z84" i="1" s="1"/>
  <c r="Z85" i="1" a="1"/>
  <c r="Z85" i="1" s="1"/>
  <c r="Z86" i="1" a="1"/>
  <c r="Z86" i="1" s="1"/>
  <c r="U87" i="1" a="1"/>
  <c r="U87" i="1" s="1"/>
  <c r="U69" i="1" a="1"/>
  <c r="U69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U83" i="1" a="1"/>
  <c r="U83" i="1" s="1"/>
  <c r="U84" i="1" a="1"/>
  <c r="U84" i="1" s="1"/>
  <c r="U85" i="1" a="1"/>
  <c r="U85" i="1" s="1"/>
  <c r="U86" i="1" a="1"/>
  <c r="U86" i="1" s="1"/>
  <c r="U63" i="1" a="1"/>
  <c r="U63" i="1" s="1"/>
  <c r="AA35" i="1"/>
  <c r="AI35" i="1"/>
  <c r="AP35" i="1"/>
  <c r="C68" i="1"/>
  <c r="K65" i="1"/>
  <c r="J87" i="1"/>
  <c r="K70" i="1"/>
  <c r="K72" i="1"/>
  <c r="K66" i="1"/>
  <c r="L87" i="1"/>
  <c r="K71" i="1"/>
  <c r="H64" i="1"/>
  <c r="I64" i="1"/>
  <c r="J64" i="1"/>
  <c r="K64" i="1"/>
  <c r="H65" i="1"/>
  <c r="I65" i="1"/>
  <c r="J65" i="1"/>
  <c r="L65" i="1"/>
  <c r="H66" i="1"/>
  <c r="I66" i="1"/>
  <c r="J66" i="1"/>
  <c r="L66" i="1"/>
  <c r="H67" i="1"/>
  <c r="I67" i="1"/>
  <c r="J67" i="1"/>
  <c r="K67" i="1"/>
  <c r="L67" i="1"/>
  <c r="H68" i="1"/>
  <c r="I68" i="1"/>
  <c r="J68" i="1"/>
  <c r="K68" i="1"/>
  <c r="L68" i="1"/>
  <c r="H69" i="1"/>
  <c r="I69" i="1"/>
  <c r="J69" i="1"/>
  <c r="K69" i="1"/>
  <c r="L69" i="1"/>
  <c r="H70" i="1"/>
  <c r="I70" i="1"/>
  <c r="J70" i="1"/>
  <c r="L70" i="1"/>
  <c r="H71" i="1"/>
  <c r="I71" i="1"/>
  <c r="J71" i="1"/>
  <c r="L71" i="1"/>
  <c r="H72" i="1"/>
  <c r="I72" i="1"/>
  <c r="J72" i="1"/>
  <c r="L72" i="1"/>
  <c r="H73" i="1"/>
  <c r="I73" i="1"/>
  <c r="J73" i="1"/>
  <c r="K73" i="1"/>
  <c r="L73" i="1"/>
  <c r="H74" i="1"/>
  <c r="I74" i="1"/>
  <c r="J74" i="1"/>
  <c r="K74" i="1"/>
  <c r="L74" i="1"/>
  <c r="H75" i="1"/>
  <c r="I75" i="1"/>
  <c r="J75" i="1"/>
  <c r="K75" i="1"/>
  <c r="L75" i="1"/>
  <c r="H76" i="1"/>
  <c r="I76" i="1"/>
  <c r="J76" i="1"/>
  <c r="K76" i="1"/>
  <c r="L76" i="1"/>
  <c r="H77" i="1"/>
  <c r="I77" i="1"/>
  <c r="J77" i="1"/>
  <c r="K77" i="1"/>
  <c r="L77" i="1"/>
  <c r="H78" i="1"/>
  <c r="I78" i="1"/>
  <c r="J78" i="1"/>
  <c r="K78" i="1"/>
  <c r="L78" i="1"/>
  <c r="H79" i="1"/>
  <c r="I79" i="1"/>
  <c r="J79" i="1"/>
  <c r="K79" i="1"/>
  <c r="L79" i="1"/>
  <c r="H80" i="1"/>
  <c r="I80" i="1"/>
  <c r="J80" i="1"/>
  <c r="K80" i="1"/>
  <c r="L80" i="1"/>
  <c r="H81" i="1"/>
  <c r="I81" i="1"/>
  <c r="J81" i="1"/>
  <c r="K81" i="1"/>
  <c r="L81" i="1"/>
  <c r="H82" i="1"/>
  <c r="I82" i="1"/>
  <c r="J82" i="1"/>
  <c r="K82" i="1"/>
  <c r="L82" i="1"/>
  <c r="H83" i="1"/>
  <c r="I83" i="1"/>
  <c r="J83" i="1"/>
  <c r="K83" i="1"/>
  <c r="L83" i="1"/>
  <c r="H84" i="1"/>
  <c r="I84" i="1"/>
  <c r="J84" i="1"/>
  <c r="K84" i="1"/>
  <c r="L84" i="1"/>
  <c r="H85" i="1"/>
  <c r="I85" i="1"/>
  <c r="J85" i="1"/>
  <c r="K85" i="1"/>
  <c r="L85" i="1"/>
  <c r="H86" i="1"/>
  <c r="I86" i="1"/>
  <c r="J86" i="1"/>
  <c r="K86" i="1"/>
  <c r="L86" i="1"/>
  <c r="H87" i="1"/>
  <c r="I87" i="1"/>
  <c r="K87" i="1"/>
  <c r="K63" i="1"/>
  <c r="L63" i="1"/>
  <c r="I63" i="1"/>
  <c r="J63" i="1"/>
  <c r="H63" i="1"/>
  <c r="C87" i="1"/>
  <c r="C86" i="1"/>
  <c r="C76" i="1"/>
  <c r="C77" i="1"/>
  <c r="C78" i="1"/>
  <c r="C79" i="1"/>
  <c r="C80" i="1"/>
  <c r="C81" i="1"/>
  <c r="C82" i="1"/>
  <c r="C83" i="1"/>
  <c r="C84" i="1"/>
  <c r="C85" i="1"/>
  <c r="C75" i="1"/>
  <c r="C64" i="1"/>
  <c r="C65" i="1"/>
  <c r="C66" i="1"/>
  <c r="C67" i="1"/>
  <c r="C69" i="1"/>
  <c r="C70" i="1"/>
  <c r="C71" i="1"/>
  <c r="C72" i="1"/>
  <c r="C73" i="1"/>
  <c r="C74" i="1"/>
  <c r="C63" i="1"/>
  <c r="B55" i="1" a="1"/>
  <c r="B55" i="1" s="1"/>
  <c r="AD30" i="1"/>
  <c r="AA7" i="1"/>
  <c r="AB7" i="1"/>
  <c r="AC7" i="1"/>
  <c r="AD7" i="1"/>
  <c r="AE7" i="1"/>
  <c r="AA8" i="1"/>
  <c r="AB8" i="1"/>
  <c r="AC8" i="1"/>
  <c r="AD8" i="1"/>
  <c r="AE8" i="1"/>
  <c r="AA9" i="1"/>
  <c r="AB9" i="1"/>
  <c r="AC9" i="1"/>
  <c r="AD9" i="1"/>
  <c r="AE9" i="1"/>
  <c r="AA10" i="1"/>
  <c r="AB10" i="1"/>
  <c r="AC10" i="1"/>
  <c r="AD10" i="1"/>
  <c r="AE10" i="1"/>
  <c r="AA11" i="1"/>
  <c r="AB11" i="1"/>
  <c r="AC11" i="1"/>
  <c r="AD11" i="1"/>
  <c r="AE11" i="1"/>
  <c r="AA12" i="1"/>
  <c r="AB12" i="1"/>
  <c r="AC12" i="1"/>
  <c r="AD12" i="1"/>
  <c r="AE12" i="1"/>
  <c r="AA13" i="1"/>
  <c r="AB13" i="1"/>
  <c r="AC13" i="1"/>
  <c r="AD13" i="1"/>
  <c r="AE13" i="1"/>
  <c r="AA14" i="1"/>
  <c r="AB14" i="1"/>
  <c r="AC14" i="1"/>
  <c r="AD14" i="1"/>
  <c r="AE14" i="1"/>
  <c r="AA15" i="1"/>
  <c r="AB15" i="1"/>
  <c r="AC15" i="1"/>
  <c r="AD15" i="1"/>
  <c r="AE15" i="1"/>
  <c r="AA16" i="1"/>
  <c r="AB16" i="1"/>
  <c r="AC16" i="1"/>
  <c r="AD16" i="1"/>
  <c r="AE16" i="1"/>
  <c r="AA17" i="1"/>
  <c r="AB17" i="1"/>
  <c r="AC17" i="1"/>
  <c r="AD17" i="1"/>
  <c r="AE17" i="1"/>
  <c r="AA18" i="1"/>
  <c r="AB18" i="1"/>
  <c r="AC18" i="1"/>
  <c r="AD18" i="1"/>
  <c r="AE18" i="1"/>
  <c r="AA19" i="1"/>
  <c r="AB19" i="1"/>
  <c r="AC19" i="1"/>
  <c r="AD19" i="1"/>
  <c r="AE19" i="1"/>
  <c r="AA20" i="1"/>
  <c r="AB20" i="1"/>
  <c r="AC20" i="1"/>
  <c r="AD20" i="1"/>
  <c r="AE20" i="1"/>
  <c r="AA21" i="1"/>
  <c r="AB21" i="1"/>
  <c r="AC21" i="1"/>
  <c r="AD21" i="1"/>
  <c r="AE21" i="1"/>
  <c r="AA22" i="1"/>
  <c r="AB22" i="1"/>
  <c r="AC22" i="1"/>
  <c r="AD22" i="1"/>
  <c r="AE22" i="1"/>
  <c r="AA23" i="1"/>
  <c r="AB23" i="1"/>
  <c r="AC23" i="1"/>
  <c r="AD23" i="1"/>
  <c r="AE23" i="1"/>
  <c r="AA24" i="1"/>
  <c r="AB24" i="1"/>
  <c r="AC24" i="1"/>
  <c r="AD24" i="1"/>
  <c r="AE24" i="1"/>
  <c r="AA25" i="1"/>
  <c r="AB25" i="1"/>
  <c r="AC25" i="1"/>
  <c r="AD25" i="1"/>
  <c r="AE25" i="1"/>
  <c r="AA26" i="1"/>
  <c r="AB26" i="1"/>
  <c r="AC26" i="1"/>
  <c r="AD26" i="1"/>
  <c r="AE26" i="1"/>
  <c r="AA27" i="1"/>
  <c r="AB27" i="1"/>
  <c r="AC27" i="1"/>
  <c r="AD27" i="1"/>
  <c r="AE27" i="1"/>
  <c r="AA28" i="1"/>
  <c r="AB28" i="1"/>
  <c r="AC28" i="1"/>
  <c r="AD28" i="1"/>
  <c r="AE28" i="1"/>
  <c r="AA29" i="1"/>
  <c r="AB29" i="1"/>
  <c r="AC29" i="1"/>
  <c r="AD29" i="1"/>
  <c r="AE29" i="1"/>
  <c r="AA30" i="1"/>
  <c r="AB30" i="1"/>
  <c r="AC30" i="1"/>
  <c r="AE30" i="1"/>
  <c r="AE6" i="1"/>
  <c r="AD6" i="1"/>
  <c r="AC6" i="1"/>
  <c r="AB6" i="1"/>
  <c r="AA6" i="1"/>
  <c r="AJ64" i="1"/>
  <c r="AJ65" i="1"/>
  <c r="AJ66" i="1"/>
  <c r="AQ64" i="1" a="1"/>
  <c r="AO65" i="1" a="1"/>
  <c r="AE66" i="1" a="1"/>
  <c r="AQ65" i="1" a="1"/>
  <c r="AO63" i="1" a="1"/>
  <c r="AR64" i="1" a="1"/>
  <c r="AH53" i="1"/>
  <c r="AO64" i="1" a="1"/>
  <c r="AH49" i="1"/>
  <c r="AE67" i="1" a="1"/>
  <c r="AE64" i="1" a="1"/>
  <c r="AR65" i="1" a="1"/>
  <c r="AE63" i="1" a="1"/>
  <c r="AP64" i="1" a="1"/>
  <c r="AH51" i="1"/>
  <c r="AP65" i="1" a="1"/>
  <c r="AS63" i="1" a="1"/>
  <c r="AH52" i="1"/>
  <c r="AS65" i="1" a="1"/>
  <c r="AQ63" i="1" a="1"/>
  <c r="AE65" i="1" a="1"/>
  <c r="AP63" i="1" a="1"/>
  <c r="AR63" i="1" a="1"/>
  <c r="AH50" i="1"/>
  <c r="AS64" i="1" a="1"/>
  <c r="AJ63" i="1"/>
  <c r="AS65" i="1" l="1"/>
  <c r="AS63" i="1"/>
  <c r="AS64" i="1"/>
  <c r="AR63" i="1"/>
  <c r="AR65" i="1"/>
  <c r="AQ65" i="1"/>
  <c r="AQ64" i="1"/>
  <c r="AQ63" i="1"/>
  <c r="AR64" i="1"/>
  <c r="AP65" i="1"/>
  <c r="AP64" i="1"/>
  <c r="AP63" i="1"/>
  <c r="AO65" i="1"/>
  <c r="AO64" i="1"/>
  <c r="AO63" i="1"/>
  <c r="AE67" i="1"/>
  <c r="AE66" i="1"/>
  <c r="AE65" i="1"/>
  <c r="AE64" i="1"/>
  <c r="AE6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<sst xmlns="http://schemas.openxmlformats.org/spreadsheetml/2006/main" count="174" uniqueCount="36">
  <si>
    <t>INDICES</t>
  </si>
  <si>
    <t>k = shelf index</t>
  </si>
  <si>
    <t>i  =  product index</t>
  </si>
  <si>
    <t>DECISION VARIABLES</t>
  </si>
  <si>
    <t>x(i,k)= Is there going to be a facing of product i at shelf k.</t>
  </si>
  <si>
    <t>f(i,k)= Number of facings of product i at shelf k.</t>
  </si>
  <si>
    <t>PARAMETERS</t>
  </si>
  <si>
    <t>OBJECTIVE FUNCTION</t>
  </si>
  <si>
    <t>CONSTRAINS</t>
  </si>
  <si>
    <t>i\k</t>
  </si>
  <si>
    <t>Number: N(i,k)=Number of product i in shelf k per allocation</t>
  </si>
  <si>
    <t>pi(i) : profit made by selling one unit of product i</t>
  </si>
  <si>
    <t>bi : width of a facing for product i</t>
  </si>
  <si>
    <t>dp(i) : depth of product i</t>
  </si>
  <si>
    <t>d(i) : coefficient for demand rate for product i per unit width and one facing</t>
  </si>
  <si>
    <t>B(i) : space elasticity factor for product i</t>
  </si>
  <si>
    <t>sl(i): lower bound on the shelf inv</t>
  </si>
  <si>
    <t>su(i): upper bound on the shelf inv</t>
  </si>
  <si>
    <t>w(k) : width of shelf k</t>
  </si>
  <si>
    <t>ds(k): Depth of shelf k</t>
  </si>
  <si>
    <t>y(k) : Shelf k’s effect on demand</t>
  </si>
  <si>
    <t>I1 : set of product pairs (i1; i2) that cannot be placed on the same shelf.</t>
  </si>
  <si>
    <t>I2: set of product pairs (i1; i2) that will be included together in the assortment.</t>
  </si>
  <si>
    <t>&lt;=</t>
  </si>
  <si>
    <t>1-RULE 1</t>
  </si>
  <si>
    <t>2-RULE 2</t>
  </si>
  <si>
    <t>helpful formula delete later</t>
  </si>
  <si>
    <t>5-RULE 6</t>
  </si>
  <si>
    <t>3-RULE(3,4) (1)</t>
  </si>
  <si>
    <t>3-RULE(3,4) (2)</t>
  </si>
  <si>
    <t>&gt;=</t>
  </si>
  <si>
    <t>6-RULE 7</t>
  </si>
  <si>
    <t>=</t>
  </si>
  <si>
    <t>7-RULE 8</t>
  </si>
  <si>
    <t>8-X is BOOLEAN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</si>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</sst>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3" xfId="1" applyFont="1" applyBorder="1"/>
    <xf numFmtId="0" fontId="2" fillId="0" borderId="4" xfId="0" applyFont="1" applyBorder="1"/>
    <xf numFmtId="0" fontId="2" fillId="0" borderId="2" xfId="1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5" xfId="1" applyFont="1" applyBorder="1"/>
    <xf numFmtId="0" fontId="2" fillId="0" borderId="0" xfId="1" applyFont="1" applyBorder="1"/>
    <xf numFmtId="0" fontId="3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9" xfId="0" applyFont="1" applyBorder="1"/>
    <xf numFmtId="0" fontId="3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11" xfId="0" applyFont="1" applyBorder="1"/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horizontal="left" vertical="center" wrapText="1" indent="5"/>
    </xf>
    <xf numFmtId="0" fontId="4" fillId="0" borderId="0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4" fillId="0" borderId="0" xfId="0" applyFont="1" applyBorder="1" applyAlignment="1">
      <alignment horizontal="right" vertical="center" indent="5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/>
    <xf numFmtId="0" fontId="4" fillId="0" borderId="5" xfId="0" applyFont="1" applyBorder="1" applyAlignment="1">
      <alignment horizontal="right" vertical="center" indent="5"/>
    </xf>
    <xf numFmtId="0" fontId="2" fillId="0" borderId="4" xfId="1" applyFont="1" applyBorder="1"/>
    <xf numFmtId="0" fontId="2" fillId="0" borderId="6" xfId="1" applyFont="1" applyBorder="1"/>
    <xf numFmtId="0" fontId="2" fillId="0" borderId="7" xfId="1" applyFont="1" applyBorder="1"/>
    <xf numFmtId="0" fontId="2" fillId="0" borderId="8" xfId="1" applyFont="1" applyBorder="1"/>
    <xf numFmtId="0" fontId="2" fillId="0" borderId="1" xfId="1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1" applyFont="1"/>
    <xf numFmtId="0" fontId="2" fillId="0" borderId="0" xfId="1" applyFont="1" applyFill="1"/>
    <xf numFmtId="0" fontId="2" fillId="0" borderId="0" xfId="1" applyFont="1" applyFill="1" applyBorder="1"/>
    <xf numFmtId="0" fontId="2" fillId="0" borderId="10" xfId="1" applyFont="1" applyBorder="1"/>
    <xf numFmtId="0" fontId="2" fillId="0" borderId="9" xfId="1" applyFont="1" applyBorder="1"/>
    <xf numFmtId="1" fontId="2" fillId="0" borderId="0" xfId="1" applyNumberFormat="1" applyFont="1" applyBorder="1"/>
    <xf numFmtId="0" fontId="4" fillId="0" borderId="0" xfId="0" applyFont="1" applyBorder="1" applyAlignment="1">
      <alignment horizontal="left" vertical="center" wrapText="1" indent="5"/>
    </xf>
  </cellXfs>
  <cellStyles count="2">
    <cellStyle name="Normal" xfId="0" builtinId="0"/>
    <cellStyle name="Normal 2" xfId="1" xr:uid="{59B187D2-48F5-43E7-B528-D6E24A306F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38</xdr:col>
      <xdr:colOff>617219</xdr:colOff>
      <xdr:row>30</xdr:row>
      <xdr:rowOff>0</xdr:rowOff>
    </xdr:to>
    <xdr:sp macro="" textlink="">
      <xdr:nvSpPr>
        <xdr:cNvPr id="25" name="OpenSolver1">
          <a:extLst>
            <a:ext uri="{FF2B5EF4-FFF2-40B4-BE49-F238E27FC236}">
              <a16:creationId xmlns:a16="http://schemas.microsoft.com/office/drawing/2014/main" id="{5A42FAE9-865C-4F65-B77D-3244003807CF}"/>
            </a:ext>
          </a:extLst>
        </xdr:cNvPr>
        <xdr:cNvSpPr/>
      </xdr:nvSpPr>
      <xdr:spPr>
        <a:xfrm>
          <a:off x="22258020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731519</xdr:colOff>
      <xdr:row>5</xdr:row>
      <xdr:rowOff>0</xdr:rowOff>
    </xdr:from>
    <xdr:to>
      <xdr:col>46</xdr:col>
      <xdr:colOff>0</xdr:colOff>
      <xdr:row>30</xdr:row>
      <xdr:rowOff>0</xdr:rowOff>
    </xdr:to>
    <xdr:sp macro="" textlink="">
      <xdr:nvSpPr>
        <xdr:cNvPr id="26" name="OpenSolver2">
          <a:extLst>
            <a:ext uri="{FF2B5EF4-FFF2-40B4-BE49-F238E27FC236}">
              <a16:creationId xmlns:a16="http://schemas.microsoft.com/office/drawing/2014/main" id="{ED9C79D4-085D-4360-B23B-12343516E4CC}"/>
            </a:ext>
          </a:extLst>
        </xdr:cNvPr>
        <xdr:cNvSpPr/>
      </xdr:nvSpPr>
      <xdr:spPr>
        <a:xfrm>
          <a:off x="26814779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27" name="OpenSolver3">
          <a:extLst>
            <a:ext uri="{FF2B5EF4-FFF2-40B4-BE49-F238E27FC236}">
              <a16:creationId xmlns:a16="http://schemas.microsoft.com/office/drawing/2014/main" id="{FC8600DC-762C-41E4-B09D-6B2165A9D5BC}"/>
            </a:ext>
          </a:extLst>
        </xdr:cNvPr>
        <xdr:cNvSpPr/>
      </xdr:nvSpPr>
      <xdr:spPr>
        <a:xfrm>
          <a:off x="701040" y="1073658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45720</xdr:rowOff>
    </xdr:to>
    <xdr:sp macro="" textlink="">
      <xdr:nvSpPr>
        <xdr:cNvPr id="28" name="OpenSolver4">
          <a:extLst>
            <a:ext uri="{FF2B5EF4-FFF2-40B4-BE49-F238E27FC236}">
              <a16:creationId xmlns:a16="http://schemas.microsoft.com/office/drawing/2014/main" id="{502CFB80-820C-46DB-97C1-8B4CB1672679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0</xdr:rowOff>
    </xdr:to>
    <xdr:sp macro="" textlink="">
      <xdr:nvSpPr>
        <xdr:cNvPr id="29" name="OpenSolverC63:C87">
          <a:extLst>
            <a:ext uri="{FF2B5EF4-FFF2-40B4-BE49-F238E27FC236}">
              <a16:creationId xmlns:a16="http://schemas.microsoft.com/office/drawing/2014/main" id="{4723CD3A-66AD-4C95-B05F-35D146347F0B}"/>
            </a:ext>
          </a:extLst>
        </xdr:cNvPr>
        <xdr:cNvSpPr/>
      </xdr:nvSpPr>
      <xdr:spPr>
        <a:xfrm>
          <a:off x="1485900" y="12336780"/>
          <a:ext cx="754380" cy="49530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1≥</a:t>
          </a:r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12</xdr:col>
      <xdr:colOff>0</xdr:colOff>
      <xdr:row>87</xdr:row>
      <xdr:rowOff>0</xdr:rowOff>
    </xdr:to>
    <xdr:sp macro="" textlink="">
      <xdr:nvSpPr>
        <xdr:cNvPr id="30" name="OpenSolverH63:L87">
          <a:extLst>
            <a:ext uri="{FF2B5EF4-FFF2-40B4-BE49-F238E27FC236}">
              <a16:creationId xmlns:a16="http://schemas.microsoft.com/office/drawing/2014/main" id="{D947E392-95C3-4BAE-9681-968A5C8E35E2}"/>
            </a:ext>
          </a:extLst>
        </xdr:cNvPr>
        <xdr:cNvSpPr/>
      </xdr:nvSpPr>
      <xdr:spPr>
        <a:xfrm>
          <a:off x="5105400" y="12336780"/>
          <a:ext cx="3299460" cy="4953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4≥</a:t>
          </a:r>
        </a:p>
      </xdr:txBody>
    </xdr:sp>
    <xdr:clientData/>
  </xdr:twoCellAnchor>
  <xdr:twoCellAnchor>
    <xdr:from>
      <xdr:col>20</xdr:col>
      <xdr:colOff>1</xdr:colOff>
      <xdr:row>62</xdr:row>
      <xdr:rowOff>0</xdr:rowOff>
    </xdr:from>
    <xdr:to>
      <xdr:col>21</xdr:col>
      <xdr:colOff>0</xdr:colOff>
      <xdr:row>87</xdr:row>
      <xdr:rowOff>0</xdr:rowOff>
    </xdr:to>
    <xdr:sp macro="" textlink="">
      <xdr:nvSpPr>
        <xdr:cNvPr id="31" name="OpenSolverU63:U87">
          <a:extLst>
            <a:ext uri="{FF2B5EF4-FFF2-40B4-BE49-F238E27FC236}">
              <a16:creationId xmlns:a16="http://schemas.microsoft.com/office/drawing/2014/main" id="{89C404AE-7E4A-4DD8-A841-7821F90E3E00}"/>
            </a:ext>
          </a:extLst>
        </xdr:cNvPr>
        <xdr:cNvSpPr/>
      </xdr:nvSpPr>
      <xdr:spPr>
        <a:xfrm>
          <a:off x="13395961" y="12336780"/>
          <a:ext cx="617219" cy="49530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0≥</a:t>
          </a:r>
        </a:p>
      </xdr:txBody>
    </xdr:sp>
    <xdr:clientData/>
  </xdr:twoCellAnchor>
  <xdr:twoCellAnchor>
    <xdr:from>
      <xdr:col>25</xdr:col>
      <xdr:colOff>0</xdr:colOff>
      <xdr:row>62</xdr:row>
      <xdr:rowOff>0</xdr:rowOff>
    </xdr:from>
    <xdr:to>
      <xdr:col>25</xdr:col>
      <xdr:colOff>617219</xdr:colOff>
      <xdr:row>87</xdr:row>
      <xdr:rowOff>0</xdr:rowOff>
    </xdr:to>
    <xdr:sp macro="" textlink="">
      <xdr:nvSpPr>
        <xdr:cNvPr id="32" name="OpenSolverZ63:Z87">
          <a:extLst>
            <a:ext uri="{FF2B5EF4-FFF2-40B4-BE49-F238E27FC236}">
              <a16:creationId xmlns:a16="http://schemas.microsoft.com/office/drawing/2014/main" id="{69DE9B82-6A96-4684-9166-4B24B48D7342}"/>
            </a:ext>
          </a:extLst>
        </xdr:cNvPr>
        <xdr:cNvSpPr/>
      </xdr:nvSpPr>
      <xdr:spPr>
        <a:xfrm>
          <a:off x="16543020" y="12336780"/>
          <a:ext cx="617219" cy="49530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0≤</a:t>
          </a:r>
        </a:p>
      </xdr:txBody>
    </xdr:sp>
    <xdr:clientData/>
  </xdr:twoCellAnchor>
  <xdr:twoCellAnchor>
    <xdr:from>
      <xdr:col>30</xdr:col>
      <xdr:colOff>0</xdr:colOff>
      <xdr:row>62</xdr:row>
      <xdr:rowOff>0</xdr:rowOff>
    </xdr:from>
    <xdr:to>
      <xdr:col>31</xdr:col>
      <xdr:colOff>1</xdr:colOff>
      <xdr:row>67</xdr:row>
      <xdr:rowOff>0</xdr:rowOff>
    </xdr:to>
    <xdr:sp macro="" textlink="">
      <xdr:nvSpPr>
        <xdr:cNvPr id="33" name="OpenSolverAE63:AE67">
          <a:extLst>
            <a:ext uri="{FF2B5EF4-FFF2-40B4-BE49-F238E27FC236}">
              <a16:creationId xmlns:a16="http://schemas.microsoft.com/office/drawing/2014/main" id="{26A40E51-754C-40B4-B0D8-29F6936A1BC5}"/>
            </a:ext>
          </a:extLst>
        </xdr:cNvPr>
        <xdr:cNvSpPr/>
      </xdr:nvSpPr>
      <xdr:spPr>
        <a:xfrm>
          <a:off x="19613880" y="12336780"/>
          <a:ext cx="678181" cy="9906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0≥</a:t>
          </a:r>
        </a:p>
      </xdr:txBody>
    </xdr:sp>
    <xdr:clientData/>
  </xdr:twoCellAnchor>
  <xdr:twoCellAnchor>
    <xdr:from>
      <xdr:col>34</xdr:col>
      <xdr:colOff>617219</xdr:colOff>
      <xdr:row>62</xdr:row>
      <xdr:rowOff>0</xdr:rowOff>
    </xdr:from>
    <xdr:to>
      <xdr:col>35</xdr:col>
      <xdr:colOff>617219</xdr:colOff>
      <xdr:row>66</xdr:row>
      <xdr:rowOff>1</xdr:rowOff>
    </xdr:to>
    <xdr:sp macro="" textlink="">
      <xdr:nvSpPr>
        <xdr:cNvPr id="34" name="OpenSolverAJ63:AJ66">
          <a:extLst>
            <a:ext uri="{FF2B5EF4-FFF2-40B4-BE49-F238E27FC236}">
              <a16:creationId xmlns:a16="http://schemas.microsoft.com/office/drawing/2014/main" id="{CD93AF25-F781-47D7-8845-6CFE3E00260D}"/>
            </a:ext>
          </a:extLst>
        </xdr:cNvPr>
        <xdr:cNvSpPr/>
      </xdr:nvSpPr>
      <xdr:spPr>
        <a:xfrm>
          <a:off x="22875239" y="12336780"/>
          <a:ext cx="617220" cy="792481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0=</a:t>
          </a:r>
        </a:p>
      </xdr:txBody>
    </xdr:sp>
    <xdr:clientData/>
  </xdr:twoCellAnchor>
  <xdr:twoCellAnchor>
    <xdr:from>
      <xdr:col>40</xdr:col>
      <xdr:colOff>1</xdr:colOff>
      <xdr:row>62</xdr:row>
      <xdr:rowOff>0</xdr:rowOff>
    </xdr:from>
    <xdr:to>
      <xdr:col>45</xdr:col>
      <xdr:colOff>0</xdr:colOff>
      <xdr:row>65</xdr:row>
      <xdr:rowOff>0</xdr:rowOff>
    </xdr:to>
    <xdr:sp macro="" textlink="">
      <xdr:nvSpPr>
        <xdr:cNvPr id="35" name="OpenSolverAO63:AS65">
          <a:extLst>
            <a:ext uri="{FF2B5EF4-FFF2-40B4-BE49-F238E27FC236}">
              <a16:creationId xmlns:a16="http://schemas.microsoft.com/office/drawing/2014/main" id="{D47FBE9E-303D-4B9E-B76D-B1876FB5C079}"/>
            </a:ext>
          </a:extLst>
        </xdr:cNvPr>
        <xdr:cNvSpPr/>
      </xdr:nvSpPr>
      <xdr:spPr>
        <a:xfrm>
          <a:off x="26083261" y="12336780"/>
          <a:ext cx="3253739" cy="59436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CC0099"/>
              </a:solidFill>
            </a:rPr>
            <a:t>1≥</a:t>
          </a:r>
        </a:p>
      </xdr:txBody>
    </xdr:sp>
    <xdr:clientData/>
  </xdr:twoCellAnchor>
  <xdr:twoCellAnchor>
    <xdr:from>
      <xdr:col>53</xdr:col>
      <xdr:colOff>0</xdr:colOff>
      <xdr:row>62</xdr:row>
      <xdr:rowOff>0</xdr:rowOff>
    </xdr:from>
    <xdr:to>
      <xdr:col>58</xdr:col>
      <xdr:colOff>0</xdr:colOff>
      <xdr:row>87</xdr:row>
      <xdr:rowOff>0</xdr:rowOff>
    </xdr:to>
    <xdr:sp macro="" textlink="">
      <xdr:nvSpPr>
        <xdr:cNvPr id="36" name="OpenSolverBB63:BF87">
          <a:extLst>
            <a:ext uri="{FF2B5EF4-FFF2-40B4-BE49-F238E27FC236}">
              <a16:creationId xmlns:a16="http://schemas.microsoft.com/office/drawing/2014/main" id="{5B72C4D4-8EDF-422E-B3EB-0DAE25CAE43F}"/>
            </a:ext>
          </a:extLst>
        </xdr:cNvPr>
        <xdr:cNvSpPr/>
      </xdr:nvSpPr>
      <xdr:spPr>
        <a:xfrm>
          <a:off x="34213800" y="12336780"/>
          <a:ext cx="3048000" cy="49530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1≥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316F-CD20-49E5-A6A0-4C42FB60CBBA}">
  <dimension ref="A1:BQ132"/>
  <sheetViews>
    <sheetView tabSelected="1" topLeftCell="AA22" zoomScale="55" zoomScaleNormal="55" workbookViewId="0">
      <selection activeCell="BD52" sqref="BD52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1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16384" width="8.88671875" style="1"/>
  </cols>
  <sheetData>
    <row r="1" spans="2:46" ht="16.2" thickBot="1" x14ac:dyDescent="0.35">
      <c r="B1" s="40"/>
      <c r="C1" s="40"/>
      <c r="D1" s="40"/>
      <c r="E1" s="40"/>
      <c r="F1" s="40"/>
      <c r="G1" s="40"/>
      <c r="H1" s="40"/>
      <c r="I1" s="40"/>
      <c r="J1" s="41"/>
      <c r="K1" s="40"/>
      <c r="L1" s="40"/>
      <c r="M1" s="40"/>
      <c r="N1" s="40"/>
      <c r="O1" s="40"/>
      <c r="P1" s="40"/>
      <c r="Q1" s="40"/>
      <c r="R1" s="40"/>
      <c r="S1" s="40"/>
    </row>
    <row r="2" spans="2:46" x14ac:dyDescent="0.3">
      <c r="B2" s="2" t="s">
        <v>6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5"/>
    </row>
    <row r="3" spans="2:46" x14ac:dyDescent="0.3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H3" s="10"/>
      <c r="AI3" s="11"/>
      <c r="AJ3" s="11"/>
      <c r="AK3" s="11"/>
      <c r="AL3" s="11"/>
      <c r="AM3" s="11"/>
      <c r="AN3" s="8"/>
      <c r="AO3" s="8"/>
      <c r="AP3" s="8"/>
      <c r="AQ3" s="8"/>
      <c r="AR3" s="8"/>
      <c r="AS3" s="8"/>
      <c r="AT3" s="9"/>
    </row>
    <row r="4" spans="2:46" x14ac:dyDescent="0.3">
      <c r="B4" s="7"/>
      <c r="C4" s="8"/>
      <c r="D4" s="8"/>
      <c r="E4" s="8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 t="s">
        <v>10</v>
      </c>
      <c r="AA4" s="8"/>
      <c r="AB4" s="8"/>
      <c r="AC4" s="8"/>
      <c r="AD4" s="8"/>
      <c r="AE4" s="8"/>
      <c r="AF4" s="9"/>
      <c r="AG4" s="12"/>
      <c r="AH4" s="10" t="s">
        <v>4</v>
      </c>
      <c r="AI4" s="11"/>
      <c r="AJ4" s="11"/>
      <c r="AK4" s="11"/>
      <c r="AL4" s="11"/>
      <c r="AM4" s="11"/>
      <c r="AN4" s="8"/>
      <c r="AO4" s="11" t="s">
        <v>5</v>
      </c>
      <c r="AP4" s="8"/>
      <c r="AQ4" s="8"/>
      <c r="AR4" s="8"/>
      <c r="AS4" s="8"/>
      <c r="AT4" s="9"/>
    </row>
    <row r="5" spans="2:46" x14ac:dyDescent="0.3">
      <c r="B5" s="13"/>
      <c r="C5" s="11" t="s">
        <v>11</v>
      </c>
      <c r="D5" s="8"/>
      <c r="E5" s="14"/>
      <c r="F5" s="11" t="s">
        <v>12</v>
      </c>
      <c r="G5" s="8"/>
      <c r="H5" s="14"/>
      <c r="I5" s="11" t="s">
        <v>13</v>
      </c>
      <c r="J5" s="8"/>
      <c r="K5" s="14"/>
      <c r="L5" s="42" t="s">
        <v>14</v>
      </c>
      <c r="M5" s="8"/>
      <c r="N5" s="14"/>
      <c r="O5" s="11" t="s">
        <v>15</v>
      </c>
      <c r="P5" s="8"/>
      <c r="Q5" s="14"/>
      <c r="R5" s="11" t="s">
        <v>16</v>
      </c>
      <c r="S5" s="8"/>
      <c r="T5" s="15"/>
      <c r="U5" s="11" t="s">
        <v>17</v>
      </c>
      <c r="V5" s="8"/>
      <c r="W5" s="8"/>
      <c r="X5" s="8"/>
      <c r="Y5" s="8"/>
      <c r="Z5" s="16" t="s">
        <v>9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H5" s="18" t="s">
        <v>9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N5" s="8"/>
      <c r="AO5" s="18" t="s">
        <v>9</v>
      </c>
      <c r="AP5" s="16">
        <v>1</v>
      </c>
      <c r="AQ5" s="16">
        <v>2</v>
      </c>
      <c r="AR5" s="16">
        <v>3</v>
      </c>
      <c r="AS5" s="16">
        <v>4</v>
      </c>
      <c r="AT5" s="19">
        <v>5</v>
      </c>
    </row>
    <row r="6" spans="2:46" x14ac:dyDescent="0.3">
      <c r="B6" s="43">
        <v>1</v>
      </c>
      <c r="C6" s="20">
        <v>15</v>
      </c>
      <c r="D6" s="8"/>
      <c r="E6" s="44">
        <v>1</v>
      </c>
      <c r="F6" s="21">
        <v>10</v>
      </c>
      <c r="G6" s="8"/>
      <c r="H6" s="44">
        <v>1</v>
      </c>
      <c r="I6" s="14">
        <v>7</v>
      </c>
      <c r="J6" s="8"/>
      <c r="K6" s="44">
        <v>1</v>
      </c>
      <c r="L6" s="14">
        <v>4</v>
      </c>
      <c r="M6" s="8"/>
      <c r="N6" s="44">
        <v>1</v>
      </c>
      <c r="O6" s="14">
        <v>0.5</v>
      </c>
      <c r="P6" s="8"/>
      <c r="Q6" s="44">
        <v>1</v>
      </c>
      <c r="R6" s="14">
        <v>2</v>
      </c>
      <c r="S6" s="8"/>
      <c r="T6" s="44">
        <v>1</v>
      </c>
      <c r="U6" s="20">
        <v>15</v>
      </c>
      <c r="V6" s="8"/>
      <c r="W6" s="8"/>
      <c r="X6" s="8"/>
      <c r="Y6" s="8"/>
      <c r="Z6" s="44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H6" s="22">
        <v>1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8"/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9">
        <v>0</v>
      </c>
    </row>
    <row r="7" spans="2:46" x14ac:dyDescent="0.3">
      <c r="B7" s="43">
        <v>2</v>
      </c>
      <c r="C7" s="20">
        <v>8</v>
      </c>
      <c r="D7" s="8"/>
      <c r="E7" s="44">
        <v>2</v>
      </c>
      <c r="F7" s="24">
        <v>9</v>
      </c>
      <c r="G7" s="8"/>
      <c r="H7" s="44">
        <v>2</v>
      </c>
      <c r="I7" s="14">
        <v>6</v>
      </c>
      <c r="J7" s="8"/>
      <c r="K7" s="44">
        <v>2</v>
      </c>
      <c r="L7" s="14">
        <v>10</v>
      </c>
      <c r="M7" s="8"/>
      <c r="N7" s="44">
        <v>2</v>
      </c>
      <c r="O7" s="14">
        <v>0.2</v>
      </c>
      <c r="P7" s="8"/>
      <c r="Q7" s="44">
        <v>2</v>
      </c>
      <c r="R7" s="14">
        <v>1</v>
      </c>
      <c r="S7" s="8"/>
      <c r="T7" s="44">
        <v>2</v>
      </c>
      <c r="U7" s="20">
        <v>19</v>
      </c>
      <c r="V7" s="8"/>
      <c r="W7" s="8"/>
      <c r="X7" s="8"/>
      <c r="Y7" s="8"/>
      <c r="Z7" s="44">
        <v>2</v>
      </c>
      <c r="AA7" s="16">
        <f t="shared" ref="AA7:AA30" si="0">$F$33/$I7-MOD($F$33/$I7,1)</f>
        <v>5</v>
      </c>
      <c r="AB7" s="16">
        <f t="shared" ref="AB7:AB30" si="1">$F$34/$I7-MOD($F$34/$I7,1)</f>
        <v>5</v>
      </c>
      <c r="AC7" s="16">
        <f t="shared" ref="AC7:AC30" si="2">$F$35/$I7-MOD($F$35/$I7,1)</f>
        <v>4</v>
      </c>
      <c r="AD7" s="16">
        <f t="shared" ref="AD7:AD29" si="3">$F$36/$I7-MOD($F$36/$I7,1)</f>
        <v>4</v>
      </c>
      <c r="AE7" s="16">
        <f t="shared" ref="AE7:AE30" si="4">$F$37/$I7-MOD($F$37/$I7,1)</f>
        <v>4</v>
      </c>
      <c r="AF7" s="9"/>
      <c r="AH7" s="22">
        <v>2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8"/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9">
        <v>0</v>
      </c>
    </row>
    <row r="8" spans="2:46" x14ac:dyDescent="0.3">
      <c r="B8" s="43">
        <v>3</v>
      </c>
      <c r="C8" s="20">
        <v>12</v>
      </c>
      <c r="D8" s="8"/>
      <c r="E8" s="44">
        <v>3</v>
      </c>
      <c r="F8" s="24">
        <v>5</v>
      </c>
      <c r="G8" s="8"/>
      <c r="H8" s="44">
        <v>3</v>
      </c>
      <c r="I8" s="14">
        <v>10</v>
      </c>
      <c r="J8" s="8"/>
      <c r="K8" s="44">
        <v>3</v>
      </c>
      <c r="L8" s="14">
        <v>10</v>
      </c>
      <c r="M8" s="8"/>
      <c r="N8" s="44">
        <v>3</v>
      </c>
      <c r="O8" s="14">
        <v>0.3</v>
      </c>
      <c r="P8" s="8"/>
      <c r="Q8" s="44">
        <v>3</v>
      </c>
      <c r="R8" s="14">
        <v>1</v>
      </c>
      <c r="S8" s="8"/>
      <c r="T8" s="44">
        <v>3</v>
      </c>
      <c r="U8" s="20">
        <v>23</v>
      </c>
      <c r="V8" s="8"/>
      <c r="W8" s="8"/>
      <c r="X8" s="8"/>
      <c r="Y8" s="8"/>
      <c r="Z8" s="44">
        <v>3</v>
      </c>
      <c r="AA8" s="16">
        <f t="shared" si="0"/>
        <v>3</v>
      </c>
      <c r="AB8" s="16">
        <f t="shared" si="1"/>
        <v>3</v>
      </c>
      <c r="AC8" s="16">
        <f t="shared" si="2"/>
        <v>2</v>
      </c>
      <c r="AD8" s="16">
        <f t="shared" si="3"/>
        <v>2</v>
      </c>
      <c r="AE8" s="16">
        <f t="shared" si="4"/>
        <v>2</v>
      </c>
      <c r="AF8" s="9"/>
      <c r="AH8" s="22">
        <v>3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8"/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9">
        <v>0</v>
      </c>
    </row>
    <row r="9" spans="2:46" x14ac:dyDescent="0.3">
      <c r="B9" s="43">
        <v>4</v>
      </c>
      <c r="C9" s="20">
        <v>6</v>
      </c>
      <c r="D9" s="8"/>
      <c r="E9" s="44">
        <v>4</v>
      </c>
      <c r="F9" s="24">
        <v>7</v>
      </c>
      <c r="G9" s="8"/>
      <c r="H9" s="44">
        <v>4</v>
      </c>
      <c r="I9" s="14">
        <v>7</v>
      </c>
      <c r="J9" s="8"/>
      <c r="K9" s="44">
        <v>4</v>
      </c>
      <c r="L9" s="14">
        <v>7</v>
      </c>
      <c r="M9" s="8"/>
      <c r="N9" s="44">
        <v>4</v>
      </c>
      <c r="O9" s="14">
        <v>0.2</v>
      </c>
      <c r="P9" s="8"/>
      <c r="Q9" s="44">
        <v>4</v>
      </c>
      <c r="R9" s="14">
        <v>1</v>
      </c>
      <c r="S9" s="8"/>
      <c r="T9" s="44">
        <v>4</v>
      </c>
      <c r="U9" s="20">
        <v>9</v>
      </c>
      <c r="V9" s="8"/>
      <c r="W9" s="8"/>
      <c r="X9" s="8"/>
      <c r="Y9" s="8"/>
      <c r="Z9" s="44">
        <v>4</v>
      </c>
      <c r="AA9" s="16">
        <f t="shared" si="0"/>
        <v>4</v>
      </c>
      <c r="AB9" s="16">
        <f t="shared" si="1"/>
        <v>4</v>
      </c>
      <c r="AC9" s="16">
        <f t="shared" si="2"/>
        <v>3</v>
      </c>
      <c r="AD9" s="16">
        <f t="shared" si="3"/>
        <v>3</v>
      </c>
      <c r="AE9" s="16">
        <f t="shared" si="4"/>
        <v>4</v>
      </c>
      <c r="AF9" s="9"/>
      <c r="AH9" s="22">
        <v>4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8"/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9">
        <v>0</v>
      </c>
    </row>
    <row r="10" spans="2:46" x14ac:dyDescent="0.3">
      <c r="B10" s="43">
        <v>5</v>
      </c>
      <c r="C10" s="20">
        <v>11</v>
      </c>
      <c r="D10" s="8"/>
      <c r="E10" s="44">
        <v>5</v>
      </c>
      <c r="F10" s="24">
        <v>9</v>
      </c>
      <c r="G10" s="8"/>
      <c r="H10" s="44">
        <v>5</v>
      </c>
      <c r="I10" s="14">
        <v>9</v>
      </c>
      <c r="J10" s="8"/>
      <c r="K10" s="44">
        <v>5</v>
      </c>
      <c r="L10" s="14">
        <v>5</v>
      </c>
      <c r="M10" s="8"/>
      <c r="N10" s="44">
        <v>5</v>
      </c>
      <c r="O10" s="14">
        <v>0.9</v>
      </c>
      <c r="P10" s="8"/>
      <c r="Q10" s="44">
        <v>5</v>
      </c>
      <c r="R10" s="14">
        <v>1</v>
      </c>
      <c r="S10" s="8"/>
      <c r="T10" s="44">
        <v>5</v>
      </c>
      <c r="U10" s="20">
        <v>16</v>
      </c>
      <c r="V10" s="8"/>
      <c r="W10" s="8"/>
      <c r="X10" s="8"/>
      <c r="Y10" s="8"/>
      <c r="Z10" s="44">
        <v>5</v>
      </c>
      <c r="AA10" s="16">
        <f t="shared" si="0"/>
        <v>3</v>
      </c>
      <c r="AB10" s="16">
        <f t="shared" si="1"/>
        <v>3</v>
      </c>
      <c r="AC10" s="16">
        <f t="shared" si="2"/>
        <v>2</v>
      </c>
      <c r="AD10" s="16">
        <f t="shared" si="3"/>
        <v>3</v>
      </c>
      <c r="AE10" s="16">
        <f t="shared" si="4"/>
        <v>3</v>
      </c>
      <c r="AF10" s="9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8"/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9">
        <v>0</v>
      </c>
    </row>
    <row r="11" spans="2:46" x14ac:dyDescent="0.3">
      <c r="B11" s="43">
        <v>6</v>
      </c>
      <c r="C11" s="20">
        <v>14</v>
      </c>
      <c r="D11" s="8"/>
      <c r="E11" s="44">
        <v>6</v>
      </c>
      <c r="F11" s="24">
        <v>6</v>
      </c>
      <c r="G11" s="8"/>
      <c r="H11" s="44">
        <v>6</v>
      </c>
      <c r="I11" s="14">
        <v>8</v>
      </c>
      <c r="J11" s="8"/>
      <c r="K11" s="44">
        <v>6</v>
      </c>
      <c r="L11" s="14">
        <v>2</v>
      </c>
      <c r="M11" s="8"/>
      <c r="N11" s="44">
        <v>6</v>
      </c>
      <c r="O11" s="14">
        <v>0.4</v>
      </c>
      <c r="P11" s="8"/>
      <c r="Q11" s="44">
        <v>6</v>
      </c>
      <c r="R11" s="14">
        <v>1</v>
      </c>
      <c r="S11" s="8"/>
      <c r="T11" s="44">
        <v>6</v>
      </c>
      <c r="U11" s="20">
        <v>21</v>
      </c>
      <c r="V11" s="8"/>
      <c r="W11" s="8"/>
      <c r="X11" s="8"/>
      <c r="Y11" s="8"/>
      <c r="Z11" s="44">
        <v>6</v>
      </c>
      <c r="AA11" s="16">
        <f t="shared" si="0"/>
        <v>4</v>
      </c>
      <c r="AB11" s="16">
        <f t="shared" si="1"/>
        <v>3</v>
      </c>
      <c r="AC11" s="16">
        <f t="shared" si="2"/>
        <v>3</v>
      </c>
      <c r="AD11" s="16">
        <f t="shared" si="3"/>
        <v>3</v>
      </c>
      <c r="AE11" s="16">
        <f t="shared" si="4"/>
        <v>3</v>
      </c>
      <c r="AF11" s="9"/>
      <c r="AH11" s="22">
        <v>6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8"/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9">
        <v>0</v>
      </c>
    </row>
    <row r="12" spans="2:46" x14ac:dyDescent="0.3">
      <c r="B12" s="43">
        <v>7</v>
      </c>
      <c r="C12" s="20">
        <v>14</v>
      </c>
      <c r="D12" s="8"/>
      <c r="E12" s="44">
        <v>7</v>
      </c>
      <c r="F12" s="24">
        <v>9</v>
      </c>
      <c r="G12" s="8"/>
      <c r="H12" s="44">
        <v>7</v>
      </c>
      <c r="I12" s="14">
        <v>6</v>
      </c>
      <c r="J12" s="8"/>
      <c r="K12" s="44">
        <v>7</v>
      </c>
      <c r="L12" s="14">
        <v>1</v>
      </c>
      <c r="M12" s="8"/>
      <c r="N12" s="44">
        <v>7</v>
      </c>
      <c r="O12" s="14">
        <v>0.5</v>
      </c>
      <c r="P12" s="8"/>
      <c r="Q12" s="44">
        <v>7</v>
      </c>
      <c r="R12" s="14">
        <v>1</v>
      </c>
      <c r="S12" s="8"/>
      <c r="T12" s="44">
        <v>7</v>
      </c>
      <c r="U12" s="20">
        <v>11</v>
      </c>
      <c r="V12" s="8"/>
      <c r="W12" s="8"/>
      <c r="X12" s="8"/>
      <c r="Y12" s="8"/>
      <c r="Z12" s="44">
        <v>7</v>
      </c>
      <c r="AA12" s="16">
        <f t="shared" si="0"/>
        <v>5</v>
      </c>
      <c r="AB12" s="16">
        <f t="shared" si="1"/>
        <v>5</v>
      </c>
      <c r="AC12" s="16">
        <f t="shared" si="2"/>
        <v>4</v>
      </c>
      <c r="AD12" s="16">
        <f t="shared" si="3"/>
        <v>4</v>
      </c>
      <c r="AE12" s="16">
        <f t="shared" si="4"/>
        <v>4</v>
      </c>
      <c r="AF12" s="9"/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8"/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9">
        <v>0</v>
      </c>
    </row>
    <row r="13" spans="2:46" x14ac:dyDescent="0.3">
      <c r="B13" s="43">
        <v>8</v>
      </c>
      <c r="C13" s="20">
        <v>6</v>
      </c>
      <c r="D13" s="8"/>
      <c r="E13" s="44">
        <v>8</v>
      </c>
      <c r="F13" s="24">
        <v>5</v>
      </c>
      <c r="G13" s="8"/>
      <c r="H13" s="44">
        <v>8</v>
      </c>
      <c r="I13" s="14">
        <v>9</v>
      </c>
      <c r="J13" s="8"/>
      <c r="K13" s="44">
        <v>8</v>
      </c>
      <c r="L13" s="14">
        <v>6</v>
      </c>
      <c r="M13" s="8"/>
      <c r="N13" s="44">
        <v>8</v>
      </c>
      <c r="O13" s="14">
        <v>0.3</v>
      </c>
      <c r="P13" s="8"/>
      <c r="Q13" s="44">
        <v>8</v>
      </c>
      <c r="R13" s="14">
        <v>1</v>
      </c>
      <c r="S13" s="8"/>
      <c r="T13" s="44">
        <v>8</v>
      </c>
      <c r="U13" s="20">
        <v>18</v>
      </c>
      <c r="V13" s="8"/>
      <c r="W13" s="8"/>
      <c r="X13" s="8"/>
      <c r="Y13" s="8"/>
      <c r="Z13" s="44">
        <v>8</v>
      </c>
      <c r="AA13" s="16">
        <f t="shared" si="0"/>
        <v>3</v>
      </c>
      <c r="AB13" s="16">
        <f t="shared" si="1"/>
        <v>3</v>
      </c>
      <c r="AC13" s="16">
        <f t="shared" si="2"/>
        <v>2</v>
      </c>
      <c r="AD13" s="16">
        <f t="shared" si="3"/>
        <v>3</v>
      </c>
      <c r="AE13" s="16">
        <f t="shared" si="4"/>
        <v>3</v>
      </c>
      <c r="AF13" s="9"/>
      <c r="AH13" s="22">
        <v>8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8"/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9">
        <v>0</v>
      </c>
    </row>
    <row r="14" spans="2:46" x14ac:dyDescent="0.3">
      <c r="B14" s="43">
        <v>9</v>
      </c>
      <c r="C14" s="20">
        <v>5</v>
      </c>
      <c r="D14" s="8"/>
      <c r="E14" s="44">
        <v>9</v>
      </c>
      <c r="F14" s="24">
        <v>9</v>
      </c>
      <c r="G14" s="8"/>
      <c r="H14" s="44">
        <v>9</v>
      </c>
      <c r="I14" s="14">
        <v>9</v>
      </c>
      <c r="J14" s="8"/>
      <c r="K14" s="44">
        <v>9</v>
      </c>
      <c r="L14" s="14">
        <v>7</v>
      </c>
      <c r="M14" s="8"/>
      <c r="N14" s="44">
        <v>9</v>
      </c>
      <c r="O14" s="14">
        <v>0.8</v>
      </c>
      <c r="P14" s="8"/>
      <c r="Q14" s="44">
        <v>9</v>
      </c>
      <c r="R14" s="14">
        <v>2</v>
      </c>
      <c r="S14" s="8"/>
      <c r="T14" s="44">
        <v>9</v>
      </c>
      <c r="U14" s="20">
        <v>11</v>
      </c>
      <c r="V14" s="8"/>
      <c r="W14" s="8"/>
      <c r="X14" s="8"/>
      <c r="Y14" s="8"/>
      <c r="Z14" s="44">
        <v>9</v>
      </c>
      <c r="AA14" s="16">
        <f t="shared" si="0"/>
        <v>3</v>
      </c>
      <c r="AB14" s="16">
        <f t="shared" si="1"/>
        <v>3</v>
      </c>
      <c r="AC14" s="16">
        <f t="shared" si="2"/>
        <v>2</v>
      </c>
      <c r="AD14" s="16">
        <f t="shared" si="3"/>
        <v>3</v>
      </c>
      <c r="AE14" s="16">
        <f t="shared" si="4"/>
        <v>3</v>
      </c>
      <c r="AF14" s="9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8"/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9">
        <v>0</v>
      </c>
    </row>
    <row r="15" spans="2:46" x14ac:dyDescent="0.3">
      <c r="B15" s="43">
        <v>10</v>
      </c>
      <c r="C15" s="20">
        <v>11</v>
      </c>
      <c r="D15" s="8"/>
      <c r="E15" s="44">
        <v>10</v>
      </c>
      <c r="F15" s="21">
        <v>10</v>
      </c>
      <c r="G15" s="8"/>
      <c r="H15" s="44">
        <v>10</v>
      </c>
      <c r="I15" s="14">
        <v>9</v>
      </c>
      <c r="J15" s="8"/>
      <c r="K15" s="44">
        <v>10</v>
      </c>
      <c r="L15" s="14">
        <v>3</v>
      </c>
      <c r="M15" s="8"/>
      <c r="N15" s="44">
        <v>10</v>
      </c>
      <c r="O15" s="14">
        <v>0.8</v>
      </c>
      <c r="P15" s="8"/>
      <c r="Q15" s="44">
        <v>10</v>
      </c>
      <c r="R15" s="14">
        <v>1</v>
      </c>
      <c r="S15" s="8"/>
      <c r="T15" s="44">
        <v>10</v>
      </c>
      <c r="U15" s="20">
        <v>11</v>
      </c>
      <c r="V15" s="8"/>
      <c r="W15" s="8"/>
      <c r="X15" s="8"/>
      <c r="Y15" s="8"/>
      <c r="Z15" s="44">
        <v>10</v>
      </c>
      <c r="AA15" s="16">
        <f t="shared" si="0"/>
        <v>3</v>
      </c>
      <c r="AB15" s="16">
        <f t="shared" si="1"/>
        <v>3</v>
      </c>
      <c r="AC15" s="16">
        <f t="shared" si="2"/>
        <v>2</v>
      </c>
      <c r="AD15" s="16">
        <f t="shared" si="3"/>
        <v>3</v>
      </c>
      <c r="AE15" s="16">
        <f t="shared" si="4"/>
        <v>3</v>
      </c>
      <c r="AF15" s="9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8"/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9">
        <v>0</v>
      </c>
    </row>
    <row r="16" spans="2:46" x14ac:dyDescent="0.3">
      <c r="B16" s="43">
        <v>11</v>
      </c>
      <c r="C16" s="20">
        <v>12</v>
      </c>
      <c r="D16" s="8"/>
      <c r="E16" s="44">
        <v>11</v>
      </c>
      <c r="F16" s="24">
        <v>7</v>
      </c>
      <c r="G16" s="8"/>
      <c r="H16" s="44">
        <v>11</v>
      </c>
      <c r="I16" s="14">
        <v>5</v>
      </c>
      <c r="J16" s="8"/>
      <c r="K16" s="44">
        <v>11</v>
      </c>
      <c r="L16" s="14">
        <v>4</v>
      </c>
      <c r="M16" s="8"/>
      <c r="N16" s="44">
        <v>11</v>
      </c>
      <c r="O16" s="14">
        <v>0.1</v>
      </c>
      <c r="P16" s="8"/>
      <c r="Q16" s="44">
        <v>11</v>
      </c>
      <c r="R16" s="14">
        <v>2</v>
      </c>
      <c r="S16" s="8"/>
      <c r="T16" s="44">
        <v>11</v>
      </c>
      <c r="U16" s="20">
        <v>17</v>
      </c>
      <c r="V16" s="8"/>
      <c r="W16" s="8"/>
      <c r="X16" s="8"/>
      <c r="Y16" s="8"/>
      <c r="Z16" s="44">
        <v>11</v>
      </c>
      <c r="AA16" s="16">
        <f t="shared" si="0"/>
        <v>6</v>
      </c>
      <c r="AB16" s="16">
        <f t="shared" si="1"/>
        <v>6</v>
      </c>
      <c r="AC16" s="16">
        <f t="shared" si="2"/>
        <v>5</v>
      </c>
      <c r="AD16" s="16">
        <f t="shared" si="3"/>
        <v>5</v>
      </c>
      <c r="AE16" s="16">
        <f t="shared" si="4"/>
        <v>5</v>
      </c>
      <c r="AF16" s="9"/>
      <c r="AH16" s="22">
        <v>11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8"/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9">
        <v>0</v>
      </c>
    </row>
    <row r="17" spans="2:46" x14ac:dyDescent="0.3">
      <c r="B17" s="43">
        <v>12</v>
      </c>
      <c r="C17" s="20">
        <v>8</v>
      </c>
      <c r="D17" s="8"/>
      <c r="E17" s="44">
        <v>12</v>
      </c>
      <c r="F17" s="24">
        <v>5</v>
      </c>
      <c r="G17" s="8"/>
      <c r="H17" s="44">
        <v>12</v>
      </c>
      <c r="I17" s="14">
        <v>6</v>
      </c>
      <c r="J17" s="8"/>
      <c r="K17" s="44">
        <v>12</v>
      </c>
      <c r="L17" s="14">
        <v>7</v>
      </c>
      <c r="M17" s="8"/>
      <c r="N17" s="44">
        <v>12</v>
      </c>
      <c r="O17" s="14">
        <v>0.8</v>
      </c>
      <c r="P17" s="8"/>
      <c r="Q17" s="44">
        <v>12</v>
      </c>
      <c r="R17" s="14">
        <v>2</v>
      </c>
      <c r="S17" s="8"/>
      <c r="T17" s="44">
        <v>12</v>
      </c>
      <c r="U17" s="20">
        <v>22</v>
      </c>
      <c r="V17" s="8"/>
      <c r="W17" s="8"/>
      <c r="X17" s="8"/>
      <c r="Y17" s="8"/>
      <c r="Z17" s="44">
        <v>12</v>
      </c>
      <c r="AA17" s="16">
        <f t="shared" si="0"/>
        <v>5</v>
      </c>
      <c r="AB17" s="16">
        <f t="shared" si="1"/>
        <v>5</v>
      </c>
      <c r="AC17" s="16">
        <f t="shared" si="2"/>
        <v>4</v>
      </c>
      <c r="AD17" s="16">
        <f t="shared" si="3"/>
        <v>4</v>
      </c>
      <c r="AE17" s="16">
        <f t="shared" si="4"/>
        <v>4</v>
      </c>
      <c r="AF17" s="9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8"/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9">
        <v>0</v>
      </c>
    </row>
    <row r="18" spans="2:46" x14ac:dyDescent="0.3">
      <c r="B18" s="43">
        <v>13</v>
      </c>
      <c r="C18" s="20">
        <v>11</v>
      </c>
      <c r="D18" s="8"/>
      <c r="E18" s="44">
        <v>13</v>
      </c>
      <c r="F18" s="24">
        <v>7</v>
      </c>
      <c r="G18" s="8"/>
      <c r="H18" s="44">
        <v>13</v>
      </c>
      <c r="I18" s="14">
        <v>6</v>
      </c>
      <c r="J18" s="8"/>
      <c r="K18" s="44">
        <v>13</v>
      </c>
      <c r="L18" s="14">
        <v>2</v>
      </c>
      <c r="M18" s="8"/>
      <c r="N18" s="44">
        <v>13</v>
      </c>
      <c r="O18" s="14">
        <v>0.1</v>
      </c>
      <c r="P18" s="8"/>
      <c r="Q18" s="44">
        <v>13</v>
      </c>
      <c r="R18" s="14">
        <v>1</v>
      </c>
      <c r="S18" s="8"/>
      <c r="T18" s="44">
        <v>13</v>
      </c>
      <c r="U18" s="20">
        <v>12</v>
      </c>
      <c r="V18" s="8"/>
      <c r="W18" s="8"/>
      <c r="X18" s="8"/>
      <c r="Y18" s="8"/>
      <c r="Z18" s="44">
        <v>13</v>
      </c>
      <c r="AA18" s="16">
        <f t="shared" si="0"/>
        <v>5</v>
      </c>
      <c r="AB18" s="16">
        <f t="shared" si="1"/>
        <v>5</v>
      </c>
      <c r="AC18" s="16">
        <f t="shared" si="2"/>
        <v>4</v>
      </c>
      <c r="AD18" s="16">
        <f t="shared" si="3"/>
        <v>4</v>
      </c>
      <c r="AE18" s="16">
        <f t="shared" si="4"/>
        <v>4</v>
      </c>
      <c r="AF18" s="9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8"/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9">
        <v>0</v>
      </c>
    </row>
    <row r="19" spans="2:46" x14ac:dyDescent="0.3">
      <c r="B19" s="43">
        <v>14</v>
      </c>
      <c r="C19" s="20">
        <v>13</v>
      </c>
      <c r="D19" s="8"/>
      <c r="E19" s="44">
        <v>14</v>
      </c>
      <c r="F19" s="24">
        <v>8</v>
      </c>
      <c r="G19" s="8"/>
      <c r="H19" s="44">
        <v>14</v>
      </c>
      <c r="I19" s="14">
        <v>9</v>
      </c>
      <c r="J19" s="8"/>
      <c r="K19" s="44">
        <v>14</v>
      </c>
      <c r="L19" s="14">
        <v>9</v>
      </c>
      <c r="M19" s="8"/>
      <c r="N19" s="44">
        <v>14</v>
      </c>
      <c r="O19" s="14">
        <v>0.8</v>
      </c>
      <c r="P19" s="8"/>
      <c r="Q19" s="44">
        <v>14</v>
      </c>
      <c r="R19" s="14">
        <v>3</v>
      </c>
      <c r="S19" s="8"/>
      <c r="T19" s="44">
        <v>14</v>
      </c>
      <c r="U19" s="20">
        <v>12</v>
      </c>
      <c r="V19" s="8"/>
      <c r="W19" s="8"/>
      <c r="X19" s="8"/>
      <c r="Y19" s="8"/>
      <c r="Z19" s="44">
        <v>14</v>
      </c>
      <c r="AA19" s="16">
        <f t="shared" si="0"/>
        <v>3</v>
      </c>
      <c r="AB19" s="16">
        <f t="shared" si="1"/>
        <v>3</v>
      </c>
      <c r="AC19" s="16">
        <f t="shared" si="2"/>
        <v>2</v>
      </c>
      <c r="AD19" s="16">
        <f t="shared" si="3"/>
        <v>3</v>
      </c>
      <c r="AE19" s="16">
        <f t="shared" si="4"/>
        <v>3</v>
      </c>
      <c r="AF19" s="9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8"/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9">
        <v>0</v>
      </c>
    </row>
    <row r="20" spans="2:46" x14ac:dyDescent="0.3">
      <c r="B20" s="43">
        <v>15</v>
      </c>
      <c r="C20" s="20">
        <v>7</v>
      </c>
      <c r="D20" s="8"/>
      <c r="E20" s="44">
        <v>15</v>
      </c>
      <c r="F20" s="24">
        <v>9</v>
      </c>
      <c r="G20" s="8"/>
      <c r="H20" s="44">
        <v>15</v>
      </c>
      <c r="I20" s="14">
        <v>8</v>
      </c>
      <c r="J20" s="8"/>
      <c r="K20" s="44">
        <v>15</v>
      </c>
      <c r="L20" s="14">
        <v>11</v>
      </c>
      <c r="M20" s="8"/>
      <c r="N20" s="44">
        <v>15</v>
      </c>
      <c r="O20" s="14">
        <v>0.8</v>
      </c>
      <c r="P20" s="8"/>
      <c r="Q20" s="44">
        <v>15</v>
      </c>
      <c r="R20" s="14">
        <v>3</v>
      </c>
      <c r="S20" s="8"/>
      <c r="T20" s="44">
        <v>15</v>
      </c>
      <c r="U20" s="20">
        <v>19</v>
      </c>
      <c r="V20" s="8"/>
      <c r="W20" s="8"/>
      <c r="X20" s="8"/>
      <c r="Y20" s="8"/>
      <c r="Z20" s="44">
        <v>15</v>
      </c>
      <c r="AA20" s="16">
        <f t="shared" si="0"/>
        <v>4</v>
      </c>
      <c r="AB20" s="16">
        <f t="shared" si="1"/>
        <v>3</v>
      </c>
      <c r="AC20" s="16">
        <f t="shared" si="2"/>
        <v>3</v>
      </c>
      <c r="AD20" s="16">
        <f t="shared" si="3"/>
        <v>3</v>
      </c>
      <c r="AE20" s="16">
        <f t="shared" si="4"/>
        <v>3</v>
      </c>
      <c r="AF20" s="9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8"/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9">
        <v>0</v>
      </c>
    </row>
    <row r="21" spans="2:46" x14ac:dyDescent="0.3">
      <c r="B21" s="43">
        <v>16</v>
      </c>
      <c r="C21" s="20">
        <v>14</v>
      </c>
      <c r="D21" s="8"/>
      <c r="E21" s="44">
        <v>16</v>
      </c>
      <c r="F21" s="21">
        <v>23</v>
      </c>
      <c r="G21" s="8"/>
      <c r="H21" s="44">
        <v>16</v>
      </c>
      <c r="I21" s="14">
        <v>5</v>
      </c>
      <c r="J21" s="8"/>
      <c r="K21" s="44">
        <v>16</v>
      </c>
      <c r="L21" s="14">
        <v>2</v>
      </c>
      <c r="M21" s="8"/>
      <c r="N21" s="44">
        <v>16</v>
      </c>
      <c r="O21" s="14">
        <v>0.1</v>
      </c>
      <c r="P21" s="8"/>
      <c r="Q21" s="44">
        <v>16</v>
      </c>
      <c r="R21" s="14">
        <v>2</v>
      </c>
      <c r="S21" s="8"/>
      <c r="T21" s="44">
        <v>16</v>
      </c>
      <c r="U21" s="20">
        <v>16</v>
      </c>
      <c r="V21" s="8"/>
      <c r="W21" s="8"/>
      <c r="X21" s="8"/>
      <c r="Y21" s="8"/>
      <c r="Z21" s="44">
        <v>16</v>
      </c>
      <c r="AA21" s="16">
        <f t="shared" si="0"/>
        <v>6</v>
      </c>
      <c r="AB21" s="16">
        <f t="shared" si="1"/>
        <v>6</v>
      </c>
      <c r="AC21" s="16">
        <f t="shared" si="2"/>
        <v>5</v>
      </c>
      <c r="AD21" s="16">
        <f t="shared" si="3"/>
        <v>5</v>
      </c>
      <c r="AE21" s="16">
        <f t="shared" si="4"/>
        <v>5</v>
      </c>
      <c r="AF21" s="9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8"/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9">
        <v>0</v>
      </c>
    </row>
    <row r="22" spans="2:46" x14ac:dyDescent="0.3">
      <c r="B22" s="43">
        <v>17</v>
      </c>
      <c r="C22" s="20">
        <v>9</v>
      </c>
      <c r="D22" s="8"/>
      <c r="E22" s="44">
        <v>17</v>
      </c>
      <c r="F22" s="21">
        <v>25</v>
      </c>
      <c r="G22" s="8"/>
      <c r="H22" s="44">
        <v>17</v>
      </c>
      <c r="I22" s="14">
        <v>6</v>
      </c>
      <c r="J22" s="8"/>
      <c r="K22" s="44">
        <v>17</v>
      </c>
      <c r="L22" s="14">
        <v>9</v>
      </c>
      <c r="M22" s="8"/>
      <c r="N22" s="44">
        <v>17</v>
      </c>
      <c r="O22" s="14">
        <v>0.1</v>
      </c>
      <c r="P22" s="8"/>
      <c r="Q22" s="44">
        <v>17</v>
      </c>
      <c r="R22" s="14">
        <v>1</v>
      </c>
      <c r="S22" s="8"/>
      <c r="T22" s="44">
        <v>17</v>
      </c>
      <c r="U22" s="20">
        <v>10</v>
      </c>
      <c r="V22" s="8"/>
      <c r="W22" s="8"/>
      <c r="X22" s="8"/>
      <c r="Y22" s="8"/>
      <c r="Z22" s="44">
        <v>17</v>
      </c>
      <c r="AA22" s="16">
        <f t="shared" si="0"/>
        <v>5</v>
      </c>
      <c r="AB22" s="16">
        <f t="shared" si="1"/>
        <v>5</v>
      </c>
      <c r="AC22" s="16">
        <f t="shared" si="2"/>
        <v>4</v>
      </c>
      <c r="AD22" s="16">
        <f t="shared" si="3"/>
        <v>4</v>
      </c>
      <c r="AE22" s="16">
        <f t="shared" si="4"/>
        <v>4</v>
      </c>
      <c r="AF22" s="9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8"/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9">
        <v>0</v>
      </c>
    </row>
    <row r="23" spans="2:46" x14ac:dyDescent="0.3">
      <c r="B23" s="43">
        <v>18</v>
      </c>
      <c r="C23" s="20">
        <v>10</v>
      </c>
      <c r="D23" s="8"/>
      <c r="E23" s="44">
        <v>18</v>
      </c>
      <c r="F23" s="21">
        <v>17</v>
      </c>
      <c r="G23" s="8"/>
      <c r="H23" s="44">
        <v>18</v>
      </c>
      <c r="I23" s="14">
        <v>8</v>
      </c>
      <c r="J23" s="8"/>
      <c r="K23" s="44">
        <v>18</v>
      </c>
      <c r="L23" s="14">
        <v>1</v>
      </c>
      <c r="M23" s="8"/>
      <c r="N23" s="44">
        <v>18</v>
      </c>
      <c r="O23" s="14">
        <v>0.8</v>
      </c>
      <c r="P23" s="8"/>
      <c r="Q23" s="44">
        <v>18</v>
      </c>
      <c r="R23" s="14">
        <v>2</v>
      </c>
      <c r="S23" s="8"/>
      <c r="T23" s="44">
        <v>18</v>
      </c>
      <c r="U23" s="20">
        <v>16</v>
      </c>
      <c r="V23" s="8"/>
      <c r="W23" s="8"/>
      <c r="X23" s="8"/>
      <c r="Y23" s="8"/>
      <c r="Z23" s="44">
        <v>18</v>
      </c>
      <c r="AA23" s="16">
        <f t="shared" si="0"/>
        <v>4</v>
      </c>
      <c r="AB23" s="16">
        <f t="shared" si="1"/>
        <v>3</v>
      </c>
      <c r="AC23" s="16">
        <f t="shared" si="2"/>
        <v>3</v>
      </c>
      <c r="AD23" s="16">
        <f t="shared" si="3"/>
        <v>3</v>
      </c>
      <c r="AE23" s="16">
        <f t="shared" si="4"/>
        <v>3</v>
      </c>
      <c r="AF23" s="9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8"/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9">
        <v>0</v>
      </c>
    </row>
    <row r="24" spans="2:46" x14ac:dyDescent="0.3">
      <c r="B24" s="43">
        <v>19</v>
      </c>
      <c r="C24" s="20">
        <v>13</v>
      </c>
      <c r="D24" s="8"/>
      <c r="E24" s="44">
        <v>19</v>
      </c>
      <c r="F24" s="21">
        <v>15</v>
      </c>
      <c r="G24" s="8"/>
      <c r="H24" s="44">
        <v>19</v>
      </c>
      <c r="I24" s="14">
        <v>9</v>
      </c>
      <c r="J24" s="8"/>
      <c r="K24" s="44">
        <v>19</v>
      </c>
      <c r="L24" s="14">
        <v>4</v>
      </c>
      <c r="M24" s="8"/>
      <c r="N24" s="44">
        <v>19</v>
      </c>
      <c r="O24" s="14">
        <v>0.2</v>
      </c>
      <c r="P24" s="8"/>
      <c r="Q24" s="44">
        <v>19</v>
      </c>
      <c r="R24" s="14">
        <v>2</v>
      </c>
      <c r="S24" s="8"/>
      <c r="T24" s="44">
        <v>19</v>
      </c>
      <c r="U24" s="20">
        <v>20</v>
      </c>
      <c r="V24" s="8"/>
      <c r="W24" s="8"/>
      <c r="X24" s="8"/>
      <c r="Y24" s="8"/>
      <c r="Z24" s="44">
        <v>19</v>
      </c>
      <c r="AA24" s="16">
        <f t="shared" si="0"/>
        <v>3</v>
      </c>
      <c r="AB24" s="16">
        <f t="shared" si="1"/>
        <v>3</v>
      </c>
      <c r="AC24" s="16">
        <f t="shared" si="2"/>
        <v>2</v>
      </c>
      <c r="AD24" s="16">
        <f t="shared" si="3"/>
        <v>3</v>
      </c>
      <c r="AE24" s="16">
        <f t="shared" si="4"/>
        <v>3</v>
      </c>
      <c r="AF24" s="9"/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8"/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9">
        <v>0</v>
      </c>
    </row>
    <row r="25" spans="2:46" x14ac:dyDescent="0.3">
      <c r="B25" s="43">
        <v>20</v>
      </c>
      <c r="C25" s="20">
        <v>5</v>
      </c>
      <c r="D25" s="8"/>
      <c r="E25" s="44">
        <v>20</v>
      </c>
      <c r="F25" s="21">
        <v>23</v>
      </c>
      <c r="G25" s="8"/>
      <c r="H25" s="44">
        <v>20</v>
      </c>
      <c r="I25" s="14">
        <v>6</v>
      </c>
      <c r="J25" s="8"/>
      <c r="K25" s="44">
        <v>20</v>
      </c>
      <c r="L25" s="14">
        <v>2</v>
      </c>
      <c r="M25" s="8"/>
      <c r="N25" s="44">
        <v>20</v>
      </c>
      <c r="O25" s="14">
        <v>0.6</v>
      </c>
      <c r="P25" s="8"/>
      <c r="Q25" s="44">
        <v>20</v>
      </c>
      <c r="R25" s="14">
        <v>3</v>
      </c>
      <c r="S25" s="8"/>
      <c r="T25" s="44">
        <v>20</v>
      </c>
      <c r="U25" s="20">
        <v>19</v>
      </c>
      <c r="V25" s="8"/>
      <c r="W25" s="8"/>
      <c r="X25" s="8"/>
      <c r="Y25" s="8"/>
      <c r="Z25" s="44">
        <v>20</v>
      </c>
      <c r="AA25" s="16">
        <f t="shared" si="0"/>
        <v>5</v>
      </c>
      <c r="AB25" s="16">
        <f t="shared" si="1"/>
        <v>5</v>
      </c>
      <c r="AC25" s="16">
        <f t="shared" si="2"/>
        <v>4</v>
      </c>
      <c r="AD25" s="16">
        <f t="shared" si="3"/>
        <v>4</v>
      </c>
      <c r="AE25" s="16">
        <f t="shared" si="4"/>
        <v>4</v>
      </c>
      <c r="AF25" s="9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8"/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9">
        <v>0</v>
      </c>
    </row>
    <row r="26" spans="2:46" x14ac:dyDescent="0.3">
      <c r="B26" s="43">
        <v>21</v>
      </c>
      <c r="C26" s="20">
        <v>11</v>
      </c>
      <c r="D26" s="8"/>
      <c r="E26" s="44">
        <v>21</v>
      </c>
      <c r="F26" s="21">
        <v>19</v>
      </c>
      <c r="G26" s="8"/>
      <c r="H26" s="44">
        <v>21</v>
      </c>
      <c r="I26" s="14">
        <v>8</v>
      </c>
      <c r="J26" s="8"/>
      <c r="K26" s="44">
        <v>21</v>
      </c>
      <c r="L26" s="14">
        <v>6</v>
      </c>
      <c r="M26" s="8"/>
      <c r="N26" s="44">
        <v>21</v>
      </c>
      <c r="O26" s="14">
        <v>0.6</v>
      </c>
      <c r="P26" s="8"/>
      <c r="Q26" s="44">
        <v>21</v>
      </c>
      <c r="R26" s="14">
        <v>2</v>
      </c>
      <c r="S26" s="8"/>
      <c r="T26" s="44">
        <v>21</v>
      </c>
      <c r="U26" s="20">
        <v>24</v>
      </c>
      <c r="V26" s="8"/>
      <c r="W26" s="8"/>
      <c r="X26" s="8"/>
      <c r="Y26" s="8"/>
      <c r="Z26" s="44">
        <v>21</v>
      </c>
      <c r="AA26" s="16">
        <f t="shared" si="0"/>
        <v>4</v>
      </c>
      <c r="AB26" s="16">
        <f t="shared" si="1"/>
        <v>3</v>
      </c>
      <c r="AC26" s="16">
        <f t="shared" si="2"/>
        <v>3</v>
      </c>
      <c r="AD26" s="16">
        <f t="shared" si="3"/>
        <v>3</v>
      </c>
      <c r="AE26" s="16">
        <f t="shared" si="4"/>
        <v>3</v>
      </c>
      <c r="AF26" s="9"/>
      <c r="AH26" s="22">
        <v>21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8"/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9">
        <v>0</v>
      </c>
    </row>
    <row r="27" spans="2:46" x14ac:dyDescent="0.3">
      <c r="B27" s="43">
        <v>22</v>
      </c>
      <c r="C27" s="20">
        <v>11</v>
      </c>
      <c r="D27" s="8"/>
      <c r="E27" s="44">
        <v>22</v>
      </c>
      <c r="F27" s="21">
        <v>19</v>
      </c>
      <c r="G27" s="8"/>
      <c r="H27" s="44">
        <v>22</v>
      </c>
      <c r="I27" s="14">
        <v>9</v>
      </c>
      <c r="J27" s="8"/>
      <c r="K27" s="44">
        <v>22</v>
      </c>
      <c r="L27" s="14">
        <v>6</v>
      </c>
      <c r="M27" s="8"/>
      <c r="N27" s="44">
        <v>22</v>
      </c>
      <c r="O27" s="14">
        <v>0.4</v>
      </c>
      <c r="P27" s="8"/>
      <c r="Q27" s="44">
        <v>22</v>
      </c>
      <c r="R27" s="14">
        <v>1</v>
      </c>
      <c r="S27" s="8"/>
      <c r="T27" s="44">
        <v>22</v>
      </c>
      <c r="U27" s="20">
        <v>16</v>
      </c>
      <c r="V27" s="8"/>
      <c r="W27" s="8"/>
      <c r="X27" s="8"/>
      <c r="Y27" s="8"/>
      <c r="Z27" s="44">
        <v>22</v>
      </c>
      <c r="AA27" s="16">
        <f t="shared" si="0"/>
        <v>3</v>
      </c>
      <c r="AB27" s="16">
        <f t="shared" si="1"/>
        <v>3</v>
      </c>
      <c r="AC27" s="16">
        <f t="shared" si="2"/>
        <v>2</v>
      </c>
      <c r="AD27" s="16">
        <f t="shared" si="3"/>
        <v>3</v>
      </c>
      <c r="AE27" s="16">
        <f t="shared" si="4"/>
        <v>3</v>
      </c>
      <c r="AF27" s="9"/>
      <c r="AH27" s="22">
        <v>22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8"/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9">
        <v>0</v>
      </c>
    </row>
    <row r="28" spans="2:46" x14ac:dyDescent="0.3">
      <c r="B28" s="43">
        <v>23</v>
      </c>
      <c r="C28" s="20">
        <v>7</v>
      </c>
      <c r="D28" s="8"/>
      <c r="E28" s="44">
        <v>23</v>
      </c>
      <c r="F28" s="21">
        <v>16</v>
      </c>
      <c r="G28" s="8"/>
      <c r="H28" s="44">
        <v>23</v>
      </c>
      <c r="I28" s="14">
        <v>7</v>
      </c>
      <c r="J28" s="8"/>
      <c r="K28" s="44">
        <v>23</v>
      </c>
      <c r="L28" s="14">
        <v>8</v>
      </c>
      <c r="M28" s="8"/>
      <c r="N28" s="44">
        <v>23</v>
      </c>
      <c r="O28" s="14">
        <v>0.5</v>
      </c>
      <c r="P28" s="8"/>
      <c r="Q28" s="44">
        <v>23</v>
      </c>
      <c r="R28" s="14">
        <v>2</v>
      </c>
      <c r="S28" s="8"/>
      <c r="T28" s="44">
        <v>23</v>
      </c>
      <c r="U28" s="20">
        <v>13</v>
      </c>
      <c r="V28" s="8"/>
      <c r="W28" s="8"/>
      <c r="X28" s="8"/>
      <c r="Y28" s="8"/>
      <c r="Z28" s="44">
        <v>23</v>
      </c>
      <c r="AA28" s="16">
        <f t="shared" si="0"/>
        <v>4</v>
      </c>
      <c r="AB28" s="16">
        <f t="shared" si="1"/>
        <v>4</v>
      </c>
      <c r="AC28" s="16">
        <f t="shared" si="2"/>
        <v>3</v>
      </c>
      <c r="AD28" s="16">
        <f t="shared" si="3"/>
        <v>3</v>
      </c>
      <c r="AE28" s="16">
        <f t="shared" si="4"/>
        <v>4</v>
      </c>
      <c r="AF28" s="9"/>
      <c r="AH28" s="22">
        <v>23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8"/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9">
        <v>0</v>
      </c>
    </row>
    <row r="29" spans="2:46" x14ac:dyDescent="0.3">
      <c r="B29" s="43">
        <v>24</v>
      </c>
      <c r="C29" s="20">
        <v>10</v>
      </c>
      <c r="D29" s="8"/>
      <c r="E29" s="44">
        <v>24</v>
      </c>
      <c r="F29" s="21">
        <v>14</v>
      </c>
      <c r="G29" s="8"/>
      <c r="H29" s="44">
        <v>24</v>
      </c>
      <c r="I29" s="14">
        <v>5</v>
      </c>
      <c r="J29" s="8"/>
      <c r="K29" s="44">
        <v>24</v>
      </c>
      <c r="L29" s="14">
        <v>2</v>
      </c>
      <c r="M29" s="8"/>
      <c r="N29" s="44">
        <v>24</v>
      </c>
      <c r="O29" s="14">
        <v>0.8</v>
      </c>
      <c r="P29" s="8"/>
      <c r="Q29" s="44">
        <v>24</v>
      </c>
      <c r="R29" s="14">
        <v>1</v>
      </c>
      <c r="S29" s="8"/>
      <c r="T29" s="44">
        <v>24</v>
      </c>
      <c r="U29" s="20">
        <v>16</v>
      </c>
      <c r="V29" s="8"/>
      <c r="W29" s="8"/>
      <c r="X29" s="8"/>
      <c r="Y29" s="8"/>
      <c r="Z29" s="44">
        <v>24</v>
      </c>
      <c r="AA29" s="16">
        <f t="shared" si="0"/>
        <v>6</v>
      </c>
      <c r="AB29" s="16">
        <f t="shared" si="1"/>
        <v>6</v>
      </c>
      <c r="AC29" s="16">
        <f t="shared" si="2"/>
        <v>5</v>
      </c>
      <c r="AD29" s="16">
        <f t="shared" si="3"/>
        <v>5</v>
      </c>
      <c r="AE29" s="16">
        <f t="shared" si="4"/>
        <v>5</v>
      </c>
      <c r="AF29" s="9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8"/>
      <c r="AO29" s="23">
        <v>24</v>
      </c>
      <c r="AP29" s="16">
        <v>0</v>
      </c>
      <c r="AQ29" s="16">
        <v>0</v>
      </c>
      <c r="AR29" s="16">
        <v>0</v>
      </c>
      <c r="AS29" s="16">
        <v>0</v>
      </c>
      <c r="AT29" s="19">
        <v>0</v>
      </c>
    </row>
    <row r="30" spans="2:46" x14ac:dyDescent="0.3">
      <c r="B30" s="43">
        <v>25</v>
      </c>
      <c r="C30" s="20">
        <v>13</v>
      </c>
      <c r="D30" s="8"/>
      <c r="E30" s="44">
        <v>25</v>
      </c>
      <c r="F30" s="21">
        <v>16</v>
      </c>
      <c r="G30" s="8"/>
      <c r="H30" s="44">
        <v>25</v>
      </c>
      <c r="I30" s="14">
        <v>10</v>
      </c>
      <c r="J30" s="8"/>
      <c r="K30" s="44">
        <v>25</v>
      </c>
      <c r="L30" s="14">
        <v>4</v>
      </c>
      <c r="M30" s="8"/>
      <c r="N30" s="44">
        <v>25</v>
      </c>
      <c r="O30" s="14">
        <v>0.9</v>
      </c>
      <c r="P30" s="8"/>
      <c r="Q30" s="44">
        <v>25</v>
      </c>
      <c r="R30" s="14">
        <v>2</v>
      </c>
      <c r="S30" s="8"/>
      <c r="T30" s="44">
        <v>25</v>
      </c>
      <c r="U30" s="20">
        <v>14</v>
      </c>
      <c r="V30" s="8"/>
      <c r="W30" s="8"/>
      <c r="X30" s="8"/>
      <c r="Y30" s="8"/>
      <c r="Z30" s="44">
        <v>25</v>
      </c>
      <c r="AA30" s="16">
        <f t="shared" si="0"/>
        <v>3</v>
      </c>
      <c r="AB30" s="16">
        <f t="shared" si="1"/>
        <v>3</v>
      </c>
      <c r="AC30" s="16">
        <f t="shared" si="2"/>
        <v>2</v>
      </c>
      <c r="AD30" s="16">
        <f>$F$36/$I30-MOD($F$36/$I30,1)</f>
        <v>2</v>
      </c>
      <c r="AE30" s="16">
        <f t="shared" si="4"/>
        <v>2</v>
      </c>
      <c r="AF30" s="9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8"/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9">
        <v>0</v>
      </c>
    </row>
    <row r="31" spans="2:46" ht="16.2" thickBot="1" x14ac:dyDescent="0.35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H31" s="25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7"/>
    </row>
    <row r="32" spans="2:46" x14ac:dyDescent="0.3">
      <c r="B32" s="7"/>
      <c r="C32" s="11" t="s">
        <v>18</v>
      </c>
      <c r="D32" s="11"/>
      <c r="E32" s="8"/>
      <c r="F32" s="11" t="s">
        <v>19</v>
      </c>
      <c r="G32" s="11"/>
      <c r="H32" s="8"/>
      <c r="I32" s="11" t="s">
        <v>20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</row>
    <row r="33" spans="2:42" x14ac:dyDescent="0.3">
      <c r="B33" s="43">
        <v>1</v>
      </c>
      <c r="C33" s="28">
        <v>50</v>
      </c>
      <c r="D33" s="11"/>
      <c r="E33" s="44">
        <v>1</v>
      </c>
      <c r="F33" s="28">
        <v>34</v>
      </c>
      <c r="G33" s="45"/>
      <c r="H33" s="44">
        <v>1</v>
      </c>
      <c r="I33" s="28">
        <v>0.25</v>
      </c>
      <c r="J33" s="29"/>
      <c r="K33" s="30"/>
      <c r="L33" s="2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</row>
    <row r="34" spans="2:42" x14ac:dyDescent="0.3">
      <c r="B34" s="43">
        <v>2</v>
      </c>
      <c r="C34" s="28">
        <v>65</v>
      </c>
      <c r="D34" s="11"/>
      <c r="E34" s="44">
        <v>2</v>
      </c>
      <c r="F34" s="28">
        <v>30</v>
      </c>
      <c r="G34" s="45"/>
      <c r="H34" s="44">
        <v>2</v>
      </c>
      <c r="I34" s="28">
        <v>0.6</v>
      </c>
      <c r="J34" s="8"/>
      <c r="K34" s="31"/>
      <c r="L34" s="3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" t="s">
        <v>35</v>
      </c>
      <c r="AB34" s="8"/>
      <c r="AC34" s="8"/>
      <c r="AD34" s="8"/>
      <c r="AE34" s="8"/>
      <c r="AF34" s="9"/>
      <c r="AI34" s="1" t="s">
        <v>35</v>
      </c>
      <c r="AP34" s="1" t="s">
        <v>35</v>
      </c>
    </row>
    <row r="35" spans="2:42" x14ac:dyDescent="0.3">
      <c r="B35" s="43">
        <v>3</v>
      </c>
      <c r="C35" s="28">
        <v>80</v>
      </c>
      <c r="D35" s="11"/>
      <c r="E35" s="44">
        <v>3</v>
      </c>
      <c r="F35" s="8">
        <v>26</v>
      </c>
      <c r="G35" s="45"/>
      <c r="H35" s="44">
        <v>3</v>
      </c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>
        <f>COLUMN()</f>
        <v>27</v>
      </c>
      <c r="AB35" s="8"/>
      <c r="AC35" s="8"/>
      <c r="AD35" s="8"/>
      <c r="AE35" s="8"/>
      <c r="AF35" s="9"/>
      <c r="AI35" s="1">
        <f>COLUMN()</f>
        <v>35</v>
      </c>
      <c r="AP35" s="1">
        <f>COLUMN()</f>
        <v>42</v>
      </c>
    </row>
    <row r="36" spans="2:42" x14ac:dyDescent="0.3">
      <c r="B36" s="43">
        <v>4</v>
      </c>
      <c r="C36" s="28">
        <v>95</v>
      </c>
      <c r="D36" s="11"/>
      <c r="E36" s="44">
        <v>4</v>
      </c>
      <c r="F36" s="8">
        <v>27</v>
      </c>
      <c r="G36" s="45"/>
      <c r="H36" s="44">
        <v>4</v>
      </c>
      <c r="I36" s="8">
        <v>0.6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</row>
    <row r="37" spans="2:42" x14ac:dyDescent="0.3">
      <c r="B37" s="43">
        <v>5</v>
      </c>
      <c r="C37" s="28">
        <v>110</v>
      </c>
      <c r="D37" s="11"/>
      <c r="E37" s="44">
        <v>5</v>
      </c>
      <c r="F37" s="8">
        <v>29</v>
      </c>
      <c r="G37" s="45"/>
      <c r="H37" s="44">
        <v>5</v>
      </c>
      <c r="I37" s="8">
        <v>0.25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</row>
    <row r="38" spans="2:42" x14ac:dyDescent="0.3">
      <c r="B38" s="32"/>
      <c r="C38" s="2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9"/>
    </row>
    <row r="39" spans="2:42" x14ac:dyDescent="0.3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9"/>
    </row>
    <row r="40" spans="2:42" x14ac:dyDescent="0.3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9"/>
    </row>
    <row r="41" spans="2:42" x14ac:dyDescent="0.3">
      <c r="B41" s="10" t="s">
        <v>21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9"/>
    </row>
    <row r="42" spans="2:42" x14ac:dyDescent="0.3">
      <c r="B42" s="7">
        <v>2</v>
      </c>
      <c r="C42" s="8">
        <v>5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</row>
    <row r="43" spans="2:42" x14ac:dyDescent="0.3">
      <c r="B43" s="7">
        <v>3</v>
      </c>
      <c r="C43" s="8">
        <v>8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9"/>
    </row>
    <row r="44" spans="2:42" x14ac:dyDescent="0.3">
      <c r="B44" s="7">
        <v>16</v>
      </c>
      <c r="C44" s="8">
        <v>20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9"/>
    </row>
    <row r="45" spans="2:42" x14ac:dyDescent="0.3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9"/>
    </row>
    <row r="46" spans="2:42" x14ac:dyDescent="0.3">
      <c r="B46" s="10" t="s">
        <v>22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9"/>
    </row>
    <row r="47" spans="2:42" x14ac:dyDescent="0.3">
      <c r="B47" s="7">
        <v>1</v>
      </c>
      <c r="C47" s="8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9"/>
    </row>
    <row r="48" spans="2:42" x14ac:dyDescent="0.3">
      <c r="B48" s="7">
        <v>3</v>
      </c>
      <c r="C48" s="8">
        <v>8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9"/>
      <c r="AH48" s="8" t="s">
        <v>26</v>
      </c>
    </row>
    <row r="49" spans="1:69" x14ac:dyDescent="0.3">
      <c r="B49" s="7">
        <v>9</v>
      </c>
      <c r="C49" s="8">
        <v>15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9"/>
      <c r="AH49" s="1">
        <f ca="1">SUM(INDIRECT(ADDRESS(6,26+ROWS($A$1:A1))):INDIRECT(ADDRESS(30,26+ROWS($A$1:A1))))</f>
        <v>103</v>
      </c>
    </row>
    <row r="50" spans="1:69" ht="16.2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  <c r="AH50" s="1">
        <f ca="1">SUM(INDIRECT(ADDRESS(6,26+ROWS($A$1:A2))):INDIRECT(ADDRESS(30,26+ROWS($A$1:A2))))</f>
        <v>99</v>
      </c>
    </row>
    <row r="51" spans="1:69" ht="16.2" thickBot="1" x14ac:dyDescent="0.35">
      <c r="AH51" s="1">
        <f ca="1">SUM(INDIRECT(ADDRESS(6,26+ROWS($A$1:A3))):INDIRECT(ADDRESS(30,26+ROWS($A$1:A3))))</f>
        <v>78</v>
      </c>
    </row>
    <row r="52" spans="1:69" x14ac:dyDescent="0.3">
      <c r="B52" s="2" t="s">
        <v>7</v>
      </c>
      <c r="C52" s="3"/>
      <c r="D52" s="3"/>
      <c r="E52" s="3"/>
      <c r="F52" s="5"/>
      <c r="H52" s="6" t="s">
        <v>0</v>
      </c>
      <c r="I52" s="4"/>
      <c r="J52" s="33"/>
      <c r="AH52" s="1">
        <f ca="1">SUM(INDIRECT(ADDRESS(6,26+ROWS($A$1:A4))):INDIRECT(ADDRESS(30,26+ROWS($A$1:A4))))</f>
        <v>85</v>
      </c>
    </row>
    <row r="53" spans="1:69" x14ac:dyDescent="0.3">
      <c r="B53" s="7"/>
      <c r="C53" s="8"/>
      <c r="D53" s="8"/>
      <c r="E53" s="8"/>
      <c r="F53" s="9"/>
      <c r="H53" s="10" t="s">
        <v>2</v>
      </c>
      <c r="I53" s="11"/>
      <c r="J53" s="34"/>
      <c r="AH53" s="1">
        <f ca="1">SUM(INDIRECT(ADDRESS(6,26+ROWS($A$1:A5))):INDIRECT(ADDRESS(30,26+ROWS($A$1:A5))))</f>
        <v>88</v>
      </c>
    </row>
    <row r="54" spans="1:69" ht="16.2" thickBot="1" x14ac:dyDescent="0.35">
      <c r="B54" s="7"/>
      <c r="C54" s="8"/>
      <c r="D54" s="8"/>
      <c r="E54" s="8"/>
      <c r="F54" s="9"/>
      <c r="H54" s="35" t="s">
        <v>1</v>
      </c>
      <c r="I54" s="36"/>
      <c r="J54" s="37"/>
    </row>
    <row r="55" spans="1:69" ht="16.2" thickBot="1" x14ac:dyDescent="0.35">
      <c r="B55" s="25" cm="1">
        <f t="array" ref="B55">SUMPRODUCT(MMULT(C6:C30*L6:L30*POWER(AP6:AT30,O6:O30),I33:I37))</f>
        <v>0</v>
      </c>
      <c r="C55" s="26"/>
      <c r="D55" s="26"/>
      <c r="E55" s="26"/>
      <c r="F55" s="27"/>
    </row>
    <row r="56" spans="1:69" ht="16.2" thickBot="1" x14ac:dyDescent="0.35"/>
    <row r="57" spans="1:69" x14ac:dyDescent="0.3">
      <c r="B57" s="2" t="s">
        <v>8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5"/>
      <c r="BN57" s="8"/>
      <c r="BO57" s="8"/>
      <c r="BP57" s="8"/>
      <c r="BQ57" s="8"/>
    </row>
    <row r="58" spans="1:69" x14ac:dyDescent="0.3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9"/>
      <c r="BN58" s="8"/>
      <c r="BO58" s="8"/>
      <c r="BP58" s="8"/>
      <c r="BQ58" s="8"/>
    </row>
    <row r="59" spans="1:69" x14ac:dyDescent="0.3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9"/>
      <c r="BN59" s="8"/>
      <c r="BO59" s="8"/>
      <c r="BP59" s="8"/>
      <c r="BQ59" s="8"/>
    </row>
    <row r="60" spans="1:69" x14ac:dyDescent="0.3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9"/>
      <c r="BN60" s="8"/>
      <c r="BO60" s="8"/>
      <c r="BP60" s="8"/>
      <c r="BQ60" s="8"/>
    </row>
    <row r="61" spans="1:69" x14ac:dyDescent="0.3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9"/>
      <c r="BN61" s="8"/>
      <c r="BO61" s="8"/>
      <c r="BP61" s="8"/>
      <c r="BQ61" s="8"/>
    </row>
    <row r="62" spans="1:69" x14ac:dyDescent="0.3">
      <c r="A62" s="8"/>
      <c r="B62" s="7" t="s">
        <v>24</v>
      </c>
      <c r="C62" s="8"/>
      <c r="D62" s="8"/>
      <c r="E62" s="8"/>
      <c r="F62" s="8"/>
      <c r="G62" s="8" t="s">
        <v>25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 t="s">
        <v>28</v>
      </c>
      <c r="U62" s="8"/>
      <c r="V62" s="8"/>
      <c r="W62" s="8"/>
      <c r="X62" s="8"/>
      <c r="Y62" s="8" t="s">
        <v>29</v>
      </c>
      <c r="Z62" s="8"/>
      <c r="AA62" s="8"/>
      <c r="AB62" s="8"/>
      <c r="AC62" s="8"/>
      <c r="AD62" s="8" t="s">
        <v>27</v>
      </c>
      <c r="AE62" s="8"/>
      <c r="AF62" s="8"/>
      <c r="AG62" s="8"/>
      <c r="AH62" s="8"/>
      <c r="AI62" s="8" t="s">
        <v>31</v>
      </c>
      <c r="AJ62" s="8"/>
      <c r="AK62" s="8"/>
      <c r="AL62" s="8"/>
      <c r="AM62" s="8"/>
      <c r="AN62" s="8" t="s">
        <v>33</v>
      </c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 t="s">
        <v>34</v>
      </c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9"/>
      <c r="BN62" s="8"/>
      <c r="BO62" s="8"/>
      <c r="BP62" s="8"/>
      <c r="BQ62" s="8"/>
    </row>
    <row r="63" spans="1:69" x14ac:dyDescent="0.3">
      <c r="A63" s="8"/>
      <c r="B63" s="7"/>
      <c r="C63" s="8">
        <f>SUM(AI6:AM6)</f>
        <v>0</v>
      </c>
      <c r="D63" s="8" t="s">
        <v>23</v>
      </c>
      <c r="E63" s="8">
        <v>1</v>
      </c>
      <c r="F63" s="8"/>
      <c r="G63" s="8"/>
      <c r="H63" s="8">
        <f>AP6</f>
        <v>0</v>
      </c>
      <c r="I63" s="8">
        <f t="shared" ref="I63:J63" si="5">AQ6</f>
        <v>0</v>
      </c>
      <c r="J63" s="8">
        <f t="shared" si="5"/>
        <v>0</v>
      </c>
      <c r="K63" s="8">
        <f t="shared" ref="K63" si="6">AS6</f>
        <v>0</v>
      </c>
      <c r="L63" s="8">
        <f t="shared" ref="L63" si="7">AT6</f>
        <v>0</v>
      </c>
      <c r="M63" s="8" t="s">
        <v>23</v>
      </c>
      <c r="N63" s="8">
        <v>4</v>
      </c>
      <c r="O63" s="8">
        <v>4</v>
      </c>
      <c r="P63" s="8">
        <v>4</v>
      </c>
      <c r="Q63" s="8">
        <v>4</v>
      </c>
      <c r="R63" s="8">
        <v>4</v>
      </c>
      <c r="S63" s="8"/>
      <c r="T63" s="8"/>
      <c r="U63" s="8" cm="1">
        <f t="array" ref="U63">SUM(AP6:AT6*AA6:AE6-R6*AI6:AM6)</f>
        <v>0</v>
      </c>
      <c r="V63" s="8" t="s">
        <v>23</v>
      </c>
      <c r="W63" s="8">
        <v>0</v>
      </c>
      <c r="X63" s="8"/>
      <c r="Y63" s="8"/>
      <c r="Z63" s="8" cm="1">
        <f t="array" ref="Z63">SUM(AP6:AT6*AA6:AE6-U6*AI6:AM6)</f>
        <v>0</v>
      </c>
      <c r="AA63" s="8" t="s">
        <v>30</v>
      </c>
      <c r="AB63" s="8">
        <v>0</v>
      </c>
      <c r="AC63" s="8"/>
      <c r="AD63" s="8"/>
      <c r="AE63" s="8" cm="1">
        <f t="array" aca="1" ref="AE63" ca="1">SUM(INDIRECT(ADDRESS(6,41+ROWS($A$1:A1))):INDIRECT(ADDRESS(30,41+ROWS($A$1:A1)))*$F$6:$F$30-C33)</f>
        <v>-1250</v>
      </c>
      <c r="AF63" s="8" t="s">
        <v>23</v>
      </c>
      <c r="AG63" s="8">
        <v>0</v>
      </c>
      <c r="AH63" s="8"/>
      <c r="AI63" s="8"/>
      <c r="AJ63" s="8">
        <f ca="1">SUM(INDIRECT(ADDRESS(5+B47,35)):INDIRECT(ADDRESS(5+B47,39)))-SUM(INDIRECT(ADDRESS(5+C47,35)):INDIRECT(ADDRESS(5+C47,39)))</f>
        <v>0</v>
      </c>
      <c r="AK63" s="8" t="s">
        <v>32</v>
      </c>
      <c r="AL63" s="8">
        <v>0</v>
      </c>
      <c r="AM63" s="8"/>
      <c r="AN63" s="8"/>
      <c r="AO63" s="8" cm="1">
        <f t="array" aca="1" ref="AO63" ca="1">INDIRECT(ADDRESS(5+$B42,34+COLUMNS($A1:A1)))+INDIRECT(ADDRESS(5+$C42,34+COLUMNS($A1:A1)))</f>
        <v>0</v>
      </c>
      <c r="AP63" s="8" cm="1">
        <f t="array" aca="1" ref="AP63" ca="1">INDIRECT(ADDRESS(5+$B42,34+COLUMNS($A1:B1)))+INDIRECT(ADDRESS(5+$C42,34+COLUMNS($A1:B1)))</f>
        <v>0</v>
      </c>
      <c r="AQ63" s="8" cm="1">
        <f t="array" aca="1" ref="AQ63" ca="1">INDIRECT(ADDRESS(5+$B42,34+COLUMNS($A1:C1)))+INDIRECT(ADDRESS(5+$C42,34+COLUMNS($A1:C1)))</f>
        <v>0</v>
      </c>
      <c r="AR63" s="8" cm="1">
        <f t="array" aca="1" ref="AR63" ca="1">INDIRECT(ADDRESS(5+$B42,34+COLUMNS($A1:D1)))+INDIRECT(ADDRESS(5+$C42,34+COLUMNS($A1:D1)))</f>
        <v>0</v>
      </c>
      <c r="AS63" s="8" cm="1">
        <f t="array" aca="1" ref="AS63" ca="1">INDIRECT(ADDRESS(5+$B42,34+COLUMNS($A1:E1)))+INDIRECT(ADDRESS(5+$C42,34+COLUMNS($A1:E1)))</f>
        <v>0</v>
      </c>
      <c r="AT63" s="8" t="s">
        <v>23</v>
      </c>
      <c r="AU63" s="8">
        <v>1</v>
      </c>
      <c r="AV63" s="8">
        <v>1</v>
      </c>
      <c r="AW63" s="8">
        <v>1</v>
      </c>
      <c r="AX63" s="8">
        <v>1</v>
      </c>
      <c r="AY63" s="8">
        <v>1</v>
      </c>
      <c r="AZ63" s="8"/>
      <c r="BA63" s="8"/>
      <c r="BB63" s="8">
        <f>AI6</f>
        <v>0</v>
      </c>
      <c r="BC63" s="8">
        <f t="shared" ref="BC63:BF63" si="8">AJ6</f>
        <v>0</v>
      </c>
      <c r="BD63" s="8">
        <f t="shared" si="8"/>
        <v>0</v>
      </c>
      <c r="BE63" s="8">
        <f t="shared" si="8"/>
        <v>0</v>
      </c>
      <c r="BF63" s="8">
        <f t="shared" si="8"/>
        <v>0</v>
      </c>
      <c r="BG63" s="8" t="s">
        <v>23</v>
      </c>
      <c r="BH63" s="8">
        <v>1</v>
      </c>
      <c r="BI63" s="8">
        <v>1</v>
      </c>
      <c r="BJ63" s="8">
        <v>1</v>
      </c>
      <c r="BK63" s="8">
        <v>1</v>
      </c>
      <c r="BL63" s="8">
        <v>1</v>
      </c>
      <c r="BM63" s="9"/>
      <c r="BN63" s="8"/>
      <c r="BO63" s="8"/>
      <c r="BP63" s="8"/>
      <c r="BQ63" s="8"/>
    </row>
    <row r="64" spans="1:69" x14ac:dyDescent="0.3">
      <c r="A64" s="8"/>
      <c r="B64" s="7"/>
      <c r="C64" s="8">
        <f t="shared" ref="C64:C74" si="9">SUM(AI7:AM7)</f>
        <v>0</v>
      </c>
      <c r="D64" s="8" t="s">
        <v>23</v>
      </c>
      <c r="E64" s="8">
        <v>1</v>
      </c>
      <c r="F64" s="8"/>
      <c r="G64" s="8"/>
      <c r="H64" s="8">
        <f t="shared" ref="H64:H87" si="10">AP7</f>
        <v>0</v>
      </c>
      <c r="I64" s="8">
        <f t="shared" ref="I64:I87" si="11">AQ7</f>
        <v>0</v>
      </c>
      <c r="J64" s="8">
        <f t="shared" ref="J64:J86" si="12">AR7</f>
        <v>0</v>
      </c>
      <c r="K64" s="8">
        <f t="shared" ref="K64:K87" si="13">AS7</f>
        <v>0</v>
      </c>
      <c r="L64" s="8">
        <f>AT7</f>
        <v>0</v>
      </c>
      <c r="M64" s="8" t="s">
        <v>23</v>
      </c>
      <c r="N64" s="8">
        <v>4</v>
      </c>
      <c r="O64" s="8">
        <v>4</v>
      </c>
      <c r="P64" s="8">
        <v>4</v>
      </c>
      <c r="Q64" s="8">
        <v>4</v>
      </c>
      <c r="R64" s="8">
        <v>4</v>
      </c>
      <c r="S64" s="8"/>
      <c r="T64" s="8"/>
      <c r="U64" s="8" cm="1">
        <f t="array" ref="U64">SUM(AP7:AT7*AA7:AE7-R7*AI7:AM7)</f>
        <v>0</v>
      </c>
      <c r="V64" s="8" t="s">
        <v>23</v>
      </c>
      <c r="W64" s="8">
        <v>0</v>
      </c>
      <c r="X64" s="8"/>
      <c r="Y64" s="8"/>
      <c r="Z64" s="8" cm="1">
        <f t="array" ref="Z64">SUM(AP7:AT7*AA7:AE7-U7*AI7:AM7)</f>
        <v>0</v>
      </c>
      <c r="AA64" s="8" t="s">
        <v>30</v>
      </c>
      <c r="AB64" s="8">
        <v>0</v>
      </c>
      <c r="AC64" s="8"/>
      <c r="AD64" s="8"/>
      <c r="AE64" s="8" cm="1">
        <f t="array" aca="1" ref="AE64" ca="1">SUM(INDIRECT(ADDRESS(6,41+ROWS($A$1:A2))):INDIRECT(ADDRESS(30,41+ROWS($A$1:A2)))*$F$6:$F$30-C34)</f>
        <v>-1625</v>
      </c>
      <c r="AF64" s="8" t="s">
        <v>23</v>
      </c>
      <c r="AG64" s="8">
        <v>0</v>
      </c>
      <c r="AH64" s="8"/>
      <c r="AI64" s="8"/>
      <c r="AJ64" s="8">
        <f ca="1">SUM(INDIRECT(ADDRESS(5+B48,35)):INDIRECT(ADDRESS(5+B48,39)))-SUM(INDIRECT(ADDRESS(5+C48,35)):INDIRECT(ADDRESS(5+C48,39)))</f>
        <v>0</v>
      </c>
      <c r="AK64" s="8" t="s">
        <v>32</v>
      </c>
      <c r="AL64" s="8">
        <v>0</v>
      </c>
      <c r="AM64" s="8"/>
      <c r="AN64" s="8"/>
      <c r="AO64" s="8" cm="1">
        <f t="array" aca="1" ref="AO64" ca="1">INDIRECT(ADDRESS(5+$B43,34+COLUMNS($A2:A2)))+INDIRECT(ADDRESS(5+$C43,34+COLUMNS($A2:A2)))</f>
        <v>0</v>
      </c>
      <c r="AP64" s="8" cm="1">
        <f t="array" aca="1" ref="AP64" ca="1">INDIRECT(ADDRESS(5+$B43,34+COLUMNS($A2:B2)))+INDIRECT(ADDRESS(5+$C43,34+COLUMNS($A2:B2)))</f>
        <v>0</v>
      </c>
      <c r="AQ64" s="8" cm="1">
        <f t="array" aca="1" ref="AQ64" ca="1">INDIRECT(ADDRESS(5+$B43,34+COLUMNS($A2:C2)))+INDIRECT(ADDRESS(5+$C43,34+COLUMNS($A2:C2)))</f>
        <v>0</v>
      </c>
      <c r="AR64" s="8" cm="1">
        <f t="array" aca="1" ref="AR64" ca="1">INDIRECT(ADDRESS(5+$B43,34+COLUMNS($A2:D2)))+INDIRECT(ADDRESS(5+$C43,34+COLUMNS($A2:D2)))</f>
        <v>0</v>
      </c>
      <c r="AS64" s="8" cm="1">
        <f t="array" aca="1" ref="AS64" ca="1">INDIRECT(ADDRESS(5+$B43,34+COLUMNS($A2:E2)))+INDIRECT(ADDRESS(5+$C43,34+COLUMNS($A2:E2)))</f>
        <v>0</v>
      </c>
      <c r="AT64" s="8" t="s">
        <v>23</v>
      </c>
      <c r="AU64" s="8">
        <v>1</v>
      </c>
      <c r="AV64" s="8">
        <v>1</v>
      </c>
      <c r="AW64" s="8">
        <v>1</v>
      </c>
      <c r="AX64" s="8">
        <v>1</v>
      </c>
      <c r="AY64" s="8">
        <v>1</v>
      </c>
      <c r="AZ64" s="8"/>
      <c r="BA64" s="8"/>
      <c r="BB64" s="8">
        <f t="shared" ref="BB64:BB87" si="14">AI7</f>
        <v>0</v>
      </c>
      <c r="BC64" s="8">
        <f t="shared" ref="BC64:BC87" si="15">AJ7</f>
        <v>0</v>
      </c>
      <c r="BD64" s="8">
        <f t="shared" ref="BD64:BD87" si="16">AK7</f>
        <v>0</v>
      </c>
      <c r="BE64" s="8">
        <f t="shared" ref="BE64:BE87" si="17">AL7</f>
        <v>0</v>
      </c>
      <c r="BF64" s="8">
        <f t="shared" ref="BF64:BF87" si="18">AM7</f>
        <v>0</v>
      </c>
      <c r="BG64" s="8" t="s">
        <v>23</v>
      </c>
      <c r="BH64" s="8">
        <v>1</v>
      </c>
      <c r="BI64" s="8">
        <v>1</v>
      </c>
      <c r="BJ64" s="8">
        <v>1</v>
      </c>
      <c r="BK64" s="8">
        <v>1</v>
      </c>
      <c r="BL64" s="8">
        <v>1</v>
      </c>
      <c r="BM64" s="9"/>
      <c r="BN64" s="8"/>
      <c r="BO64" s="8"/>
      <c r="BP64" s="8"/>
      <c r="BQ64" s="8"/>
    </row>
    <row r="65" spans="1:69" x14ac:dyDescent="0.3">
      <c r="A65" s="8"/>
      <c r="B65" s="7"/>
      <c r="C65" s="8">
        <f t="shared" si="9"/>
        <v>0</v>
      </c>
      <c r="D65" s="8" t="s">
        <v>23</v>
      </c>
      <c r="E65" s="8">
        <v>1</v>
      </c>
      <c r="F65" s="8"/>
      <c r="G65" s="8"/>
      <c r="H65" s="8">
        <f t="shared" si="10"/>
        <v>0</v>
      </c>
      <c r="I65" s="8">
        <f t="shared" si="11"/>
        <v>0</v>
      </c>
      <c r="J65" s="8">
        <f t="shared" si="12"/>
        <v>0</v>
      </c>
      <c r="K65" s="8">
        <f>AS8</f>
        <v>0</v>
      </c>
      <c r="L65" s="8">
        <f t="shared" ref="L65:L86" si="19">AT8</f>
        <v>0</v>
      </c>
      <c r="M65" s="8" t="s">
        <v>23</v>
      </c>
      <c r="N65" s="8">
        <v>4</v>
      </c>
      <c r="O65" s="8">
        <v>4</v>
      </c>
      <c r="P65" s="8">
        <v>4</v>
      </c>
      <c r="Q65" s="8">
        <v>4</v>
      </c>
      <c r="R65" s="8">
        <v>4</v>
      </c>
      <c r="S65" s="8"/>
      <c r="T65" s="8"/>
      <c r="U65" s="8" cm="1">
        <f t="array" ref="U65">SUM(AP8:AT8*AA8:AE8-R8*AI8:AM8)</f>
        <v>0</v>
      </c>
      <c r="V65" s="8" t="s">
        <v>23</v>
      </c>
      <c r="W65" s="8">
        <v>0</v>
      </c>
      <c r="X65" s="8"/>
      <c r="Y65" s="8"/>
      <c r="Z65" s="8" cm="1">
        <f t="array" ref="Z65">SUM(AP8:AT8*AA8:AE8-U8*AI8:AM8)</f>
        <v>0</v>
      </c>
      <c r="AA65" s="8" t="s">
        <v>30</v>
      </c>
      <c r="AB65" s="8">
        <v>0</v>
      </c>
      <c r="AC65" s="8"/>
      <c r="AD65" s="8"/>
      <c r="AE65" s="8" cm="1">
        <f t="array" aca="1" ref="AE65" ca="1">SUM(INDIRECT(ADDRESS(6,41+ROWS($A$1:A3))):INDIRECT(ADDRESS(30,41+ROWS($A$1:A3)))*$F$6:$F$30-C35)</f>
        <v>-2000</v>
      </c>
      <c r="AF65" s="8" t="s">
        <v>23</v>
      </c>
      <c r="AG65" s="8">
        <v>0</v>
      </c>
      <c r="AH65" s="8"/>
      <c r="AI65" s="8"/>
      <c r="AJ65" s="8">
        <f ca="1">SUM(INDIRECT(ADDRESS(5+B49,35)):INDIRECT(ADDRESS(5+B49,39)))-SUM(INDIRECT(ADDRESS(5+C49,35)):INDIRECT(ADDRESS(5+C49,39)))</f>
        <v>0</v>
      </c>
      <c r="AK65" s="8" t="s">
        <v>32</v>
      </c>
      <c r="AL65" s="8">
        <v>0</v>
      </c>
      <c r="AM65" s="8"/>
      <c r="AN65" s="8"/>
      <c r="AO65" s="8" cm="1">
        <f t="array" aca="1" ref="AO65" ca="1">INDIRECT(ADDRESS(5+$B44,34+COLUMNS($A3:A3)))+INDIRECT(ADDRESS(5+$C44,34+COLUMNS($A3:A3)))</f>
        <v>0</v>
      </c>
      <c r="AP65" s="8" cm="1">
        <f t="array" aca="1" ref="AP65" ca="1">INDIRECT(ADDRESS(5+$B44,34+COLUMNS($A3:B3)))+INDIRECT(ADDRESS(5+$C44,34+COLUMNS($A3:B3)))</f>
        <v>0</v>
      </c>
      <c r="AQ65" s="8" cm="1">
        <f t="array" aca="1" ref="AQ65" ca="1">INDIRECT(ADDRESS(5+$B44,34+COLUMNS($A3:C3)))+INDIRECT(ADDRESS(5+$C44,34+COLUMNS($A3:C3)))</f>
        <v>0</v>
      </c>
      <c r="AR65" s="8" cm="1">
        <f t="array" aca="1" ref="AR65" ca="1">INDIRECT(ADDRESS(5+$B44,34+COLUMNS($A3:D3)))+INDIRECT(ADDRESS(5+$C44,34+COLUMNS($A3:D3)))</f>
        <v>0</v>
      </c>
      <c r="AS65" s="8" cm="1">
        <f t="array" aca="1" ref="AS65" ca="1">INDIRECT(ADDRESS(5+$B44,34+COLUMNS($A3:E3)))+INDIRECT(ADDRESS(5+$C44,34+COLUMNS($A3:E3)))</f>
        <v>0</v>
      </c>
      <c r="AT65" s="8" t="s">
        <v>23</v>
      </c>
      <c r="AU65" s="8">
        <v>1</v>
      </c>
      <c r="AV65" s="8">
        <v>1</v>
      </c>
      <c r="AW65" s="8">
        <v>1</v>
      </c>
      <c r="AX65" s="8">
        <v>1</v>
      </c>
      <c r="AY65" s="8">
        <v>1</v>
      </c>
      <c r="AZ65" s="8"/>
      <c r="BA65" s="8"/>
      <c r="BB65" s="8">
        <f t="shared" si="14"/>
        <v>0</v>
      </c>
      <c r="BC65" s="8">
        <f t="shared" si="15"/>
        <v>0</v>
      </c>
      <c r="BD65" s="8">
        <f t="shared" si="16"/>
        <v>0</v>
      </c>
      <c r="BE65" s="8">
        <f t="shared" si="17"/>
        <v>0</v>
      </c>
      <c r="BF65" s="8">
        <f t="shared" si="18"/>
        <v>0</v>
      </c>
      <c r="BG65" s="8" t="s">
        <v>23</v>
      </c>
      <c r="BH65" s="8">
        <v>1</v>
      </c>
      <c r="BI65" s="8">
        <v>1</v>
      </c>
      <c r="BJ65" s="8">
        <v>1</v>
      </c>
      <c r="BK65" s="8">
        <v>1</v>
      </c>
      <c r="BL65" s="8">
        <v>1</v>
      </c>
      <c r="BM65" s="9"/>
      <c r="BN65" s="8"/>
      <c r="BO65" s="8"/>
      <c r="BP65" s="8"/>
      <c r="BQ65" s="8"/>
    </row>
    <row r="66" spans="1:69" x14ac:dyDescent="0.3">
      <c r="A66" s="8"/>
      <c r="B66" s="7"/>
      <c r="C66" s="8">
        <f t="shared" si="9"/>
        <v>0</v>
      </c>
      <c r="D66" s="8" t="s">
        <v>23</v>
      </c>
      <c r="E66" s="8">
        <v>1</v>
      </c>
      <c r="F66" s="8"/>
      <c r="G66" s="8"/>
      <c r="H66" s="8">
        <f t="shared" si="10"/>
        <v>0</v>
      </c>
      <c r="I66" s="8">
        <f t="shared" si="11"/>
        <v>0</v>
      </c>
      <c r="J66" s="8">
        <f t="shared" si="12"/>
        <v>0</v>
      </c>
      <c r="K66" s="8">
        <f>AS9</f>
        <v>0</v>
      </c>
      <c r="L66" s="8">
        <f t="shared" si="19"/>
        <v>0</v>
      </c>
      <c r="M66" s="8" t="s">
        <v>23</v>
      </c>
      <c r="N66" s="8">
        <v>4</v>
      </c>
      <c r="O66" s="8">
        <v>4</v>
      </c>
      <c r="P66" s="8">
        <v>4</v>
      </c>
      <c r="Q66" s="8">
        <v>4</v>
      </c>
      <c r="R66" s="8">
        <v>4</v>
      </c>
      <c r="S66" s="8"/>
      <c r="T66" s="8"/>
      <c r="U66" s="8" cm="1">
        <f t="array" ref="U66">SUM(AP9:AT9*AA9:AE9-R9*AI9:AM9)</f>
        <v>0</v>
      </c>
      <c r="V66" s="8" t="s">
        <v>23</v>
      </c>
      <c r="W66" s="8">
        <v>0</v>
      </c>
      <c r="X66" s="8"/>
      <c r="Y66" s="8"/>
      <c r="Z66" s="8" cm="1">
        <f t="array" ref="Z66">SUM(AP9:AT9*AA9:AE9-U9*AI9:AM9)</f>
        <v>0</v>
      </c>
      <c r="AA66" s="8" t="s">
        <v>30</v>
      </c>
      <c r="AB66" s="8">
        <v>0</v>
      </c>
      <c r="AC66" s="8"/>
      <c r="AD66" s="8"/>
      <c r="AE66" s="8" cm="1">
        <f t="array" aca="1" ref="AE66" ca="1">SUM(INDIRECT(ADDRESS(6,41+ROWS($A$1:A4))):INDIRECT(ADDRESS(30,41+ROWS($A$1:A4)))*$F$6:$F$30-C36)</f>
        <v>-2375</v>
      </c>
      <c r="AF66" s="8" t="s">
        <v>23</v>
      </c>
      <c r="AG66" s="8">
        <v>0</v>
      </c>
      <c r="AH66" s="8"/>
      <c r="AI66" s="8"/>
      <c r="AJ66" s="8">
        <f ca="1">SUM(INDIRECT(ADDRESS(5+B50,35)):INDIRECT(ADDRESS(5+B50,39)))-SUM(INDIRECT(ADDRESS(5+C50,35)):INDIRECT(ADDRESS(5+C50,39)))</f>
        <v>0</v>
      </c>
      <c r="AK66" s="8" t="s">
        <v>32</v>
      </c>
      <c r="AL66" s="8">
        <v>0</v>
      </c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>
        <f t="shared" si="14"/>
        <v>0</v>
      </c>
      <c r="BC66" s="8">
        <f t="shared" si="15"/>
        <v>0</v>
      </c>
      <c r="BD66" s="8">
        <f t="shared" si="16"/>
        <v>0</v>
      </c>
      <c r="BE66" s="8">
        <f t="shared" si="17"/>
        <v>0</v>
      </c>
      <c r="BF66" s="8">
        <f t="shared" si="18"/>
        <v>0</v>
      </c>
      <c r="BG66" s="8" t="s">
        <v>23</v>
      </c>
      <c r="BH66" s="8">
        <v>1</v>
      </c>
      <c r="BI66" s="8">
        <v>1</v>
      </c>
      <c r="BJ66" s="8">
        <v>1</v>
      </c>
      <c r="BK66" s="8">
        <v>1</v>
      </c>
      <c r="BL66" s="8">
        <v>1</v>
      </c>
      <c r="BM66" s="9"/>
      <c r="BN66" s="8"/>
      <c r="BO66" s="8"/>
      <c r="BP66" s="8"/>
      <c r="BQ66" s="8"/>
    </row>
    <row r="67" spans="1:69" x14ac:dyDescent="0.3">
      <c r="A67" s="8"/>
      <c r="B67" s="7"/>
      <c r="C67" s="8">
        <f t="shared" si="9"/>
        <v>0</v>
      </c>
      <c r="D67" s="8" t="s">
        <v>23</v>
      </c>
      <c r="E67" s="8">
        <v>1</v>
      </c>
      <c r="F67" s="11"/>
      <c r="G67" s="11"/>
      <c r="H67" s="8">
        <f t="shared" si="10"/>
        <v>0</v>
      </c>
      <c r="I67" s="8">
        <f t="shared" si="11"/>
        <v>0</v>
      </c>
      <c r="J67" s="8">
        <f t="shared" si="12"/>
        <v>0</v>
      </c>
      <c r="K67" s="8">
        <f t="shared" si="13"/>
        <v>0</v>
      </c>
      <c r="L67" s="8">
        <f t="shared" si="19"/>
        <v>0</v>
      </c>
      <c r="M67" s="8" t="s">
        <v>23</v>
      </c>
      <c r="N67" s="8">
        <v>4</v>
      </c>
      <c r="O67" s="8">
        <v>4</v>
      </c>
      <c r="P67" s="8">
        <v>4</v>
      </c>
      <c r="Q67" s="8">
        <v>4</v>
      </c>
      <c r="R67" s="8">
        <v>4</v>
      </c>
      <c r="S67" s="8"/>
      <c r="T67" s="8"/>
      <c r="U67" s="8" cm="1">
        <f t="array" ref="U67">SUM(AP10:AT10*AA10:AE10-R10*AI10:AM10)</f>
        <v>0</v>
      </c>
      <c r="V67" s="8" t="s">
        <v>23</v>
      </c>
      <c r="W67" s="8">
        <v>0</v>
      </c>
      <c r="X67" s="8"/>
      <c r="Y67" s="8"/>
      <c r="Z67" s="8" cm="1">
        <f t="array" ref="Z67">SUM(AP10:AT10*AA10:AE10-U10*AI10:AM10)</f>
        <v>0</v>
      </c>
      <c r="AA67" s="8" t="s">
        <v>30</v>
      </c>
      <c r="AB67" s="8">
        <v>0</v>
      </c>
      <c r="AC67" s="8"/>
      <c r="AD67" s="8"/>
      <c r="AE67" s="8" cm="1">
        <f t="array" aca="1" ref="AE67" ca="1">SUM(INDIRECT(ADDRESS(6,41+ROWS($A$1:A5))):INDIRECT(ADDRESS(30,41+ROWS($A$1:A5)))*$F$6:$F$30-C37)</f>
        <v>-2750</v>
      </c>
      <c r="AF67" s="8" t="s">
        <v>23</v>
      </c>
      <c r="AG67" s="8">
        <v>0</v>
      </c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>
        <f t="shared" si="14"/>
        <v>0</v>
      </c>
      <c r="BC67" s="8">
        <f t="shared" si="15"/>
        <v>0</v>
      </c>
      <c r="BD67" s="8">
        <f t="shared" si="16"/>
        <v>0</v>
      </c>
      <c r="BE67" s="8">
        <f t="shared" si="17"/>
        <v>0</v>
      </c>
      <c r="BF67" s="8">
        <f t="shared" si="18"/>
        <v>0</v>
      </c>
      <c r="BG67" s="8" t="s">
        <v>23</v>
      </c>
      <c r="BH67" s="8">
        <v>1</v>
      </c>
      <c r="BI67" s="8">
        <v>1</v>
      </c>
      <c r="BJ67" s="8">
        <v>1</v>
      </c>
      <c r="BK67" s="8">
        <v>1</v>
      </c>
      <c r="BL67" s="8">
        <v>1</v>
      </c>
      <c r="BM67" s="9"/>
      <c r="BN67" s="8"/>
      <c r="BO67" s="8"/>
      <c r="BP67" s="8"/>
      <c r="BQ67" s="8"/>
    </row>
    <row r="68" spans="1:69" x14ac:dyDescent="0.3">
      <c r="A68" s="8"/>
      <c r="B68" s="10"/>
      <c r="C68" s="8">
        <f>SUM(AI11:AM11)</f>
        <v>0</v>
      </c>
      <c r="D68" s="8" t="s">
        <v>23</v>
      </c>
      <c r="E68" s="8">
        <v>1</v>
      </c>
      <c r="F68" s="11"/>
      <c r="G68" s="11"/>
      <c r="H68" s="8">
        <f t="shared" si="10"/>
        <v>0</v>
      </c>
      <c r="I68" s="8">
        <f t="shared" si="11"/>
        <v>0</v>
      </c>
      <c r="J68" s="8">
        <f t="shared" si="12"/>
        <v>0</v>
      </c>
      <c r="K68" s="8">
        <f t="shared" si="13"/>
        <v>0</v>
      </c>
      <c r="L68" s="8">
        <f t="shared" si="19"/>
        <v>0</v>
      </c>
      <c r="M68" s="8" t="s">
        <v>23</v>
      </c>
      <c r="N68" s="8">
        <v>4</v>
      </c>
      <c r="O68" s="8">
        <v>4</v>
      </c>
      <c r="P68" s="8">
        <v>4</v>
      </c>
      <c r="Q68" s="8">
        <v>4</v>
      </c>
      <c r="R68" s="8">
        <v>4</v>
      </c>
      <c r="S68" s="8"/>
      <c r="T68" s="8"/>
      <c r="U68" s="8" cm="1">
        <f t="array" ref="U68">SUM(AP11:AT11*AA11:AE11-R11*AI11:AM11)</f>
        <v>0</v>
      </c>
      <c r="V68" s="8" t="s">
        <v>23</v>
      </c>
      <c r="W68" s="8">
        <v>0</v>
      </c>
      <c r="X68" s="8"/>
      <c r="Y68" s="8"/>
      <c r="Z68" s="8" cm="1">
        <f t="array" ref="Z68">SUM(AP11:AT11*AA11:AE11-U11*AI11:AM11)</f>
        <v>0</v>
      </c>
      <c r="AA68" s="8" t="s">
        <v>30</v>
      </c>
      <c r="AB68" s="8">
        <v>0</v>
      </c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>
        <f t="shared" si="14"/>
        <v>0</v>
      </c>
      <c r="BC68" s="8">
        <f t="shared" si="15"/>
        <v>0</v>
      </c>
      <c r="BD68" s="8">
        <f t="shared" si="16"/>
        <v>0</v>
      </c>
      <c r="BE68" s="8">
        <f t="shared" si="17"/>
        <v>0</v>
      </c>
      <c r="BF68" s="8">
        <f t="shared" si="18"/>
        <v>0</v>
      </c>
      <c r="BG68" s="8" t="s">
        <v>23</v>
      </c>
      <c r="BH68" s="8">
        <v>1</v>
      </c>
      <c r="BI68" s="8">
        <v>1</v>
      </c>
      <c r="BJ68" s="8">
        <v>1</v>
      </c>
      <c r="BK68" s="8">
        <v>1</v>
      </c>
      <c r="BL68" s="8">
        <v>1</v>
      </c>
      <c r="BM68" s="9"/>
      <c r="BN68" s="8"/>
      <c r="BO68" s="8"/>
      <c r="BP68" s="8"/>
      <c r="BQ68" s="8"/>
    </row>
    <row r="69" spans="1:69" x14ac:dyDescent="0.3">
      <c r="A69" s="8"/>
      <c r="B69" s="10"/>
      <c r="C69" s="8">
        <f t="shared" si="9"/>
        <v>0</v>
      </c>
      <c r="D69" s="8" t="s">
        <v>23</v>
      </c>
      <c r="E69" s="8">
        <v>1</v>
      </c>
      <c r="F69" s="11"/>
      <c r="G69" s="11"/>
      <c r="H69" s="8">
        <f t="shared" si="10"/>
        <v>0</v>
      </c>
      <c r="I69" s="8">
        <f t="shared" si="11"/>
        <v>0</v>
      </c>
      <c r="J69" s="8">
        <f t="shared" si="12"/>
        <v>0</v>
      </c>
      <c r="K69" s="8">
        <f t="shared" si="13"/>
        <v>0</v>
      </c>
      <c r="L69" s="8">
        <f t="shared" si="19"/>
        <v>0</v>
      </c>
      <c r="M69" s="8" t="s">
        <v>23</v>
      </c>
      <c r="N69" s="8">
        <v>4</v>
      </c>
      <c r="O69" s="8">
        <v>4</v>
      </c>
      <c r="P69" s="8">
        <v>4</v>
      </c>
      <c r="Q69" s="8">
        <v>4</v>
      </c>
      <c r="R69" s="8">
        <v>4</v>
      </c>
      <c r="S69" s="8"/>
      <c r="T69" s="8"/>
      <c r="U69" s="8" cm="1">
        <f t="array" ref="U69">SUM(AP12:AT12*AA12:AE12-R12*AI12:AM12)</f>
        <v>0</v>
      </c>
      <c r="V69" s="8" t="s">
        <v>23</v>
      </c>
      <c r="W69" s="8">
        <v>0</v>
      </c>
      <c r="X69" s="8"/>
      <c r="Y69" s="8"/>
      <c r="Z69" s="8" cm="1">
        <f t="array" ref="Z69">SUM(AP12:AT12*AA12:AE12-U12*AI12:AM12)</f>
        <v>0</v>
      </c>
      <c r="AA69" s="8" t="s">
        <v>30</v>
      </c>
      <c r="AB69" s="8">
        <v>0</v>
      </c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>
        <f t="shared" si="14"/>
        <v>0</v>
      </c>
      <c r="BC69" s="8">
        <f t="shared" si="15"/>
        <v>0</v>
      </c>
      <c r="BD69" s="8">
        <f t="shared" si="16"/>
        <v>0</v>
      </c>
      <c r="BE69" s="8">
        <f t="shared" si="17"/>
        <v>0</v>
      </c>
      <c r="BF69" s="8">
        <f t="shared" si="18"/>
        <v>0</v>
      </c>
      <c r="BG69" s="8" t="s">
        <v>23</v>
      </c>
      <c r="BH69" s="8">
        <v>1</v>
      </c>
      <c r="BI69" s="8">
        <v>1</v>
      </c>
      <c r="BJ69" s="8">
        <v>1</v>
      </c>
      <c r="BK69" s="8">
        <v>1</v>
      </c>
      <c r="BL69" s="8">
        <v>1</v>
      </c>
      <c r="BM69" s="9"/>
      <c r="BN69" s="8"/>
      <c r="BO69" s="8"/>
      <c r="BP69" s="8"/>
      <c r="BQ69" s="8"/>
    </row>
    <row r="70" spans="1:69" x14ac:dyDescent="0.3">
      <c r="A70" s="8"/>
      <c r="B70" s="10"/>
      <c r="C70" s="8">
        <f t="shared" si="9"/>
        <v>0</v>
      </c>
      <c r="D70" s="8" t="s">
        <v>23</v>
      </c>
      <c r="E70" s="8">
        <v>1</v>
      </c>
      <c r="F70" s="11"/>
      <c r="G70" s="11"/>
      <c r="H70" s="8">
        <f t="shared" si="10"/>
        <v>0</v>
      </c>
      <c r="I70" s="8">
        <f t="shared" si="11"/>
        <v>0</v>
      </c>
      <c r="J70" s="8">
        <f t="shared" si="12"/>
        <v>0</v>
      </c>
      <c r="K70" s="8">
        <f>AS13</f>
        <v>0</v>
      </c>
      <c r="L70" s="8">
        <f t="shared" si="19"/>
        <v>0</v>
      </c>
      <c r="M70" s="8" t="s">
        <v>23</v>
      </c>
      <c r="N70" s="8">
        <v>4</v>
      </c>
      <c r="O70" s="8">
        <v>4</v>
      </c>
      <c r="P70" s="8">
        <v>4</v>
      </c>
      <c r="Q70" s="8">
        <v>4</v>
      </c>
      <c r="R70" s="8">
        <v>4</v>
      </c>
      <c r="S70" s="8"/>
      <c r="T70" s="8"/>
      <c r="U70" s="8" cm="1">
        <f t="array" ref="U70">SUM(AP13:AT13*AA13:AE13-R13*AI13:AM13)</f>
        <v>0</v>
      </c>
      <c r="V70" s="8" t="s">
        <v>23</v>
      </c>
      <c r="W70" s="8">
        <v>0</v>
      </c>
      <c r="X70" s="8"/>
      <c r="Y70" s="8"/>
      <c r="Z70" s="8" cm="1">
        <f t="array" ref="Z70">SUM(AP13:AT13*AA13:AE13-U13*AI13:AM13)</f>
        <v>0</v>
      </c>
      <c r="AA70" s="8" t="s">
        <v>30</v>
      </c>
      <c r="AB70" s="8">
        <v>0</v>
      </c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>
        <f t="shared" si="14"/>
        <v>0</v>
      </c>
      <c r="BC70" s="8">
        <f t="shared" si="15"/>
        <v>0</v>
      </c>
      <c r="BD70" s="8">
        <f t="shared" si="16"/>
        <v>0</v>
      </c>
      <c r="BE70" s="8">
        <f t="shared" si="17"/>
        <v>0</v>
      </c>
      <c r="BF70" s="8">
        <f t="shared" si="18"/>
        <v>0</v>
      </c>
      <c r="BG70" s="8" t="s">
        <v>23</v>
      </c>
      <c r="BH70" s="8">
        <v>1</v>
      </c>
      <c r="BI70" s="8">
        <v>1</v>
      </c>
      <c r="BJ70" s="8">
        <v>1</v>
      </c>
      <c r="BK70" s="8">
        <v>1</v>
      </c>
      <c r="BL70" s="8">
        <v>1</v>
      </c>
      <c r="BM70" s="9"/>
      <c r="BN70" s="8"/>
      <c r="BO70" s="8"/>
      <c r="BP70" s="8"/>
      <c r="BQ70" s="8"/>
    </row>
    <row r="71" spans="1:69" x14ac:dyDescent="0.3">
      <c r="A71" s="8"/>
      <c r="B71" s="10"/>
      <c r="C71" s="8">
        <f t="shared" si="9"/>
        <v>0</v>
      </c>
      <c r="D71" s="8" t="s">
        <v>23</v>
      </c>
      <c r="E71" s="8">
        <v>1</v>
      </c>
      <c r="F71" s="11"/>
      <c r="G71" s="11"/>
      <c r="H71" s="8">
        <f t="shared" si="10"/>
        <v>0</v>
      </c>
      <c r="I71" s="8">
        <f t="shared" si="11"/>
        <v>0</v>
      </c>
      <c r="J71" s="8">
        <f t="shared" si="12"/>
        <v>0</v>
      </c>
      <c r="K71" s="8">
        <f>AS14</f>
        <v>0</v>
      </c>
      <c r="L71" s="8">
        <f t="shared" si="19"/>
        <v>0</v>
      </c>
      <c r="M71" s="8" t="s">
        <v>23</v>
      </c>
      <c r="N71" s="8">
        <v>4</v>
      </c>
      <c r="O71" s="8">
        <v>4</v>
      </c>
      <c r="P71" s="8">
        <v>4</v>
      </c>
      <c r="Q71" s="8">
        <v>4</v>
      </c>
      <c r="R71" s="8">
        <v>4</v>
      </c>
      <c r="S71" s="8"/>
      <c r="T71" s="8"/>
      <c r="U71" s="8" cm="1">
        <f t="array" ref="U71">SUM(AP14:AT14*AA14:AE14-R14*AI14:AM14)</f>
        <v>0</v>
      </c>
      <c r="V71" s="8" t="s">
        <v>23</v>
      </c>
      <c r="W71" s="8">
        <v>0</v>
      </c>
      <c r="X71" s="8"/>
      <c r="Y71" s="8"/>
      <c r="Z71" s="8" cm="1">
        <f t="array" ref="Z71">SUM(AP14:AT14*AA14:AE14-U14*AI14:AM14)</f>
        <v>0</v>
      </c>
      <c r="AA71" s="8" t="s">
        <v>30</v>
      </c>
      <c r="AB71" s="8">
        <v>0</v>
      </c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>
        <f t="shared" si="14"/>
        <v>0</v>
      </c>
      <c r="BC71" s="8">
        <f t="shared" si="15"/>
        <v>0</v>
      </c>
      <c r="BD71" s="8">
        <f t="shared" si="16"/>
        <v>0</v>
      </c>
      <c r="BE71" s="8">
        <f t="shared" si="17"/>
        <v>0</v>
      </c>
      <c r="BF71" s="8">
        <f t="shared" si="18"/>
        <v>0</v>
      </c>
      <c r="BG71" s="8" t="s">
        <v>23</v>
      </c>
      <c r="BH71" s="8">
        <v>1</v>
      </c>
      <c r="BI71" s="8">
        <v>1</v>
      </c>
      <c r="BJ71" s="8">
        <v>1</v>
      </c>
      <c r="BK71" s="8">
        <v>1</v>
      </c>
      <c r="BL71" s="8">
        <v>1</v>
      </c>
      <c r="BM71" s="9"/>
      <c r="BN71" s="8"/>
      <c r="BO71" s="8"/>
      <c r="BP71" s="8"/>
      <c r="BQ71" s="8"/>
    </row>
    <row r="72" spans="1:69" x14ac:dyDescent="0.3">
      <c r="A72" s="8"/>
      <c r="B72" s="10"/>
      <c r="C72" s="8">
        <f t="shared" si="9"/>
        <v>0</v>
      </c>
      <c r="D72" s="8" t="s">
        <v>23</v>
      </c>
      <c r="E72" s="8">
        <v>1</v>
      </c>
      <c r="F72" s="11"/>
      <c r="G72" s="11"/>
      <c r="H72" s="8">
        <f t="shared" si="10"/>
        <v>0</v>
      </c>
      <c r="I72" s="8">
        <f t="shared" si="11"/>
        <v>0</v>
      </c>
      <c r="J72" s="8">
        <f t="shared" si="12"/>
        <v>0</v>
      </c>
      <c r="K72" s="8">
        <f>AS15</f>
        <v>0</v>
      </c>
      <c r="L72" s="8">
        <f t="shared" si="19"/>
        <v>0</v>
      </c>
      <c r="M72" s="8" t="s">
        <v>23</v>
      </c>
      <c r="N72" s="8">
        <v>4</v>
      </c>
      <c r="O72" s="8">
        <v>4</v>
      </c>
      <c r="P72" s="8">
        <v>4</v>
      </c>
      <c r="Q72" s="8">
        <v>4</v>
      </c>
      <c r="R72" s="8">
        <v>4</v>
      </c>
      <c r="S72" s="8"/>
      <c r="T72" s="8"/>
      <c r="U72" s="8" cm="1">
        <f t="array" ref="U72">SUM(AP15:AT15*AA15:AE15-R15*AI15:AM15)</f>
        <v>0</v>
      </c>
      <c r="V72" s="8" t="s">
        <v>23</v>
      </c>
      <c r="W72" s="8">
        <v>0</v>
      </c>
      <c r="X72" s="8"/>
      <c r="Y72" s="8"/>
      <c r="Z72" s="8" cm="1">
        <f t="array" ref="Z72">SUM(AP15:AT15*AA15:AE15-U15*AI15:AM15)</f>
        <v>0</v>
      </c>
      <c r="AA72" s="8" t="s">
        <v>30</v>
      </c>
      <c r="AB72" s="8">
        <v>0</v>
      </c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>
        <f t="shared" si="14"/>
        <v>0</v>
      </c>
      <c r="BC72" s="8">
        <f t="shared" si="15"/>
        <v>0</v>
      </c>
      <c r="BD72" s="8">
        <f t="shared" si="16"/>
        <v>0</v>
      </c>
      <c r="BE72" s="8">
        <f t="shared" si="17"/>
        <v>0</v>
      </c>
      <c r="BF72" s="8">
        <f t="shared" si="18"/>
        <v>0</v>
      </c>
      <c r="BG72" s="8" t="s">
        <v>23</v>
      </c>
      <c r="BH72" s="8">
        <v>1</v>
      </c>
      <c r="BI72" s="8">
        <v>1</v>
      </c>
      <c r="BJ72" s="8">
        <v>1</v>
      </c>
      <c r="BK72" s="8">
        <v>1</v>
      </c>
      <c r="BL72" s="8">
        <v>1</v>
      </c>
      <c r="BM72" s="9"/>
      <c r="BN72" s="8"/>
      <c r="BO72" s="8"/>
      <c r="BP72" s="8"/>
      <c r="BQ72" s="8"/>
    </row>
    <row r="73" spans="1:69" x14ac:dyDescent="0.3">
      <c r="A73" s="8"/>
      <c r="B73" s="10"/>
      <c r="C73" s="8">
        <f t="shared" si="9"/>
        <v>0</v>
      </c>
      <c r="D73" s="8" t="s">
        <v>23</v>
      </c>
      <c r="E73" s="8">
        <v>1</v>
      </c>
      <c r="F73" s="11"/>
      <c r="G73" s="11"/>
      <c r="H73" s="8">
        <f t="shared" si="10"/>
        <v>0</v>
      </c>
      <c r="I73" s="8">
        <f t="shared" si="11"/>
        <v>0</v>
      </c>
      <c r="J73" s="8">
        <f t="shared" si="12"/>
        <v>0</v>
      </c>
      <c r="K73" s="8">
        <f t="shared" si="13"/>
        <v>0</v>
      </c>
      <c r="L73" s="8">
        <f t="shared" si="19"/>
        <v>0</v>
      </c>
      <c r="M73" s="8" t="s">
        <v>23</v>
      </c>
      <c r="N73" s="8">
        <v>4</v>
      </c>
      <c r="O73" s="8">
        <v>4</v>
      </c>
      <c r="P73" s="8">
        <v>4</v>
      </c>
      <c r="Q73" s="8">
        <v>4</v>
      </c>
      <c r="R73" s="8">
        <v>4</v>
      </c>
      <c r="S73" s="8"/>
      <c r="T73" s="8"/>
      <c r="U73" s="8" cm="1">
        <f t="array" ref="U73">SUM(AP16:AT16*AA16:AE16-R16*AI16:AM16)</f>
        <v>0</v>
      </c>
      <c r="V73" s="8" t="s">
        <v>23</v>
      </c>
      <c r="W73" s="8">
        <v>0</v>
      </c>
      <c r="X73" s="8"/>
      <c r="Y73" s="8"/>
      <c r="Z73" s="8" cm="1">
        <f t="array" ref="Z73">SUM(AP16:AT16*AA16:AE16-U16*AI16:AM16)</f>
        <v>0</v>
      </c>
      <c r="AA73" s="8" t="s">
        <v>30</v>
      </c>
      <c r="AB73" s="8">
        <v>0</v>
      </c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>
        <f t="shared" si="14"/>
        <v>0</v>
      </c>
      <c r="BC73" s="8">
        <f t="shared" si="15"/>
        <v>0</v>
      </c>
      <c r="BD73" s="8">
        <f t="shared" si="16"/>
        <v>0</v>
      </c>
      <c r="BE73" s="8">
        <f t="shared" si="17"/>
        <v>0</v>
      </c>
      <c r="BF73" s="8">
        <f t="shared" si="18"/>
        <v>0</v>
      </c>
      <c r="BG73" s="8" t="s">
        <v>23</v>
      </c>
      <c r="BH73" s="8">
        <v>1</v>
      </c>
      <c r="BI73" s="8">
        <v>1</v>
      </c>
      <c r="BJ73" s="8">
        <v>1</v>
      </c>
      <c r="BK73" s="8">
        <v>1</v>
      </c>
      <c r="BL73" s="8">
        <v>1</v>
      </c>
      <c r="BM73" s="9"/>
      <c r="BN73" s="8"/>
      <c r="BO73" s="8"/>
      <c r="BP73" s="8"/>
      <c r="BQ73" s="8"/>
    </row>
    <row r="74" spans="1:69" x14ac:dyDescent="0.3">
      <c r="A74" s="8"/>
      <c r="B74" s="10"/>
      <c r="C74" s="8">
        <f t="shared" si="9"/>
        <v>0</v>
      </c>
      <c r="D74" s="8" t="s">
        <v>23</v>
      </c>
      <c r="E74" s="8">
        <v>1</v>
      </c>
      <c r="F74" s="11"/>
      <c r="G74" s="11"/>
      <c r="H74" s="8">
        <f t="shared" si="10"/>
        <v>0</v>
      </c>
      <c r="I74" s="8">
        <f t="shared" si="11"/>
        <v>0</v>
      </c>
      <c r="J74" s="8">
        <f t="shared" si="12"/>
        <v>0</v>
      </c>
      <c r="K74" s="8">
        <f t="shared" si="13"/>
        <v>0</v>
      </c>
      <c r="L74" s="8">
        <f t="shared" si="19"/>
        <v>0</v>
      </c>
      <c r="M74" s="8" t="s">
        <v>23</v>
      </c>
      <c r="N74" s="8">
        <v>4</v>
      </c>
      <c r="O74" s="8">
        <v>4</v>
      </c>
      <c r="P74" s="8">
        <v>4</v>
      </c>
      <c r="Q74" s="8">
        <v>4</v>
      </c>
      <c r="R74" s="8">
        <v>4</v>
      </c>
      <c r="S74" s="8"/>
      <c r="T74" s="8"/>
      <c r="U74" s="8" cm="1">
        <f t="array" ref="U74">SUM(AP17:AT17*AA17:AE17-R17*AI17:AM17)</f>
        <v>0</v>
      </c>
      <c r="V74" s="8" t="s">
        <v>23</v>
      </c>
      <c r="W74" s="8">
        <v>0</v>
      </c>
      <c r="X74" s="8"/>
      <c r="Y74" s="8"/>
      <c r="Z74" s="8" cm="1">
        <f t="array" ref="Z74">SUM(AP17:AT17*AA17:AE17-U17*AI17:AM17)</f>
        <v>0</v>
      </c>
      <c r="AA74" s="8" t="s">
        <v>30</v>
      </c>
      <c r="AB74" s="8">
        <v>0</v>
      </c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>
        <f t="shared" si="14"/>
        <v>0</v>
      </c>
      <c r="BC74" s="8">
        <f t="shared" si="15"/>
        <v>0</v>
      </c>
      <c r="BD74" s="8">
        <f t="shared" si="16"/>
        <v>0</v>
      </c>
      <c r="BE74" s="8">
        <f t="shared" si="17"/>
        <v>0</v>
      </c>
      <c r="BF74" s="8">
        <f t="shared" si="18"/>
        <v>0</v>
      </c>
      <c r="BG74" s="8" t="s">
        <v>23</v>
      </c>
      <c r="BH74" s="8">
        <v>1</v>
      </c>
      <c r="BI74" s="8">
        <v>1</v>
      </c>
      <c r="BJ74" s="8">
        <v>1</v>
      </c>
      <c r="BK74" s="8">
        <v>1</v>
      </c>
      <c r="BL74" s="8">
        <v>1</v>
      </c>
      <c r="BM74" s="9"/>
      <c r="BN74" s="8"/>
      <c r="BO74" s="8"/>
      <c r="BP74" s="8"/>
      <c r="BQ74" s="8"/>
    </row>
    <row r="75" spans="1:69" x14ac:dyDescent="0.3">
      <c r="B75" s="10"/>
      <c r="C75" s="8">
        <f>SUM(AI18:AM18)</f>
        <v>0</v>
      </c>
      <c r="D75" s="8" t="s">
        <v>23</v>
      </c>
      <c r="E75" s="8">
        <v>1</v>
      </c>
      <c r="F75" s="11"/>
      <c r="G75" s="11"/>
      <c r="H75" s="8">
        <f t="shared" si="10"/>
        <v>0</v>
      </c>
      <c r="I75" s="8">
        <f t="shared" si="11"/>
        <v>0</v>
      </c>
      <c r="J75" s="8">
        <f t="shared" si="12"/>
        <v>0</v>
      </c>
      <c r="K75" s="8">
        <f t="shared" si="13"/>
        <v>0</v>
      </c>
      <c r="L75" s="8">
        <f t="shared" si="19"/>
        <v>0</v>
      </c>
      <c r="M75" s="8" t="s">
        <v>23</v>
      </c>
      <c r="N75" s="8">
        <v>4</v>
      </c>
      <c r="O75" s="8">
        <v>4</v>
      </c>
      <c r="P75" s="8">
        <v>4</v>
      </c>
      <c r="Q75" s="8">
        <v>4</v>
      </c>
      <c r="R75" s="8">
        <v>4</v>
      </c>
      <c r="S75" s="8"/>
      <c r="T75" s="8"/>
      <c r="U75" s="8" cm="1">
        <f t="array" ref="U75">SUM(AP18:AT18*AA18:AE18-R18*AI18:AM18)</f>
        <v>0</v>
      </c>
      <c r="V75" s="8" t="s">
        <v>23</v>
      </c>
      <c r="W75" s="8">
        <v>0</v>
      </c>
      <c r="X75" s="8"/>
      <c r="Y75" s="8"/>
      <c r="Z75" s="8" cm="1">
        <f t="array" ref="Z75">SUM(AP18:AT18*AA18:AE18-U18*AI18:AM18)</f>
        <v>0</v>
      </c>
      <c r="AA75" s="8" t="s">
        <v>30</v>
      </c>
      <c r="AB75" s="8">
        <v>0</v>
      </c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>
        <f t="shared" si="14"/>
        <v>0</v>
      </c>
      <c r="BC75" s="8">
        <f t="shared" si="15"/>
        <v>0</v>
      </c>
      <c r="BD75" s="8">
        <f t="shared" si="16"/>
        <v>0</v>
      </c>
      <c r="BE75" s="8">
        <f t="shared" si="17"/>
        <v>0</v>
      </c>
      <c r="BF75" s="8">
        <f t="shared" si="18"/>
        <v>0</v>
      </c>
      <c r="BG75" s="8" t="s">
        <v>23</v>
      </c>
      <c r="BH75" s="8">
        <v>1</v>
      </c>
      <c r="BI75" s="8">
        <v>1</v>
      </c>
      <c r="BJ75" s="8">
        <v>1</v>
      </c>
      <c r="BK75" s="8">
        <v>1</v>
      </c>
      <c r="BL75" s="8">
        <v>1</v>
      </c>
      <c r="BM75" s="9"/>
      <c r="BN75" s="8"/>
      <c r="BO75" s="8"/>
      <c r="BP75" s="8"/>
      <c r="BQ75" s="8"/>
    </row>
    <row r="76" spans="1:69" x14ac:dyDescent="0.3">
      <c r="B76" s="7"/>
      <c r="C76" s="8">
        <f t="shared" ref="C76:C86" si="20">SUM(AI19:AM19)</f>
        <v>0</v>
      </c>
      <c r="D76" s="8" t="s">
        <v>23</v>
      </c>
      <c r="E76" s="8">
        <v>1</v>
      </c>
      <c r="F76" s="8"/>
      <c r="G76" s="8"/>
      <c r="H76" s="8">
        <f t="shared" si="10"/>
        <v>0</v>
      </c>
      <c r="I76" s="8">
        <f t="shared" si="11"/>
        <v>0</v>
      </c>
      <c r="J76" s="8">
        <f t="shared" si="12"/>
        <v>0</v>
      </c>
      <c r="K76" s="8">
        <f t="shared" si="13"/>
        <v>0</v>
      </c>
      <c r="L76" s="8">
        <f t="shared" si="19"/>
        <v>0</v>
      </c>
      <c r="M76" s="8" t="s">
        <v>23</v>
      </c>
      <c r="N76" s="8">
        <v>4</v>
      </c>
      <c r="O76" s="8">
        <v>4</v>
      </c>
      <c r="P76" s="8">
        <v>4</v>
      </c>
      <c r="Q76" s="8">
        <v>4</v>
      </c>
      <c r="R76" s="8">
        <v>4</v>
      </c>
      <c r="S76" s="8"/>
      <c r="T76" s="8"/>
      <c r="U76" s="8" cm="1">
        <f t="array" ref="U76">SUM(AP19:AT19*AA19:AE19-R19*AI19:AM19)</f>
        <v>0</v>
      </c>
      <c r="V76" s="8" t="s">
        <v>23</v>
      </c>
      <c r="W76" s="8">
        <v>0</v>
      </c>
      <c r="X76" s="8"/>
      <c r="Y76" s="8"/>
      <c r="Z76" s="8" cm="1">
        <f t="array" ref="Z76">SUM(AP19:AT19*AA19:AE19-U19*AI19:AM19)</f>
        <v>0</v>
      </c>
      <c r="AA76" s="8" t="s">
        <v>30</v>
      </c>
      <c r="AB76" s="8">
        <v>0</v>
      </c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>
        <f t="shared" si="14"/>
        <v>0</v>
      </c>
      <c r="BC76" s="8">
        <f t="shared" si="15"/>
        <v>0</v>
      </c>
      <c r="BD76" s="8">
        <f t="shared" si="16"/>
        <v>0</v>
      </c>
      <c r="BE76" s="8">
        <f t="shared" si="17"/>
        <v>0</v>
      </c>
      <c r="BF76" s="8">
        <f t="shared" si="18"/>
        <v>0</v>
      </c>
      <c r="BG76" s="8" t="s">
        <v>23</v>
      </c>
      <c r="BH76" s="8">
        <v>1</v>
      </c>
      <c r="BI76" s="8">
        <v>1</v>
      </c>
      <c r="BJ76" s="8">
        <v>1</v>
      </c>
      <c r="BK76" s="8">
        <v>1</v>
      </c>
      <c r="BL76" s="8">
        <v>1</v>
      </c>
      <c r="BM76" s="9"/>
      <c r="BN76" s="8"/>
      <c r="BO76" s="8"/>
      <c r="BP76" s="8"/>
      <c r="BQ76" s="8"/>
    </row>
    <row r="77" spans="1:69" x14ac:dyDescent="0.3">
      <c r="B77" s="7"/>
      <c r="C77" s="8">
        <f t="shared" si="20"/>
        <v>0</v>
      </c>
      <c r="D77" s="8" t="s">
        <v>23</v>
      </c>
      <c r="E77" s="8">
        <v>1</v>
      </c>
      <c r="F77" s="8"/>
      <c r="G77" s="8"/>
      <c r="H77" s="8">
        <f t="shared" si="10"/>
        <v>0</v>
      </c>
      <c r="I77" s="8">
        <f t="shared" si="11"/>
        <v>0</v>
      </c>
      <c r="J77" s="8">
        <f t="shared" si="12"/>
        <v>0</v>
      </c>
      <c r="K77" s="8">
        <f t="shared" si="13"/>
        <v>0</v>
      </c>
      <c r="L77" s="8">
        <f t="shared" si="19"/>
        <v>0</v>
      </c>
      <c r="M77" s="8" t="s">
        <v>23</v>
      </c>
      <c r="N77" s="8">
        <v>4</v>
      </c>
      <c r="O77" s="8">
        <v>4</v>
      </c>
      <c r="P77" s="8">
        <v>4</v>
      </c>
      <c r="Q77" s="8">
        <v>4</v>
      </c>
      <c r="R77" s="8">
        <v>4</v>
      </c>
      <c r="S77" s="8"/>
      <c r="T77" s="8"/>
      <c r="U77" s="8" cm="1">
        <f t="array" ref="U77">SUM(AP20:AT20*AA20:AE20-R20*AI20:AM20)</f>
        <v>0</v>
      </c>
      <c r="V77" s="8" t="s">
        <v>23</v>
      </c>
      <c r="W77" s="8">
        <v>0</v>
      </c>
      <c r="X77" s="8"/>
      <c r="Y77" s="8"/>
      <c r="Z77" s="8" cm="1">
        <f t="array" ref="Z77">SUM(AP20:AT20*AA20:AE20-U20*AI20:AM20)</f>
        <v>0</v>
      </c>
      <c r="AA77" s="8" t="s">
        <v>30</v>
      </c>
      <c r="AB77" s="8">
        <v>0</v>
      </c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>
        <f t="shared" si="14"/>
        <v>0</v>
      </c>
      <c r="BC77" s="8">
        <f t="shared" si="15"/>
        <v>0</v>
      </c>
      <c r="BD77" s="8">
        <f t="shared" si="16"/>
        <v>0</v>
      </c>
      <c r="BE77" s="8">
        <f t="shared" si="17"/>
        <v>0</v>
      </c>
      <c r="BF77" s="8">
        <f t="shared" si="18"/>
        <v>0</v>
      </c>
      <c r="BG77" s="8" t="s">
        <v>23</v>
      </c>
      <c r="BH77" s="8">
        <v>1</v>
      </c>
      <c r="BI77" s="8">
        <v>1</v>
      </c>
      <c r="BJ77" s="8">
        <v>1</v>
      </c>
      <c r="BK77" s="8">
        <v>1</v>
      </c>
      <c r="BL77" s="8">
        <v>1</v>
      </c>
      <c r="BM77" s="9"/>
      <c r="BN77" s="8"/>
      <c r="BO77" s="8"/>
      <c r="BP77" s="8"/>
      <c r="BQ77" s="8"/>
    </row>
    <row r="78" spans="1:69" x14ac:dyDescent="0.3">
      <c r="B78" s="7"/>
      <c r="C78" s="8">
        <f t="shared" si="20"/>
        <v>0</v>
      </c>
      <c r="D78" s="8" t="s">
        <v>23</v>
      </c>
      <c r="E78" s="8">
        <v>1</v>
      </c>
      <c r="F78" s="8"/>
      <c r="G78" s="8"/>
      <c r="H78" s="8">
        <f t="shared" si="10"/>
        <v>0</v>
      </c>
      <c r="I78" s="8">
        <f t="shared" si="11"/>
        <v>0</v>
      </c>
      <c r="J78" s="8">
        <f t="shared" si="12"/>
        <v>0</v>
      </c>
      <c r="K78" s="8">
        <f t="shared" si="13"/>
        <v>0</v>
      </c>
      <c r="L78" s="8">
        <f t="shared" si="19"/>
        <v>0</v>
      </c>
      <c r="M78" s="8" t="s">
        <v>23</v>
      </c>
      <c r="N78" s="8">
        <v>4</v>
      </c>
      <c r="O78" s="8">
        <v>4</v>
      </c>
      <c r="P78" s="8">
        <v>4</v>
      </c>
      <c r="Q78" s="8">
        <v>4</v>
      </c>
      <c r="R78" s="8">
        <v>4</v>
      </c>
      <c r="S78" s="8"/>
      <c r="T78" s="8"/>
      <c r="U78" s="8" cm="1">
        <f t="array" ref="U78">SUM(AP21:AT21*AA21:AE21-R21*AI21:AM21)</f>
        <v>0</v>
      </c>
      <c r="V78" s="8" t="s">
        <v>23</v>
      </c>
      <c r="W78" s="8">
        <v>0</v>
      </c>
      <c r="X78" s="8"/>
      <c r="Y78" s="8"/>
      <c r="Z78" s="8" cm="1">
        <f t="array" ref="Z78">SUM(AP21:AT21*AA21:AE21-U21*AI21:AM21)</f>
        <v>0</v>
      </c>
      <c r="AA78" s="8" t="s">
        <v>30</v>
      </c>
      <c r="AB78" s="8">
        <v>0</v>
      </c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>
        <f t="shared" si="14"/>
        <v>0</v>
      </c>
      <c r="BC78" s="8">
        <f t="shared" si="15"/>
        <v>0</v>
      </c>
      <c r="BD78" s="8">
        <f t="shared" si="16"/>
        <v>0</v>
      </c>
      <c r="BE78" s="8">
        <f t="shared" si="17"/>
        <v>0</v>
      </c>
      <c r="BF78" s="8">
        <f t="shared" si="18"/>
        <v>0</v>
      </c>
      <c r="BG78" s="8" t="s">
        <v>23</v>
      </c>
      <c r="BH78" s="8">
        <v>1</v>
      </c>
      <c r="BI78" s="8">
        <v>1</v>
      </c>
      <c r="BJ78" s="8">
        <v>1</v>
      </c>
      <c r="BK78" s="8">
        <v>1</v>
      </c>
      <c r="BL78" s="8">
        <v>1</v>
      </c>
      <c r="BM78" s="9"/>
      <c r="BN78" s="8"/>
      <c r="BO78" s="8"/>
      <c r="BP78" s="8"/>
      <c r="BQ78" s="8"/>
    </row>
    <row r="79" spans="1:69" x14ac:dyDescent="0.3">
      <c r="B79" s="7"/>
      <c r="C79" s="8">
        <f t="shared" si="20"/>
        <v>0</v>
      </c>
      <c r="D79" s="8" t="s">
        <v>23</v>
      </c>
      <c r="E79" s="8">
        <v>1</v>
      </c>
      <c r="F79" s="8"/>
      <c r="G79" s="8"/>
      <c r="H79" s="8">
        <f t="shared" si="10"/>
        <v>0</v>
      </c>
      <c r="I79" s="8">
        <f t="shared" si="11"/>
        <v>0</v>
      </c>
      <c r="J79" s="8">
        <f t="shared" si="12"/>
        <v>0</v>
      </c>
      <c r="K79" s="8">
        <f t="shared" si="13"/>
        <v>0</v>
      </c>
      <c r="L79" s="8">
        <f t="shared" si="19"/>
        <v>0</v>
      </c>
      <c r="M79" s="8" t="s">
        <v>23</v>
      </c>
      <c r="N79" s="8">
        <v>4</v>
      </c>
      <c r="O79" s="8">
        <v>4</v>
      </c>
      <c r="P79" s="8">
        <v>4</v>
      </c>
      <c r="Q79" s="8">
        <v>4</v>
      </c>
      <c r="R79" s="8">
        <v>4</v>
      </c>
      <c r="S79" s="8"/>
      <c r="T79" s="8"/>
      <c r="U79" s="8" cm="1">
        <f t="array" ref="U79">SUM(AP22:AT22*AA22:AE22-R22*AI22:AM22)</f>
        <v>0</v>
      </c>
      <c r="V79" s="8" t="s">
        <v>23</v>
      </c>
      <c r="W79" s="8">
        <v>0</v>
      </c>
      <c r="X79" s="8"/>
      <c r="Y79" s="8"/>
      <c r="Z79" s="8" cm="1">
        <f t="array" ref="Z79">SUM(AP22:AT22*AA22:AE22-U22*AI22:AM22)</f>
        <v>0</v>
      </c>
      <c r="AA79" s="8" t="s">
        <v>30</v>
      </c>
      <c r="AB79" s="8">
        <v>0</v>
      </c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>
        <f t="shared" si="14"/>
        <v>0</v>
      </c>
      <c r="BC79" s="8">
        <f t="shared" si="15"/>
        <v>0</v>
      </c>
      <c r="BD79" s="8">
        <f t="shared" si="16"/>
        <v>0</v>
      </c>
      <c r="BE79" s="8">
        <f t="shared" si="17"/>
        <v>0</v>
      </c>
      <c r="BF79" s="8">
        <f t="shared" si="18"/>
        <v>0</v>
      </c>
      <c r="BG79" s="8" t="s">
        <v>23</v>
      </c>
      <c r="BH79" s="8">
        <v>1</v>
      </c>
      <c r="BI79" s="8">
        <v>1</v>
      </c>
      <c r="BJ79" s="8">
        <v>1</v>
      </c>
      <c r="BK79" s="8">
        <v>1</v>
      </c>
      <c r="BL79" s="8">
        <v>1</v>
      </c>
      <c r="BM79" s="9"/>
      <c r="BN79" s="8"/>
      <c r="BO79" s="8"/>
      <c r="BP79" s="8"/>
      <c r="BQ79" s="8"/>
    </row>
    <row r="80" spans="1:69" x14ac:dyDescent="0.3">
      <c r="B80" s="7"/>
      <c r="C80" s="8">
        <f t="shared" si="20"/>
        <v>0</v>
      </c>
      <c r="D80" s="8" t="s">
        <v>23</v>
      </c>
      <c r="E80" s="8">
        <v>1</v>
      </c>
      <c r="F80" s="8"/>
      <c r="G80" s="8"/>
      <c r="H80" s="8">
        <f t="shared" si="10"/>
        <v>0</v>
      </c>
      <c r="I80" s="8">
        <f t="shared" si="11"/>
        <v>0</v>
      </c>
      <c r="J80" s="8">
        <f t="shared" si="12"/>
        <v>0</v>
      </c>
      <c r="K80" s="8">
        <f t="shared" si="13"/>
        <v>0</v>
      </c>
      <c r="L80" s="8">
        <f t="shared" si="19"/>
        <v>0</v>
      </c>
      <c r="M80" s="8" t="s">
        <v>23</v>
      </c>
      <c r="N80" s="8">
        <v>4</v>
      </c>
      <c r="O80" s="8">
        <v>4</v>
      </c>
      <c r="P80" s="8">
        <v>4</v>
      </c>
      <c r="Q80" s="8">
        <v>4</v>
      </c>
      <c r="R80" s="8">
        <v>4</v>
      </c>
      <c r="S80" s="8"/>
      <c r="T80" s="8"/>
      <c r="U80" s="8" cm="1">
        <f t="array" ref="U80">SUM(AP23:AT23*AA23:AE23-R23*AI23:AM23)</f>
        <v>0</v>
      </c>
      <c r="V80" s="8" t="s">
        <v>23</v>
      </c>
      <c r="W80" s="8">
        <v>0</v>
      </c>
      <c r="X80" s="8"/>
      <c r="Y80" s="8"/>
      <c r="Z80" s="8" cm="1">
        <f t="array" ref="Z80">SUM(AP23:AT23*AA23:AE23-U23*AI23:AM23)</f>
        <v>0</v>
      </c>
      <c r="AA80" s="8" t="s">
        <v>30</v>
      </c>
      <c r="AB80" s="8">
        <v>0</v>
      </c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>
        <f t="shared" si="14"/>
        <v>0</v>
      </c>
      <c r="BC80" s="8">
        <f t="shared" si="15"/>
        <v>0</v>
      </c>
      <c r="BD80" s="8">
        <f t="shared" si="16"/>
        <v>0</v>
      </c>
      <c r="BE80" s="8">
        <f t="shared" si="17"/>
        <v>0</v>
      </c>
      <c r="BF80" s="8">
        <f t="shared" si="18"/>
        <v>0</v>
      </c>
      <c r="BG80" s="8" t="s">
        <v>23</v>
      </c>
      <c r="BH80" s="8">
        <v>1</v>
      </c>
      <c r="BI80" s="8">
        <v>1</v>
      </c>
      <c r="BJ80" s="8">
        <v>1</v>
      </c>
      <c r="BK80" s="8">
        <v>1</v>
      </c>
      <c r="BL80" s="8">
        <v>1</v>
      </c>
      <c r="BM80" s="9"/>
      <c r="BN80" s="8"/>
      <c r="BO80" s="8"/>
      <c r="BP80" s="8"/>
      <c r="BQ80" s="8"/>
    </row>
    <row r="81" spans="1:69" x14ac:dyDescent="0.3">
      <c r="B81" s="7"/>
      <c r="C81" s="8">
        <f t="shared" si="20"/>
        <v>0</v>
      </c>
      <c r="D81" s="8" t="s">
        <v>23</v>
      </c>
      <c r="E81" s="8">
        <v>1</v>
      </c>
      <c r="F81" s="8"/>
      <c r="G81" s="8"/>
      <c r="H81" s="8">
        <f t="shared" si="10"/>
        <v>0</v>
      </c>
      <c r="I81" s="8">
        <f t="shared" si="11"/>
        <v>0</v>
      </c>
      <c r="J81" s="8">
        <f t="shared" si="12"/>
        <v>0</v>
      </c>
      <c r="K81" s="8">
        <f t="shared" si="13"/>
        <v>0</v>
      </c>
      <c r="L81" s="8">
        <f t="shared" si="19"/>
        <v>0</v>
      </c>
      <c r="M81" s="8" t="s">
        <v>23</v>
      </c>
      <c r="N81" s="8">
        <v>4</v>
      </c>
      <c r="O81" s="8">
        <v>4</v>
      </c>
      <c r="P81" s="8">
        <v>4</v>
      </c>
      <c r="Q81" s="8">
        <v>4</v>
      </c>
      <c r="R81" s="8">
        <v>4</v>
      </c>
      <c r="S81" s="8"/>
      <c r="T81" s="8"/>
      <c r="U81" s="8" cm="1">
        <f t="array" ref="U81">SUM(AP24:AT24*AA24:AE24-R24*AI24:AM24)</f>
        <v>0</v>
      </c>
      <c r="V81" s="8" t="s">
        <v>23</v>
      </c>
      <c r="W81" s="8">
        <v>0</v>
      </c>
      <c r="X81" s="8"/>
      <c r="Y81" s="8"/>
      <c r="Z81" s="8" cm="1">
        <f t="array" ref="Z81">SUM(AP24:AT24*AA24:AE24-U24*AI24:AM24)</f>
        <v>0</v>
      </c>
      <c r="AA81" s="8" t="s">
        <v>30</v>
      </c>
      <c r="AB81" s="8">
        <v>0</v>
      </c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>
        <f t="shared" si="14"/>
        <v>0</v>
      </c>
      <c r="BC81" s="8">
        <f t="shared" si="15"/>
        <v>0</v>
      </c>
      <c r="BD81" s="8">
        <f t="shared" si="16"/>
        <v>0</v>
      </c>
      <c r="BE81" s="8">
        <f t="shared" si="17"/>
        <v>0</v>
      </c>
      <c r="BF81" s="8">
        <f t="shared" si="18"/>
        <v>0</v>
      </c>
      <c r="BG81" s="8" t="s">
        <v>23</v>
      </c>
      <c r="BH81" s="8">
        <v>1</v>
      </c>
      <c r="BI81" s="8">
        <v>1</v>
      </c>
      <c r="BJ81" s="8">
        <v>1</v>
      </c>
      <c r="BK81" s="8">
        <v>1</v>
      </c>
      <c r="BL81" s="8">
        <v>1</v>
      </c>
      <c r="BM81" s="9"/>
      <c r="BN81" s="8"/>
      <c r="BO81" s="8"/>
      <c r="BP81" s="8"/>
      <c r="BQ81" s="8"/>
    </row>
    <row r="82" spans="1:69" x14ac:dyDescent="0.3">
      <c r="B82" s="7"/>
      <c r="C82" s="8">
        <f t="shared" si="20"/>
        <v>0</v>
      </c>
      <c r="D82" s="8" t="s">
        <v>23</v>
      </c>
      <c r="E82" s="8">
        <v>1</v>
      </c>
      <c r="F82" s="8"/>
      <c r="G82" s="8"/>
      <c r="H82" s="8">
        <f t="shared" si="10"/>
        <v>0</v>
      </c>
      <c r="I82" s="8">
        <f t="shared" si="11"/>
        <v>0</v>
      </c>
      <c r="J82" s="8">
        <f t="shared" si="12"/>
        <v>0</v>
      </c>
      <c r="K82" s="8">
        <f t="shared" si="13"/>
        <v>0</v>
      </c>
      <c r="L82" s="8">
        <f t="shared" si="19"/>
        <v>0</v>
      </c>
      <c r="M82" s="8" t="s">
        <v>23</v>
      </c>
      <c r="N82" s="8">
        <v>4</v>
      </c>
      <c r="O82" s="8">
        <v>4</v>
      </c>
      <c r="P82" s="8">
        <v>4</v>
      </c>
      <c r="Q82" s="8">
        <v>4</v>
      </c>
      <c r="R82" s="8">
        <v>4</v>
      </c>
      <c r="S82" s="8"/>
      <c r="T82" s="8"/>
      <c r="U82" s="8" cm="1">
        <f t="array" ref="U82">SUM(AP25:AT25*AA25:AE25-R25*AI25:AM25)</f>
        <v>0</v>
      </c>
      <c r="V82" s="8" t="s">
        <v>23</v>
      </c>
      <c r="W82" s="8">
        <v>0</v>
      </c>
      <c r="X82" s="8"/>
      <c r="Y82" s="8"/>
      <c r="Z82" s="8" cm="1">
        <f t="array" ref="Z82">SUM(AP25:AT25*AA25:AE25-U25*AI25:AM25)</f>
        <v>0</v>
      </c>
      <c r="AA82" s="8" t="s">
        <v>30</v>
      </c>
      <c r="AB82" s="8">
        <v>0</v>
      </c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>
        <f t="shared" si="14"/>
        <v>0</v>
      </c>
      <c r="BC82" s="8">
        <f t="shared" si="15"/>
        <v>0</v>
      </c>
      <c r="BD82" s="8">
        <f t="shared" si="16"/>
        <v>0</v>
      </c>
      <c r="BE82" s="8">
        <f t="shared" si="17"/>
        <v>0</v>
      </c>
      <c r="BF82" s="8">
        <f t="shared" si="18"/>
        <v>0</v>
      </c>
      <c r="BG82" s="8" t="s">
        <v>23</v>
      </c>
      <c r="BH82" s="8">
        <v>1</v>
      </c>
      <c r="BI82" s="8">
        <v>1</v>
      </c>
      <c r="BJ82" s="8">
        <v>1</v>
      </c>
      <c r="BK82" s="8">
        <v>1</v>
      </c>
      <c r="BL82" s="8">
        <v>1</v>
      </c>
      <c r="BM82" s="9"/>
      <c r="BN82" s="8"/>
      <c r="BO82" s="8"/>
      <c r="BP82" s="8"/>
      <c r="BQ82" s="8"/>
    </row>
    <row r="83" spans="1:69" x14ac:dyDescent="0.3">
      <c r="B83" s="7"/>
      <c r="C83" s="8">
        <f t="shared" si="20"/>
        <v>0</v>
      </c>
      <c r="D83" s="8" t="s">
        <v>23</v>
      </c>
      <c r="E83" s="8">
        <v>1</v>
      </c>
      <c r="F83" s="8"/>
      <c r="G83" s="8"/>
      <c r="H83" s="8">
        <f t="shared" si="10"/>
        <v>0</v>
      </c>
      <c r="I83" s="8">
        <f t="shared" si="11"/>
        <v>0</v>
      </c>
      <c r="J83" s="8">
        <f t="shared" si="12"/>
        <v>0</v>
      </c>
      <c r="K83" s="8">
        <f t="shared" si="13"/>
        <v>0</v>
      </c>
      <c r="L83" s="8">
        <f t="shared" si="19"/>
        <v>0</v>
      </c>
      <c r="M83" s="8" t="s">
        <v>23</v>
      </c>
      <c r="N83" s="8">
        <v>4</v>
      </c>
      <c r="O83" s="8">
        <v>4</v>
      </c>
      <c r="P83" s="8">
        <v>4</v>
      </c>
      <c r="Q83" s="8">
        <v>4</v>
      </c>
      <c r="R83" s="8">
        <v>4</v>
      </c>
      <c r="S83" s="8"/>
      <c r="T83" s="8"/>
      <c r="U83" s="8" cm="1">
        <f t="array" ref="U83">SUM(AP26:AT26*AA26:AE26-R26*AI26:AM26)</f>
        <v>0</v>
      </c>
      <c r="V83" s="8" t="s">
        <v>23</v>
      </c>
      <c r="W83" s="8">
        <v>0</v>
      </c>
      <c r="X83" s="8"/>
      <c r="Y83" s="8"/>
      <c r="Z83" s="8" cm="1">
        <f t="array" ref="Z83">SUM(AP26:AT26*AA26:AE26-U26*AI26:AM26)</f>
        <v>0</v>
      </c>
      <c r="AA83" s="8" t="s">
        <v>30</v>
      </c>
      <c r="AB83" s="8">
        <v>0</v>
      </c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>
        <f t="shared" si="14"/>
        <v>0</v>
      </c>
      <c r="BC83" s="8">
        <f t="shared" si="15"/>
        <v>0</v>
      </c>
      <c r="BD83" s="8">
        <f t="shared" si="16"/>
        <v>0</v>
      </c>
      <c r="BE83" s="8">
        <f t="shared" si="17"/>
        <v>0</v>
      </c>
      <c r="BF83" s="8">
        <f t="shared" si="18"/>
        <v>0</v>
      </c>
      <c r="BG83" s="8" t="s">
        <v>23</v>
      </c>
      <c r="BH83" s="8">
        <v>1</v>
      </c>
      <c r="BI83" s="8">
        <v>1</v>
      </c>
      <c r="BJ83" s="8">
        <v>1</v>
      </c>
      <c r="BK83" s="8">
        <v>1</v>
      </c>
      <c r="BL83" s="8">
        <v>1</v>
      </c>
      <c r="BM83" s="9"/>
      <c r="BN83" s="8"/>
      <c r="BO83" s="8"/>
      <c r="BP83" s="8"/>
      <c r="BQ83" s="8"/>
    </row>
    <row r="84" spans="1:69" x14ac:dyDescent="0.3">
      <c r="B84" s="7"/>
      <c r="C84" s="8">
        <f t="shared" si="20"/>
        <v>0</v>
      </c>
      <c r="D84" s="8" t="s">
        <v>23</v>
      </c>
      <c r="E84" s="8">
        <v>1</v>
      </c>
      <c r="F84" s="8"/>
      <c r="G84" s="8"/>
      <c r="H84" s="8">
        <f t="shared" si="10"/>
        <v>0</v>
      </c>
      <c r="I84" s="8">
        <f t="shared" si="11"/>
        <v>0</v>
      </c>
      <c r="J84" s="8">
        <f t="shared" si="12"/>
        <v>0</v>
      </c>
      <c r="K84" s="8">
        <f t="shared" si="13"/>
        <v>0</v>
      </c>
      <c r="L84" s="8">
        <f t="shared" si="19"/>
        <v>0</v>
      </c>
      <c r="M84" s="8" t="s">
        <v>23</v>
      </c>
      <c r="N84" s="8">
        <v>4</v>
      </c>
      <c r="O84" s="8">
        <v>4</v>
      </c>
      <c r="P84" s="8">
        <v>4</v>
      </c>
      <c r="Q84" s="8">
        <v>4</v>
      </c>
      <c r="R84" s="8">
        <v>4</v>
      </c>
      <c r="S84" s="8"/>
      <c r="T84" s="8"/>
      <c r="U84" s="8" cm="1">
        <f t="array" ref="U84">SUM(AP27:AT27*AA27:AE27-R27*AI27:AM27)</f>
        <v>0</v>
      </c>
      <c r="V84" s="8" t="s">
        <v>23</v>
      </c>
      <c r="W84" s="8">
        <v>0</v>
      </c>
      <c r="X84" s="8"/>
      <c r="Y84" s="8"/>
      <c r="Z84" s="8" cm="1">
        <f t="array" ref="Z84">SUM(AP27:AT27*AA27:AE27-U27*AI27:AM27)</f>
        <v>0</v>
      </c>
      <c r="AA84" s="8" t="s">
        <v>30</v>
      </c>
      <c r="AB84" s="8">
        <v>0</v>
      </c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>
        <f t="shared" si="14"/>
        <v>0</v>
      </c>
      <c r="BC84" s="8">
        <f t="shared" si="15"/>
        <v>0</v>
      </c>
      <c r="BD84" s="8">
        <f t="shared" si="16"/>
        <v>0</v>
      </c>
      <c r="BE84" s="8">
        <f t="shared" si="17"/>
        <v>0</v>
      </c>
      <c r="BF84" s="8">
        <f t="shared" si="18"/>
        <v>0</v>
      </c>
      <c r="BG84" s="8" t="s">
        <v>23</v>
      </c>
      <c r="BH84" s="8">
        <v>1</v>
      </c>
      <c r="BI84" s="8">
        <v>1</v>
      </c>
      <c r="BJ84" s="8">
        <v>1</v>
      </c>
      <c r="BK84" s="8">
        <v>1</v>
      </c>
      <c r="BL84" s="8">
        <v>1</v>
      </c>
      <c r="BM84" s="9"/>
      <c r="BN84" s="8"/>
      <c r="BO84" s="8"/>
      <c r="BP84" s="8"/>
      <c r="BQ84" s="8"/>
    </row>
    <row r="85" spans="1:69" x14ac:dyDescent="0.3">
      <c r="A85" s="8"/>
      <c r="B85" s="7"/>
      <c r="C85" s="8">
        <f t="shared" si="20"/>
        <v>0</v>
      </c>
      <c r="D85" s="8" t="s">
        <v>23</v>
      </c>
      <c r="E85" s="8">
        <v>1</v>
      </c>
      <c r="F85" s="8"/>
      <c r="G85" s="8"/>
      <c r="H85" s="8">
        <f t="shared" si="10"/>
        <v>0</v>
      </c>
      <c r="I85" s="8">
        <f t="shared" si="11"/>
        <v>0</v>
      </c>
      <c r="J85" s="8">
        <f t="shared" si="12"/>
        <v>0</v>
      </c>
      <c r="K85" s="8">
        <f t="shared" si="13"/>
        <v>0</v>
      </c>
      <c r="L85" s="8">
        <f t="shared" si="19"/>
        <v>0</v>
      </c>
      <c r="M85" s="8" t="s">
        <v>23</v>
      </c>
      <c r="N85" s="8">
        <v>4</v>
      </c>
      <c r="O85" s="8">
        <v>4</v>
      </c>
      <c r="P85" s="8">
        <v>4</v>
      </c>
      <c r="Q85" s="8">
        <v>4</v>
      </c>
      <c r="R85" s="8">
        <v>4</v>
      </c>
      <c r="S85" s="8"/>
      <c r="T85" s="8"/>
      <c r="U85" s="8" cm="1">
        <f t="array" ref="U85">SUM(AP28:AT28*AA28:AE28-R28*AI28:AM28)</f>
        <v>0</v>
      </c>
      <c r="V85" s="8" t="s">
        <v>23</v>
      </c>
      <c r="W85" s="8">
        <v>0</v>
      </c>
      <c r="X85" s="8"/>
      <c r="Y85" s="8"/>
      <c r="Z85" s="8" cm="1">
        <f t="array" ref="Z85">SUM(AP28:AT28*AA28:AE28-U28*AI28:AM28)</f>
        <v>0</v>
      </c>
      <c r="AA85" s="8" t="s">
        <v>30</v>
      </c>
      <c r="AB85" s="8">
        <v>0</v>
      </c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>
        <f t="shared" si="14"/>
        <v>0</v>
      </c>
      <c r="BC85" s="8">
        <f t="shared" si="15"/>
        <v>0</v>
      </c>
      <c r="BD85" s="8">
        <f t="shared" si="16"/>
        <v>0</v>
      </c>
      <c r="BE85" s="8">
        <f t="shared" si="17"/>
        <v>0</v>
      </c>
      <c r="BF85" s="8">
        <f t="shared" si="18"/>
        <v>0</v>
      </c>
      <c r="BG85" s="8" t="s">
        <v>23</v>
      </c>
      <c r="BH85" s="8">
        <v>1</v>
      </c>
      <c r="BI85" s="8">
        <v>1</v>
      </c>
      <c r="BJ85" s="8">
        <v>1</v>
      </c>
      <c r="BK85" s="8">
        <v>1</v>
      </c>
      <c r="BL85" s="8">
        <v>1</v>
      </c>
      <c r="BM85" s="9"/>
      <c r="BN85" s="8"/>
      <c r="BO85" s="8"/>
      <c r="BP85" s="8"/>
      <c r="BQ85" s="8"/>
    </row>
    <row r="86" spans="1:69" x14ac:dyDescent="0.3">
      <c r="A86" s="8"/>
      <c r="B86" s="7"/>
      <c r="C86" s="8">
        <f t="shared" si="20"/>
        <v>0</v>
      </c>
      <c r="D86" s="8" t="s">
        <v>23</v>
      </c>
      <c r="E86" s="8">
        <v>1</v>
      </c>
      <c r="F86" s="8"/>
      <c r="G86" s="8"/>
      <c r="H86" s="8">
        <f t="shared" si="10"/>
        <v>0</v>
      </c>
      <c r="I86" s="8">
        <f t="shared" si="11"/>
        <v>0</v>
      </c>
      <c r="J86" s="8">
        <f t="shared" si="12"/>
        <v>0</v>
      </c>
      <c r="K86" s="8">
        <f t="shared" si="13"/>
        <v>0</v>
      </c>
      <c r="L86" s="8">
        <f t="shared" si="19"/>
        <v>0</v>
      </c>
      <c r="M86" s="8" t="s">
        <v>23</v>
      </c>
      <c r="N86" s="8">
        <v>4</v>
      </c>
      <c r="O86" s="8">
        <v>4</v>
      </c>
      <c r="P86" s="8">
        <v>4</v>
      </c>
      <c r="Q86" s="8">
        <v>4</v>
      </c>
      <c r="R86" s="8">
        <v>4</v>
      </c>
      <c r="S86" s="8"/>
      <c r="T86" s="8"/>
      <c r="U86" s="8" cm="1">
        <f t="array" ref="U86">SUM(AP29:AT29*AA29:AE29-R29*AI29:AM29)</f>
        <v>0</v>
      </c>
      <c r="V86" s="8" t="s">
        <v>23</v>
      </c>
      <c r="W86" s="8">
        <v>0</v>
      </c>
      <c r="X86" s="8"/>
      <c r="Y86" s="8"/>
      <c r="Z86" s="8" cm="1">
        <f t="array" ref="Z86">SUM(AP29:AT29*AA29:AE29-U29*AI29:AM29)</f>
        <v>0</v>
      </c>
      <c r="AA86" s="8" t="s">
        <v>30</v>
      </c>
      <c r="AB86" s="8">
        <v>0</v>
      </c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>
        <f t="shared" si="14"/>
        <v>0</v>
      </c>
      <c r="BC86" s="8">
        <f t="shared" si="15"/>
        <v>0</v>
      </c>
      <c r="BD86" s="8">
        <f t="shared" si="16"/>
        <v>0</v>
      </c>
      <c r="BE86" s="8">
        <f t="shared" si="17"/>
        <v>0</v>
      </c>
      <c r="BF86" s="8">
        <f t="shared" si="18"/>
        <v>0</v>
      </c>
      <c r="BG86" s="8" t="s">
        <v>23</v>
      </c>
      <c r="BH86" s="8">
        <v>1</v>
      </c>
      <c r="BI86" s="8">
        <v>1</v>
      </c>
      <c r="BJ86" s="8">
        <v>1</v>
      </c>
      <c r="BK86" s="8">
        <v>1</v>
      </c>
      <c r="BL86" s="8">
        <v>1</v>
      </c>
      <c r="BM86" s="9"/>
      <c r="BN86" s="8"/>
      <c r="BO86" s="8"/>
      <c r="BP86" s="8"/>
      <c r="BQ86" s="8"/>
    </row>
    <row r="87" spans="1:69" x14ac:dyDescent="0.3">
      <c r="A87" s="14"/>
      <c r="B87" s="7"/>
      <c r="C87" s="8">
        <f>SUM(AI30:AM30)</f>
        <v>0</v>
      </c>
      <c r="D87" s="8" t="s">
        <v>23</v>
      </c>
      <c r="E87" s="8">
        <v>1</v>
      </c>
      <c r="F87" s="8"/>
      <c r="G87" s="8"/>
      <c r="H87" s="8">
        <f t="shared" si="10"/>
        <v>0</v>
      </c>
      <c r="I87" s="8">
        <f t="shared" si="11"/>
        <v>0</v>
      </c>
      <c r="J87" s="8">
        <f>AR30</f>
        <v>0</v>
      </c>
      <c r="K87" s="8">
        <f t="shared" si="13"/>
        <v>0</v>
      </c>
      <c r="L87" s="8">
        <f>AT30</f>
        <v>0</v>
      </c>
      <c r="M87" s="8" t="s">
        <v>23</v>
      </c>
      <c r="N87" s="8">
        <v>4</v>
      </c>
      <c r="O87" s="8">
        <v>4</v>
      </c>
      <c r="P87" s="8">
        <v>4</v>
      </c>
      <c r="Q87" s="8">
        <v>4</v>
      </c>
      <c r="R87" s="8">
        <v>4</v>
      </c>
      <c r="S87" s="8"/>
      <c r="T87" s="8"/>
      <c r="U87" s="8" cm="1">
        <f t="array" ref="U87">SUM(AP30:AT30*AA30:AE30-R30*AI30:AM30)</f>
        <v>0</v>
      </c>
      <c r="V87" s="8" t="s">
        <v>23</v>
      </c>
      <c r="W87" s="8">
        <v>0</v>
      </c>
      <c r="X87" s="8"/>
      <c r="Y87" s="8"/>
      <c r="Z87" s="8" cm="1">
        <f t="array" ref="Z87">SUM(AP30:AT30*AA30:AE30-U30*AI30:AM30)</f>
        <v>0</v>
      </c>
      <c r="AA87" s="8" t="s">
        <v>30</v>
      </c>
      <c r="AB87" s="8">
        <v>0</v>
      </c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>
        <f t="shared" si="14"/>
        <v>0</v>
      </c>
      <c r="BC87" s="8">
        <f t="shared" si="15"/>
        <v>0</v>
      </c>
      <c r="BD87" s="8">
        <f t="shared" si="16"/>
        <v>0</v>
      </c>
      <c r="BE87" s="8">
        <f t="shared" si="17"/>
        <v>0</v>
      </c>
      <c r="BF87" s="8">
        <f t="shared" si="18"/>
        <v>0</v>
      </c>
      <c r="BG87" s="8" t="s">
        <v>23</v>
      </c>
      <c r="BH87" s="8">
        <v>1</v>
      </c>
      <c r="BI87" s="8">
        <v>1</v>
      </c>
      <c r="BJ87" s="8">
        <v>1</v>
      </c>
      <c r="BK87" s="8">
        <v>1</v>
      </c>
      <c r="BL87" s="8">
        <v>1</v>
      </c>
      <c r="BM87" s="9"/>
      <c r="BN87" s="8"/>
      <c r="BO87" s="8"/>
      <c r="BP87" s="8"/>
      <c r="BQ87" s="8"/>
    </row>
    <row r="88" spans="1:69" x14ac:dyDescent="0.3">
      <c r="A88" s="46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9"/>
      <c r="BN88" s="8"/>
      <c r="BO88" s="8"/>
      <c r="BP88" s="8"/>
      <c r="BQ88" s="8"/>
    </row>
    <row r="89" spans="1:69" x14ac:dyDescent="0.3">
      <c r="A89" s="46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9"/>
      <c r="BN89" s="8"/>
      <c r="BO89" s="8"/>
      <c r="BP89" s="8"/>
      <c r="BQ89" s="8"/>
    </row>
    <row r="90" spans="1:69" ht="16.2" thickBot="1" x14ac:dyDescent="0.35">
      <c r="A90" s="46"/>
      <c r="B90" s="25"/>
      <c r="C90" s="26"/>
      <c r="D90" s="26"/>
      <c r="E90" s="36"/>
      <c r="F90" s="36"/>
      <c r="G90" s="36"/>
      <c r="H90" s="36"/>
      <c r="I90" s="36"/>
      <c r="J90" s="3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7"/>
      <c r="BN90" s="8"/>
      <c r="BO90" s="8"/>
      <c r="BP90" s="8"/>
      <c r="BQ90" s="8"/>
    </row>
    <row r="91" spans="1:69" x14ac:dyDescent="0.3">
      <c r="A91" s="46"/>
      <c r="B91" s="8"/>
      <c r="C91" s="8"/>
      <c r="D91" s="8"/>
      <c r="E91" s="11"/>
      <c r="F91" s="11"/>
      <c r="G91" s="11"/>
      <c r="H91" s="11"/>
      <c r="I91" s="11"/>
      <c r="J91" s="1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</row>
    <row r="92" spans="1:69" x14ac:dyDescent="0.3">
      <c r="A92" s="46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</row>
    <row r="93" spans="1:69" x14ac:dyDescent="0.3">
      <c r="A93" s="46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</row>
    <row r="94" spans="1:69" x14ac:dyDescent="0.3">
      <c r="A94" s="46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</row>
    <row r="95" spans="1:69" x14ac:dyDescent="0.3">
      <c r="A95" s="46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</row>
    <row r="96" spans="1:69" x14ac:dyDescent="0.3">
      <c r="A96" s="46"/>
      <c r="B96" s="20"/>
      <c r="C96" s="24"/>
      <c r="D96" s="14"/>
      <c r="E96" s="14"/>
      <c r="F96" s="14"/>
      <c r="G96" s="14"/>
      <c r="H96" s="20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</row>
    <row r="97" spans="1:69" x14ac:dyDescent="0.3">
      <c r="A97" s="46"/>
      <c r="B97" s="20"/>
      <c r="C97" s="21"/>
      <c r="D97" s="14"/>
      <c r="E97" s="14"/>
      <c r="F97" s="14"/>
      <c r="G97" s="14"/>
      <c r="H97" s="20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</row>
    <row r="98" spans="1:69" x14ac:dyDescent="0.3">
      <c r="A98" s="46"/>
      <c r="B98" s="20"/>
      <c r="C98" s="24"/>
      <c r="D98" s="14"/>
      <c r="E98" s="14"/>
      <c r="F98" s="14"/>
      <c r="G98" s="14"/>
      <c r="H98" s="20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</row>
    <row r="99" spans="1:69" x14ac:dyDescent="0.3">
      <c r="A99" s="46"/>
      <c r="B99" s="20"/>
      <c r="C99" s="24"/>
      <c r="D99" s="14"/>
      <c r="E99" s="14"/>
      <c r="F99" s="14"/>
      <c r="G99" s="14"/>
      <c r="H99" s="20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</row>
    <row r="100" spans="1:69" x14ac:dyDescent="0.3">
      <c r="A100" s="46"/>
      <c r="B100" s="20"/>
      <c r="C100" s="24"/>
      <c r="D100" s="14"/>
      <c r="E100" s="14"/>
      <c r="F100" s="14"/>
      <c r="G100" s="14"/>
      <c r="H100" s="20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</row>
    <row r="101" spans="1:69" x14ac:dyDescent="0.3">
      <c r="A101" s="46"/>
      <c r="B101" s="20"/>
      <c r="C101" s="24"/>
      <c r="D101" s="14"/>
      <c r="E101" s="14"/>
      <c r="F101" s="14"/>
      <c r="G101" s="14"/>
      <c r="H101" s="20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</row>
    <row r="102" spans="1:69" x14ac:dyDescent="0.3">
      <c r="A102" s="46"/>
      <c r="B102" s="20"/>
      <c r="C102" s="24"/>
      <c r="D102" s="14"/>
      <c r="E102" s="14"/>
      <c r="F102" s="14"/>
      <c r="G102" s="14"/>
      <c r="H102" s="20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</row>
    <row r="103" spans="1:69" x14ac:dyDescent="0.3">
      <c r="A103" s="46"/>
      <c r="B103" s="20"/>
      <c r="C103" s="21"/>
      <c r="D103" s="14"/>
      <c r="E103" s="14"/>
      <c r="F103" s="14"/>
      <c r="G103" s="14"/>
      <c r="H103" s="20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</row>
    <row r="104" spans="1:69" x14ac:dyDescent="0.3">
      <c r="A104" s="46"/>
      <c r="B104" s="20"/>
      <c r="C104" s="21"/>
      <c r="D104" s="14"/>
      <c r="E104" s="14"/>
      <c r="F104" s="14"/>
      <c r="G104" s="14"/>
      <c r="H104" s="20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</row>
    <row r="105" spans="1:69" x14ac:dyDescent="0.3">
      <c r="A105" s="46"/>
      <c r="B105" s="20"/>
      <c r="C105" s="21"/>
      <c r="D105" s="14"/>
      <c r="E105" s="14"/>
      <c r="F105" s="14"/>
      <c r="G105" s="14"/>
      <c r="H105" s="20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</row>
    <row r="106" spans="1:69" x14ac:dyDescent="0.3">
      <c r="A106" s="46"/>
      <c r="B106" s="20"/>
      <c r="C106" s="21"/>
      <c r="D106" s="14"/>
      <c r="E106" s="14"/>
      <c r="F106" s="14"/>
      <c r="G106" s="14"/>
      <c r="H106" s="20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</row>
    <row r="107" spans="1:69" x14ac:dyDescent="0.3">
      <c r="A107" s="46"/>
      <c r="B107" s="20"/>
      <c r="C107" s="21"/>
      <c r="D107" s="14"/>
      <c r="E107" s="14"/>
      <c r="F107" s="14"/>
      <c r="G107" s="14"/>
      <c r="H107" s="20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</row>
    <row r="108" spans="1:69" x14ac:dyDescent="0.3">
      <c r="A108" s="46"/>
      <c r="B108" s="20"/>
      <c r="C108" s="21"/>
      <c r="D108" s="14"/>
      <c r="E108" s="14"/>
      <c r="F108" s="14"/>
      <c r="G108" s="14"/>
      <c r="H108" s="20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</row>
    <row r="109" spans="1:69" x14ac:dyDescent="0.3">
      <c r="A109" s="46"/>
      <c r="B109" s="20"/>
      <c r="C109" s="21"/>
      <c r="D109" s="14"/>
      <c r="E109" s="14"/>
      <c r="F109" s="14"/>
      <c r="G109" s="14"/>
      <c r="H109" s="20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</row>
    <row r="110" spans="1:69" x14ac:dyDescent="0.3">
      <c r="A110" s="46"/>
      <c r="B110" s="20"/>
      <c r="C110" s="21"/>
      <c r="D110" s="14"/>
      <c r="E110" s="14"/>
      <c r="F110" s="14"/>
      <c r="G110" s="14"/>
      <c r="H110" s="20"/>
      <c r="I110" s="8"/>
      <c r="J110" s="8"/>
      <c r="K110" s="8"/>
      <c r="L110" s="8"/>
      <c r="M110" s="8"/>
      <c r="N110" s="8"/>
    </row>
    <row r="111" spans="1:69" x14ac:dyDescent="0.3">
      <c r="A111" s="46"/>
      <c r="B111" s="20"/>
      <c r="C111" s="21"/>
      <c r="D111" s="14"/>
      <c r="E111" s="14"/>
      <c r="F111" s="14"/>
      <c r="G111" s="14"/>
      <c r="H111" s="20"/>
      <c r="I111" s="8"/>
      <c r="J111" s="8"/>
      <c r="K111" s="8"/>
      <c r="L111" s="8"/>
      <c r="M111" s="8"/>
      <c r="N111" s="8"/>
    </row>
    <row r="112" spans="1:69" x14ac:dyDescent="0.3">
      <c r="A112" s="46"/>
      <c r="B112" s="20"/>
      <c r="C112" s="21"/>
      <c r="D112" s="14"/>
      <c r="E112" s="14"/>
      <c r="F112" s="14"/>
      <c r="G112" s="14"/>
      <c r="H112" s="20"/>
      <c r="I112" s="8"/>
      <c r="J112" s="8"/>
      <c r="K112" s="8"/>
      <c r="L112" s="8"/>
      <c r="M112" s="8"/>
      <c r="N112" s="8"/>
    </row>
    <row r="113" spans="1:14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 x14ac:dyDescent="0.3">
      <c r="A115" s="39"/>
      <c r="B115" s="8"/>
      <c r="C115" s="8"/>
      <c r="D115" s="38"/>
      <c r="E115" s="8"/>
      <c r="F115" s="39"/>
      <c r="G115" s="29"/>
      <c r="H115" s="30"/>
      <c r="I115" s="29"/>
      <c r="J115" s="30"/>
      <c r="K115" s="29"/>
      <c r="L115" s="8"/>
      <c r="M115" s="8"/>
      <c r="N115" s="8"/>
    </row>
    <row r="116" spans="1:14" x14ac:dyDescent="0.3">
      <c r="A116" s="28"/>
      <c r="B116" s="28"/>
      <c r="C116" s="28"/>
      <c r="D116" s="28"/>
      <c r="E116" s="8"/>
      <c r="F116" s="8"/>
      <c r="G116" s="28"/>
      <c r="H116" s="30"/>
      <c r="I116" s="8"/>
      <c r="J116" s="31"/>
      <c r="K116" s="31"/>
      <c r="L116" s="8"/>
      <c r="M116" s="8"/>
      <c r="N116" s="8"/>
    </row>
    <row r="117" spans="1:14" x14ac:dyDescent="0.3">
      <c r="A117" s="28"/>
      <c r="B117" s="28"/>
      <c r="C117" s="28"/>
      <c r="D117" s="2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x14ac:dyDescent="0.3">
      <c r="A118" s="28"/>
      <c r="B118" s="28"/>
      <c r="C118" s="8"/>
      <c r="D118" s="8"/>
      <c r="E118" s="8"/>
      <c r="F118" s="38"/>
      <c r="G118" s="8"/>
      <c r="H118" s="8"/>
      <c r="I118" s="8"/>
      <c r="J118" s="8"/>
      <c r="K118" s="8"/>
      <c r="L118" s="8"/>
      <c r="M118" s="8"/>
      <c r="N118" s="8"/>
    </row>
    <row r="119" spans="1:14" x14ac:dyDescent="0.3">
      <c r="A119" s="28"/>
      <c r="B119" s="2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x14ac:dyDescent="0.3">
      <c r="A120" s="28"/>
      <c r="B120" s="2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4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5AE9ACD61DF4581E288D29AF79FA4" ma:contentTypeVersion="2" ma:contentTypeDescription="Create a new document." ma:contentTypeScope="" ma:versionID="6fff2b9b3e9c3ef2196d5eeadb3d3d87">
  <xsd:schema xmlns:xsd="http://www.w3.org/2001/XMLSchema" xmlns:xs="http://www.w3.org/2001/XMLSchema" xmlns:p="http://schemas.microsoft.com/office/2006/metadata/properties" xmlns:ns3="b79073fe-1e48-4a97-9229-baaa8603d156" targetNamespace="http://schemas.microsoft.com/office/2006/metadata/properties" ma:root="true" ma:fieldsID="5b8355e74ffe6f2b4bc219cfa7e75ee0" ns3:_="">
    <xsd:import namespace="b79073fe-1e48-4a97-9229-baaa8603d1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073fe-1e48-4a97-9229-baaa8603d1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D6C5F1-7E9D-4297-A86A-D3168C756D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073fe-1e48-4a97-9229-baaa8603d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828675-6E5C-49A2-A53D-972A97ED43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F64864-810E-4ABA-928D-FF44BE4CA6E7}">
  <ds:schemaRefs>
    <ds:schemaRef ds:uri="http://purl.org/dc/elements/1.1/"/>
    <ds:schemaRef ds:uri="b79073fe-1e48-4a97-9229-baaa8603d156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ersel hengrmen</dc:creator>
  <cp:lastModifiedBy>ersel hengrmen</cp:lastModifiedBy>
  <dcterms:created xsi:type="dcterms:W3CDTF">2021-01-09T17:11:28Z</dcterms:created>
  <dcterms:modified xsi:type="dcterms:W3CDTF">2021-01-10T16:20:52Z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0x010100ED75AE9ACD61DF4581E288D29AF79FA4</vt:lpwstr>
  </property>
</Properties>
</file>