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rs\IE407\term\"/>
    </mc:Choice>
  </mc:AlternateContent>
  <xr:revisionPtr revIDLastSave="0" documentId="13_ncr:1_{9E845471-2E35-47CB-9496-1BF223EB7B34}" xr6:coauthVersionLast="46" xr6:coauthVersionMax="46" xr10:uidLastSave="{00000000-0000-0000-0000-000000000000}"/>
  <bookViews>
    <workbookView xWindow="-108" yWindow="-108" windowWidth="23256" windowHeight="12576" xr2:uid="{29C75357-6D86-4F34-87D3-5ABA805A4EC9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2" i="1" l="1"/>
  <c r="B59" i="1"/>
  <c r="B60" i="1"/>
  <c r="B61" i="1"/>
  <c r="B58" i="1"/>
  <c r="P55" i="1" a="1"/>
  <c r="P55" i="1" s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<sst xmlns="http://schemas.openxmlformats.org/spreadsheetml/2006/main" count="48" uniqueCount="36">
  <si>
    <t>2 and 5</t>
  </si>
  <si>
    <t>3 and 8</t>
  </si>
  <si>
    <t>16 and 20</t>
  </si>
  <si>
    <t>1 and 12</t>
  </si>
  <si>
    <t>9 and 15</t>
  </si>
  <si>
    <t>INDICES</t>
  </si>
  <si>
    <t>k = shelf index</t>
  </si>
  <si>
    <t>i  =  product index</t>
  </si>
  <si>
    <t>DECISION VARIABLES</t>
  </si>
  <si>
    <t>x(i,k)= Is there going to be a facing of product i at shelf k.</t>
  </si>
  <si>
    <t>f(i,k)= Number of facings of product i at shelf k.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</si>
  <si>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</si>
  <si>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</si>
  <si>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</si>
  <si>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</si>
  <si>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</si>
  <si>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</si>
  <si>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</si>
  <si>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</si>
  <si>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</si>
  <si>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</si>
  <si>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</si>
  <si>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</si>
  <si>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</si>
  <si>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</si>
  <si>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</si>
  <si>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</si>
  <si>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</si>
  <si>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1-</t>
  </si>
  <si>
    <t>≤</t>
  </si>
  <si>
    <t>2-</t>
  </si>
  <si>
    <t>?</t>
  </si>
  <si>
    <t>3,4-</t>
  </si>
  <si>
    <t>6-</t>
  </si>
  <si>
    <t>7-</t>
  </si>
  <si>
    <t>8-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</si>
</sst>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7" xfId="1" applyFont="1" applyBorder="1"/>
    <xf numFmtId="0" fontId="2" fillId="0" borderId="8" xfId="1" applyFont="1" applyBorder="1"/>
    <xf numFmtId="0" fontId="2" fillId="0" borderId="1" xfId="1" applyFont="1" applyBorder="1"/>
    <xf numFmtId="0" fontId="3" fillId="0" borderId="0" xfId="0" applyFont="1" applyBorder="1" applyAlignment="1">
      <alignment horizontal="justify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AT132"/>
  <sheetViews>
    <sheetView tabSelected="1" zoomScale="115" zoomScaleNormal="115" workbookViewId="0">
      <selection activeCell="G3" sqref="G3"/>
    </sheetView>
  </sheetViews>
  <sheetFormatPr defaultRowHeight="15.6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16384" width="8.88671875" style="1"/>
  </cols>
  <sheetData>
    <row r="1" spans="2:46" ht="16.2" thickBot="1" x14ac:dyDescent="0.35">
      <c r="B1" s="42"/>
      <c r="C1" s="42"/>
      <c r="D1" s="42"/>
      <c r="E1" s="42"/>
      <c r="F1" s="42"/>
      <c r="G1" s="42"/>
      <c r="H1" s="42"/>
      <c r="I1" s="42"/>
      <c r="J1" s="43"/>
      <c r="K1" s="42"/>
      <c r="L1" s="42"/>
      <c r="M1" s="42"/>
      <c r="N1" s="42"/>
      <c r="O1" s="42"/>
      <c r="P1" s="42"/>
      <c r="Q1" s="42"/>
      <c r="R1" s="42"/>
      <c r="S1" s="42"/>
    </row>
    <row r="2" spans="2:46" x14ac:dyDescent="0.3">
      <c r="B2" s="2" t="s">
        <v>11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8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5"/>
    </row>
    <row r="3" spans="2:46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/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9"/>
    </row>
    <row r="4" spans="2:46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15</v>
      </c>
      <c r="AA4" s="8"/>
      <c r="AB4" s="8"/>
      <c r="AC4" s="8"/>
      <c r="AD4" s="8"/>
      <c r="AE4" s="8"/>
      <c r="AF4" s="9"/>
      <c r="AG4" s="12"/>
      <c r="AH4" s="10" t="s">
        <v>9</v>
      </c>
      <c r="AI4" s="11"/>
      <c r="AJ4" s="11"/>
      <c r="AK4" s="11"/>
      <c r="AL4" s="11"/>
      <c r="AM4" s="11"/>
      <c r="AN4" s="8"/>
      <c r="AO4" s="11" t="s">
        <v>10</v>
      </c>
      <c r="AP4" s="8"/>
      <c r="AQ4" s="8"/>
      <c r="AR4" s="8"/>
      <c r="AS4" s="8"/>
      <c r="AT4" s="9"/>
    </row>
    <row r="5" spans="2:46" x14ac:dyDescent="0.3">
      <c r="B5" s="13"/>
      <c r="C5" s="11" t="s">
        <v>16</v>
      </c>
      <c r="D5" s="8"/>
      <c r="E5" s="14"/>
      <c r="F5" s="11" t="s">
        <v>17</v>
      </c>
      <c r="G5" s="8"/>
      <c r="H5" s="14"/>
      <c r="I5" s="11" t="s">
        <v>18</v>
      </c>
      <c r="J5" s="8"/>
      <c r="K5" s="14"/>
      <c r="L5" s="44" t="s">
        <v>19</v>
      </c>
      <c r="M5" s="8"/>
      <c r="N5" s="14"/>
      <c r="O5" s="11" t="s">
        <v>20</v>
      </c>
      <c r="P5" s="8"/>
      <c r="Q5" s="14"/>
      <c r="R5" s="11" t="s">
        <v>21</v>
      </c>
      <c r="S5" s="8"/>
      <c r="T5" s="15"/>
      <c r="U5" s="11" t="s">
        <v>22</v>
      </c>
      <c r="V5" s="8"/>
      <c r="W5" s="8"/>
      <c r="X5" s="8"/>
      <c r="Y5" s="8"/>
      <c r="Z5" s="16" t="s">
        <v>14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14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18" t="s">
        <v>14</v>
      </c>
      <c r="AP5" s="16">
        <v>1</v>
      </c>
      <c r="AQ5" s="16">
        <v>2</v>
      </c>
      <c r="AR5" s="16">
        <v>3</v>
      </c>
      <c r="AS5" s="16">
        <v>4</v>
      </c>
      <c r="AT5" s="19">
        <v>5</v>
      </c>
    </row>
    <row r="6" spans="2:46" x14ac:dyDescent="0.3">
      <c r="B6" s="45">
        <v>1</v>
      </c>
      <c r="C6" s="20">
        <v>15</v>
      </c>
      <c r="D6" s="8"/>
      <c r="E6" s="46">
        <v>1</v>
      </c>
      <c r="F6" s="21">
        <v>10</v>
      </c>
      <c r="G6" s="8"/>
      <c r="H6" s="46">
        <v>1</v>
      </c>
      <c r="I6" s="14">
        <v>7</v>
      </c>
      <c r="J6" s="8"/>
      <c r="K6" s="46">
        <v>1</v>
      </c>
      <c r="L6" s="14">
        <v>4</v>
      </c>
      <c r="M6" s="8"/>
      <c r="N6" s="46">
        <v>1</v>
      </c>
      <c r="O6" s="14">
        <v>0.5</v>
      </c>
      <c r="P6" s="8"/>
      <c r="Q6" s="46">
        <v>1</v>
      </c>
      <c r="R6" s="14">
        <v>2</v>
      </c>
      <c r="S6" s="8"/>
      <c r="T6" s="46">
        <v>1</v>
      </c>
      <c r="U6" s="20">
        <v>15</v>
      </c>
      <c r="V6" s="8"/>
      <c r="W6" s="8"/>
      <c r="X6" s="8"/>
      <c r="Y6" s="8"/>
      <c r="Z6" s="46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/>
      <c r="AJ6" s="16"/>
      <c r="AK6" s="16"/>
      <c r="AL6" s="16"/>
      <c r="AM6" s="16"/>
      <c r="AN6" s="8"/>
      <c r="AO6" s="23">
        <v>1</v>
      </c>
      <c r="AP6" s="16"/>
      <c r="AQ6" s="16"/>
      <c r="AR6" s="16"/>
      <c r="AS6" s="16"/>
      <c r="AT6" s="19"/>
    </row>
    <row r="7" spans="2:46" x14ac:dyDescent="0.3">
      <c r="B7" s="45">
        <v>2</v>
      </c>
      <c r="C7" s="20">
        <v>8</v>
      </c>
      <c r="D7" s="8"/>
      <c r="E7" s="46">
        <v>2</v>
      </c>
      <c r="F7" s="24">
        <v>9</v>
      </c>
      <c r="G7" s="8"/>
      <c r="H7" s="46">
        <v>2</v>
      </c>
      <c r="I7" s="14">
        <v>6</v>
      </c>
      <c r="J7" s="8"/>
      <c r="K7" s="46">
        <v>2</v>
      </c>
      <c r="L7" s="14">
        <v>10</v>
      </c>
      <c r="M7" s="8"/>
      <c r="N7" s="46">
        <v>2</v>
      </c>
      <c r="O7" s="14">
        <v>0.2</v>
      </c>
      <c r="P7" s="8"/>
      <c r="Q7" s="46">
        <v>2</v>
      </c>
      <c r="R7" s="14">
        <v>1</v>
      </c>
      <c r="S7" s="8"/>
      <c r="T7" s="46">
        <v>2</v>
      </c>
      <c r="U7" s="20">
        <v>19</v>
      </c>
      <c r="V7" s="8"/>
      <c r="W7" s="8"/>
      <c r="X7" s="8"/>
      <c r="Y7" s="8"/>
      <c r="Z7" s="46">
        <v>2</v>
      </c>
      <c r="AA7" s="16">
        <f t="shared" ref="X7:AA30" si="0">$F$33/$I7-MOD($F$33/$I7,1)</f>
        <v>5</v>
      </c>
      <c r="AB7" s="16">
        <f t="shared" ref="Y7:AB30" si="1">$F$34/$I7-MOD($F$34/$I7,1)</f>
        <v>5</v>
      </c>
      <c r="AC7" s="16">
        <f t="shared" ref="Z7:AC30" si="2">$F$35/$I7-MOD($F$35/$I7,1)</f>
        <v>4</v>
      </c>
      <c r="AD7" s="16">
        <f t="shared" ref="AD7:AD29" si="3">$F$36/$I7-MOD($F$36/$I7,1)</f>
        <v>4</v>
      </c>
      <c r="AE7" s="16">
        <f t="shared" ref="AB7:AE30" si="4">$F$37/$I7-MOD($F$37/$I7,1)</f>
        <v>4</v>
      </c>
      <c r="AF7" s="9"/>
      <c r="AH7" s="22">
        <v>2</v>
      </c>
      <c r="AI7" s="16"/>
      <c r="AJ7" s="16"/>
      <c r="AK7" s="16"/>
      <c r="AL7" s="16"/>
      <c r="AM7" s="16"/>
      <c r="AN7" s="8"/>
      <c r="AO7" s="23">
        <v>2</v>
      </c>
      <c r="AP7" s="16"/>
      <c r="AQ7" s="16"/>
      <c r="AR7" s="16"/>
      <c r="AS7" s="16"/>
      <c r="AT7" s="19"/>
    </row>
    <row r="8" spans="2:46" x14ac:dyDescent="0.3">
      <c r="B8" s="45">
        <v>3</v>
      </c>
      <c r="C8" s="20">
        <v>12</v>
      </c>
      <c r="D8" s="8"/>
      <c r="E8" s="46">
        <v>3</v>
      </c>
      <c r="F8" s="24">
        <v>5</v>
      </c>
      <c r="G8" s="8"/>
      <c r="H8" s="46">
        <v>3</v>
      </c>
      <c r="I8" s="14">
        <v>10</v>
      </c>
      <c r="J8" s="8"/>
      <c r="K8" s="46">
        <v>3</v>
      </c>
      <c r="L8" s="14">
        <v>10</v>
      </c>
      <c r="M8" s="8"/>
      <c r="N8" s="46">
        <v>3</v>
      </c>
      <c r="O8" s="14">
        <v>0.3</v>
      </c>
      <c r="P8" s="8"/>
      <c r="Q8" s="46">
        <v>3</v>
      </c>
      <c r="R8" s="14">
        <v>1</v>
      </c>
      <c r="S8" s="8"/>
      <c r="T8" s="46">
        <v>3</v>
      </c>
      <c r="U8" s="20">
        <v>23</v>
      </c>
      <c r="V8" s="8"/>
      <c r="W8" s="8"/>
      <c r="X8" s="8"/>
      <c r="Y8" s="8"/>
      <c r="Z8" s="46">
        <v>3</v>
      </c>
      <c r="AA8" s="16">
        <f t="shared" si="0"/>
        <v>3</v>
      </c>
      <c r="AB8" s="16">
        <f t="shared" si="1"/>
        <v>3</v>
      </c>
      <c r="AC8" s="16">
        <f t="shared" si="2"/>
        <v>2</v>
      </c>
      <c r="AD8" s="16">
        <f t="shared" si="3"/>
        <v>2</v>
      </c>
      <c r="AE8" s="16">
        <f t="shared" si="4"/>
        <v>2</v>
      </c>
      <c r="AF8" s="9"/>
      <c r="AH8" s="22">
        <v>3</v>
      </c>
      <c r="AI8" s="16"/>
      <c r="AJ8" s="16"/>
      <c r="AK8" s="16"/>
      <c r="AL8" s="16"/>
      <c r="AM8" s="16"/>
      <c r="AN8" s="8"/>
      <c r="AO8" s="23">
        <v>3</v>
      </c>
      <c r="AP8" s="16"/>
      <c r="AQ8" s="16"/>
      <c r="AR8" s="16"/>
      <c r="AS8" s="16"/>
      <c r="AT8" s="19"/>
    </row>
    <row r="9" spans="2:46" x14ac:dyDescent="0.3">
      <c r="B9" s="45">
        <v>4</v>
      </c>
      <c r="C9" s="20">
        <v>6</v>
      </c>
      <c r="D9" s="8"/>
      <c r="E9" s="46">
        <v>4</v>
      </c>
      <c r="F9" s="24">
        <v>7</v>
      </c>
      <c r="G9" s="8"/>
      <c r="H9" s="46">
        <v>4</v>
      </c>
      <c r="I9" s="14">
        <v>7</v>
      </c>
      <c r="J9" s="8"/>
      <c r="K9" s="46">
        <v>4</v>
      </c>
      <c r="L9" s="14">
        <v>7</v>
      </c>
      <c r="M9" s="8"/>
      <c r="N9" s="46">
        <v>4</v>
      </c>
      <c r="O9" s="14">
        <v>0.2</v>
      </c>
      <c r="P9" s="8"/>
      <c r="Q9" s="46">
        <v>4</v>
      </c>
      <c r="R9" s="14">
        <v>1</v>
      </c>
      <c r="S9" s="8"/>
      <c r="T9" s="46">
        <v>4</v>
      </c>
      <c r="U9" s="20">
        <v>9</v>
      </c>
      <c r="V9" s="8"/>
      <c r="W9" s="8"/>
      <c r="X9" s="8"/>
      <c r="Y9" s="8"/>
      <c r="Z9" s="46">
        <v>4</v>
      </c>
      <c r="AA9" s="16">
        <f t="shared" si="0"/>
        <v>4</v>
      </c>
      <c r="AB9" s="16">
        <f t="shared" si="1"/>
        <v>4</v>
      </c>
      <c r="AC9" s="16">
        <f t="shared" si="2"/>
        <v>3</v>
      </c>
      <c r="AD9" s="16">
        <f t="shared" si="3"/>
        <v>3</v>
      </c>
      <c r="AE9" s="16">
        <f t="shared" si="4"/>
        <v>4</v>
      </c>
      <c r="AF9" s="9"/>
      <c r="AH9" s="22">
        <v>4</v>
      </c>
      <c r="AI9" s="16"/>
      <c r="AJ9" s="16"/>
      <c r="AK9" s="16"/>
      <c r="AL9" s="16"/>
      <c r="AM9" s="16"/>
      <c r="AN9" s="8"/>
      <c r="AO9" s="23">
        <v>4</v>
      </c>
      <c r="AP9" s="16"/>
      <c r="AQ9" s="16"/>
      <c r="AR9" s="16"/>
      <c r="AS9" s="16"/>
      <c r="AT9" s="19"/>
    </row>
    <row r="10" spans="2:46" x14ac:dyDescent="0.3">
      <c r="B10" s="45">
        <v>5</v>
      </c>
      <c r="C10" s="20">
        <v>11</v>
      </c>
      <c r="D10" s="8"/>
      <c r="E10" s="46">
        <v>5</v>
      </c>
      <c r="F10" s="24">
        <v>9</v>
      </c>
      <c r="G10" s="8"/>
      <c r="H10" s="46">
        <v>5</v>
      </c>
      <c r="I10" s="14">
        <v>9</v>
      </c>
      <c r="J10" s="8"/>
      <c r="K10" s="46">
        <v>5</v>
      </c>
      <c r="L10" s="14">
        <v>5</v>
      </c>
      <c r="M10" s="8"/>
      <c r="N10" s="46">
        <v>5</v>
      </c>
      <c r="O10" s="14">
        <v>0.9</v>
      </c>
      <c r="P10" s="8"/>
      <c r="Q10" s="46">
        <v>5</v>
      </c>
      <c r="R10" s="14">
        <v>1</v>
      </c>
      <c r="S10" s="8"/>
      <c r="T10" s="46">
        <v>5</v>
      </c>
      <c r="U10" s="20">
        <v>16</v>
      </c>
      <c r="V10" s="8"/>
      <c r="W10" s="8"/>
      <c r="X10" s="8"/>
      <c r="Y10" s="8"/>
      <c r="Z10" s="46">
        <v>5</v>
      </c>
      <c r="AA10" s="16">
        <f t="shared" si="0"/>
        <v>3</v>
      </c>
      <c r="AB10" s="16">
        <f t="shared" si="1"/>
        <v>3</v>
      </c>
      <c r="AC10" s="16">
        <f t="shared" si="2"/>
        <v>2</v>
      </c>
      <c r="AD10" s="16">
        <f t="shared" si="3"/>
        <v>3</v>
      </c>
      <c r="AE10" s="16">
        <f t="shared" si="4"/>
        <v>3</v>
      </c>
      <c r="AF10" s="9"/>
      <c r="AH10" s="22">
        <v>5</v>
      </c>
      <c r="AI10" s="16"/>
      <c r="AJ10" s="16"/>
      <c r="AK10" s="16"/>
      <c r="AL10" s="16"/>
      <c r="AM10" s="16"/>
      <c r="AN10" s="8"/>
      <c r="AO10" s="23">
        <v>5</v>
      </c>
      <c r="AP10" s="16"/>
      <c r="AQ10" s="16"/>
      <c r="AR10" s="16"/>
      <c r="AS10" s="16"/>
      <c r="AT10" s="19"/>
    </row>
    <row r="11" spans="2:46" x14ac:dyDescent="0.3">
      <c r="B11" s="45">
        <v>6</v>
      </c>
      <c r="C11" s="20">
        <v>14</v>
      </c>
      <c r="D11" s="8"/>
      <c r="E11" s="46">
        <v>6</v>
      </c>
      <c r="F11" s="24">
        <v>6</v>
      </c>
      <c r="G11" s="8"/>
      <c r="H11" s="46">
        <v>6</v>
      </c>
      <c r="I11" s="14">
        <v>8</v>
      </c>
      <c r="J11" s="8"/>
      <c r="K11" s="46">
        <v>6</v>
      </c>
      <c r="L11" s="14">
        <v>2</v>
      </c>
      <c r="M11" s="8"/>
      <c r="N11" s="46">
        <v>6</v>
      </c>
      <c r="O11" s="14">
        <v>0.4</v>
      </c>
      <c r="P11" s="8"/>
      <c r="Q11" s="46">
        <v>6</v>
      </c>
      <c r="R11" s="14">
        <v>1</v>
      </c>
      <c r="S11" s="8"/>
      <c r="T11" s="46">
        <v>6</v>
      </c>
      <c r="U11" s="20">
        <v>21</v>
      </c>
      <c r="V11" s="8"/>
      <c r="W11" s="8"/>
      <c r="X11" s="8"/>
      <c r="Y11" s="8"/>
      <c r="Z11" s="46">
        <v>6</v>
      </c>
      <c r="AA11" s="16">
        <f t="shared" si="0"/>
        <v>4</v>
      </c>
      <c r="AB11" s="16">
        <f t="shared" si="1"/>
        <v>3</v>
      </c>
      <c r="AC11" s="16">
        <f t="shared" si="2"/>
        <v>3</v>
      </c>
      <c r="AD11" s="16">
        <f t="shared" si="3"/>
        <v>3</v>
      </c>
      <c r="AE11" s="16">
        <f t="shared" si="4"/>
        <v>3</v>
      </c>
      <c r="AF11" s="9"/>
      <c r="AH11" s="22">
        <v>6</v>
      </c>
      <c r="AI11" s="16"/>
      <c r="AJ11" s="16"/>
      <c r="AK11" s="16"/>
      <c r="AL11" s="16"/>
      <c r="AM11" s="16"/>
      <c r="AN11" s="8"/>
      <c r="AO11" s="23">
        <v>6</v>
      </c>
      <c r="AP11" s="16"/>
      <c r="AQ11" s="16"/>
      <c r="AR11" s="16"/>
      <c r="AS11" s="16"/>
      <c r="AT11" s="19"/>
    </row>
    <row r="12" spans="2:46" x14ac:dyDescent="0.3">
      <c r="B12" s="45">
        <v>7</v>
      </c>
      <c r="C12" s="20">
        <v>14</v>
      </c>
      <c r="D12" s="8"/>
      <c r="E12" s="46">
        <v>7</v>
      </c>
      <c r="F12" s="24">
        <v>9</v>
      </c>
      <c r="G12" s="8"/>
      <c r="H12" s="46">
        <v>7</v>
      </c>
      <c r="I12" s="14">
        <v>6</v>
      </c>
      <c r="J12" s="8"/>
      <c r="K12" s="46">
        <v>7</v>
      </c>
      <c r="L12" s="14">
        <v>1</v>
      </c>
      <c r="M12" s="8"/>
      <c r="N12" s="46">
        <v>7</v>
      </c>
      <c r="O12" s="14">
        <v>0.5</v>
      </c>
      <c r="P12" s="8"/>
      <c r="Q12" s="46">
        <v>7</v>
      </c>
      <c r="R12" s="14">
        <v>1</v>
      </c>
      <c r="S12" s="8"/>
      <c r="T12" s="46">
        <v>7</v>
      </c>
      <c r="U12" s="20">
        <v>11</v>
      </c>
      <c r="V12" s="8"/>
      <c r="W12" s="8"/>
      <c r="X12" s="8"/>
      <c r="Y12" s="8"/>
      <c r="Z12" s="46">
        <v>7</v>
      </c>
      <c r="AA12" s="16">
        <f t="shared" si="0"/>
        <v>5</v>
      </c>
      <c r="AB12" s="16">
        <f t="shared" si="1"/>
        <v>5</v>
      </c>
      <c r="AC12" s="16">
        <f t="shared" si="2"/>
        <v>4</v>
      </c>
      <c r="AD12" s="16">
        <f t="shared" si="3"/>
        <v>4</v>
      </c>
      <c r="AE12" s="16">
        <f t="shared" si="4"/>
        <v>4</v>
      </c>
      <c r="AF12" s="9"/>
      <c r="AH12" s="22">
        <v>7</v>
      </c>
      <c r="AI12" s="16"/>
      <c r="AJ12" s="16"/>
      <c r="AK12" s="16"/>
      <c r="AL12" s="16"/>
      <c r="AM12" s="16"/>
      <c r="AN12" s="8"/>
      <c r="AO12" s="23">
        <v>7</v>
      </c>
      <c r="AP12" s="16"/>
      <c r="AQ12" s="16"/>
      <c r="AR12" s="16"/>
      <c r="AS12" s="16"/>
      <c r="AT12" s="19"/>
    </row>
    <row r="13" spans="2:46" x14ac:dyDescent="0.3">
      <c r="B13" s="45">
        <v>8</v>
      </c>
      <c r="C13" s="20">
        <v>6</v>
      </c>
      <c r="D13" s="8"/>
      <c r="E13" s="46">
        <v>8</v>
      </c>
      <c r="F13" s="24">
        <v>5</v>
      </c>
      <c r="G13" s="8"/>
      <c r="H13" s="46">
        <v>8</v>
      </c>
      <c r="I13" s="14">
        <v>9</v>
      </c>
      <c r="J13" s="8"/>
      <c r="K13" s="46">
        <v>8</v>
      </c>
      <c r="L13" s="14">
        <v>6</v>
      </c>
      <c r="M13" s="8"/>
      <c r="N13" s="46">
        <v>8</v>
      </c>
      <c r="O13" s="14">
        <v>0.3</v>
      </c>
      <c r="P13" s="8"/>
      <c r="Q13" s="46">
        <v>8</v>
      </c>
      <c r="R13" s="14">
        <v>1</v>
      </c>
      <c r="S13" s="8"/>
      <c r="T13" s="46">
        <v>8</v>
      </c>
      <c r="U13" s="20">
        <v>18</v>
      </c>
      <c r="V13" s="8"/>
      <c r="W13" s="8"/>
      <c r="X13" s="8"/>
      <c r="Y13" s="8"/>
      <c r="Z13" s="46">
        <v>8</v>
      </c>
      <c r="AA13" s="16">
        <f t="shared" si="0"/>
        <v>3</v>
      </c>
      <c r="AB13" s="16">
        <f t="shared" si="1"/>
        <v>3</v>
      </c>
      <c r="AC13" s="16">
        <f t="shared" si="2"/>
        <v>2</v>
      </c>
      <c r="AD13" s="16">
        <f t="shared" si="3"/>
        <v>3</v>
      </c>
      <c r="AE13" s="16">
        <f t="shared" si="4"/>
        <v>3</v>
      </c>
      <c r="AF13" s="9"/>
      <c r="AH13" s="22">
        <v>8</v>
      </c>
      <c r="AI13" s="16"/>
      <c r="AJ13" s="16"/>
      <c r="AK13" s="16"/>
      <c r="AL13" s="16"/>
      <c r="AM13" s="16"/>
      <c r="AN13" s="8"/>
      <c r="AO13" s="23">
        <v>8</v>
      </c>
      <c r="AP13" s="16"/>
      <c r="AQ13" s="16"/>
      <c r="AR13" s="16"/>
      <c r="AS13" s="16"/>
      <c r="AT13" s="19"/>
    </row>
    <row r="14" spans="2:46" x14ac:dyDescent="0.3">
      <c r="B14" s="45">
        <v>9</v>
      </c>
      <c r="C14" s="20">
        <v>5</v>
      </c>
      <c r="D14" s="8"/>
      <c r="E14" s="46">
        <v>9</v>
      </c>
      <c r="F14" s="24">
        <v>9</v>
      </c>
      <c r="G14" s="8"/>
      <c r="H14" s="46">
        <v>9</v>
      </c>
      <c r="I14" s="14">
        <v>9</v>
      </c>
      <c r="J14" s="8"/>
      <c r="K14" s="46">
        <v>9</v>
      </c>
      <c r="L14" s="14">
        <v>7</v>
      </c>
      <c r="M14" s="8"/>
      <c r="N14" s="46">
        <v>9</v>
      </c>
      <c r="O14" s="14">
        <v>0.8</v>
      </c>
      <c r="P14" s="8"/>
      <c r="Q14" s="46">
        <v>9</v>
      </c>
      <c r="R14" s="14">
        <v>2</v>
      </c>
      <c r="S14" s="8"/>
      <c r="T14" s="46">
        <v>9</v>
      </c>
      <c r="U14" s="20">
        <v>11</v>
      </c>
      <c r="V14" s="8"/>
      <c r="W14" s="8"/>
      <c r="X14" s="8"/>
      <c r="Y14" s="8"/>
      <c r="Z14" s="46">
        <v>9</v>
      </c>
      <c r="AA14" s="16">
        <f t="shared" si="0"/>
        <v>3</v>
      </c>
      <c r="AB14" s="16">
        <f t="shared" si="1"/>
        <v>3</v>
      </c>
      <c r="AC14" s="16">
        <f t="shared" si="2"/>
        <v>2</v>
      </c>
      <c r="AD14" s="16">
        <f t="shared" si="3"/>
        <v>3</v>
      </c>
      <c r="AE14" s="16">
        <f t="shared" si="4"/>
        <v>3</v>
      </c>
      <c r="AF14" s="9"/>
      <c r="AH14" s="22">
        <v>9</v>
      </c>
      <c r="AI14" s="16"/>
      <c r="AJ14" s="16"/>
      <c r="AK14" s="16"/>
      <c r="AL14" s="16"/>
      <c r="AM14" s="16"/>
      <c r="AN14" s="8"/>
      <c r="AO14" s="23">
        <v>9</v>
      </c>
      <c r="AP14" s="16"/>
      <c r="AQ14" s="16"/>
      <c r="AR14" s="16"/>
      <c r="AS14" s="16"/>
      <c r="AT14" s="19"/>
    </row>
    <row r="15" spans="2:46" x14ac:dyDescent="0.3">
      <c r="B15" s="45">
        <v>10</v>
      </c>
      <c r="C15" s="20">
        <v>11</v>
      </c>
      <c r="D15" s="8"/>
      <c r="E15" s="46">
        <v>10</v>
      </c>
      <c r="F15" s="21">
        <v>10</v>
      </c>
      <c r="G15" s="8"/>
      <c r="H15" s="46">
        <v>10</v>
      </c>
      <c r="I15" s="14">
        <v>9</v>
      </c>
      <c r="J15" s="8"/>
      <c r="K15" s="46">
        <v>10</v>
      </c>
      <c r="L15" s="14">
        <v>3</v>
      </c>
      <c r="M15" s="8"/>
      <c r="N15" s="46">
        <v>10</v>
      </c>
      <c r="O15" s="14">
        <v>0.8</v>
      </c>
      <c r="P15" s="8"/>
      <c r="Q15" s="46">
        <v>10</v>
      </c>
      <c r="R15" s="14">
        <v>1</v>
      </c>
      <c r="S15" s="8"/>
      <c r="T15" s="46">
        <v>10</v>
      </c>
      <c r="U15" s="20">
        <v>11</v>
      </c>
      <c r="V15" s="8"/>
      <c r="W15" s="8"/>
      <c r="X15" s="8"/>
      <c r="Y15" s="8"/>
      <c r="Z15" s="46">
        <v>10</v>
      </c>
      <c r="AA15" s="16">
        <f t="shared" si="0"/>
        <v>3</v>
      </c>
      <c r="AB15" s="16">
        <f t="shared" si="1"/>
        <v>3</v>
      </c>
      <c r="AC15" s="16">
        <f t="shared" si="2"/>
        <v>2</v>
      </c>
      <c r="AD15" s="16">
        <f t="shared" si="3"/>
        <v>3</v>
      </c>
      <c r="AE15" s="16">
        <f t="shared" si="4"/>
        <v>3</v>
      </c>
      <c r="AF15" s="9"/>
      <c r="AH15" s="22">
        <v>10</v>
      </c>
      <c r="AI15" s="16"/>
      <c r="AJ15" s="16"/>
      <c r="AK15" s="16"/>
      <c r="AL15" s="16"/>
      <c r="AM15" s="16"/>
      <c r="AN15" s="8"/>
      <c r="AO15" s="23">
        <v>10</v>
      </c>
      <c r="AP15" s="16"/>
      <c r="AQ15" s="16"/>
      <c r="AR15" s="16"/>
      <c r="AS15" s="16"/>
      <c r="AT15" s="19"/>
    </row>
    <row r="16" spans="2:46" x14ac:dyDescent="0.3">
      <c r="B16" s="45">
        <v>11</v>
      </c>
      <c r="C16" s="20">
        <v>12</v>
      </c>
      <c r="D16" s="8"/>
      <c r="E16" s="46">
        <v>11</v>
      </c>
      <c r="F16" s="24">
        <v>7</v>
      </c>
      <c r="G16" s="8"/>
      <c r="H16" s="46">
        <v>11</v>
      </c>
      <c r="I16" s="14">
        <v>5</v>
      </c>
      <c r="J16" s="8"/>
      <c r="K16" s="46">
        <v>11</v>
      </c>
      <c r="L16" s="14">
        <v>4</v>
      </c>
      <c r="M16" s="8"/>
      <c r="N16" s="46">
        <v>11</v>
      </c>
      <c r="O16" s="14">
        <v>0.1</v>
      </c>
      <c r="P16" s="8"/>
      <c r="Q16" s="46">
        <v>11</v>
      </c>
      <c r="R16" s="14">
        <v>2</v>
      </c>
      <c r="S16" s="8"/>
      <c r="T16" s="46">
        <v>11</v>
      </c>
      <c r="U16" s="20">
        <v>17</v>
      </c>
      <c r="V16" s="8"/>
      <c r="W16" s="8"/>
      <c r="X16" s="8"/>
      <c r="Y16" s="8"/>
      <c r="Z16" s="46">
        <v>11</v>
      </c>
      <c r="AA16" s="16">
        <f t="shared" si="0"/>
        <v>6</v>
      </c>
      <c r="AB16" s="16">
        <f t="shared" si="1"/>
        <v>6</v>
      </c>
      <c r="AC16" s="16">
        <f t="shared" si="2"/>
        <v>5</v>
      </c>
      <c r="AD16" s="16">
        <f t="shared" si="3"/>
        <v>5</v>
      </c>
      <c r="AE16" s="16">
        <f t="shared" si="4"/>
        <v>5</v>
      </c>
      <c r="AF16" s="9"/>
      <c r="AH16" s="22">
        <v>11</v>
      </c>
      <c r="AI16" s="16"/>
      <c r="AJ16" s="16"/>
      <c r="AK16" s="16"/>
      <c r="AL16" s="16"/>
      <c r="AM16" s="16"/>
      <c r="AN16" s="8"/>
      <c r="AO16" s="23">
        <v>11</v>
      </c>
      <c r="AP16" s="16"/>
      <c r="AQ16" s="16"/>
      <c r="AR16" s="16"/>
      <c r="AS16" s="16"/>
      <c r="AT16" s="19"/>
    </row>
    <row r="17" spans="2:46" x14ac:dyDescent="0.3">
      <c r="B17" s="45">
        <v>12</v>
      </c>
      <c r="C17" s="20">
        <v>8</v>
      </c>
      <c r="D17" s="8"/>
      <c r="E17" s="46">
        <v>12</v>
      </c>
      <c r="F17" s="24">
        <v>5</v>
      </c>
      <c r="G17" s="8"/>
      <c r="H17" s="46">
        <v>12</v>
      </c>
      <c r="I17" s="14">
        <v>6</v>
      </c>
      <c r="J17" s="8"/>
      <c r="K17" s="46">
        <v>12</v>
      </c>
      <c r="L17" s="14">
        <v>7</v>
      </c>
      <c r="M17" s="8"/>
      <c r="N17" s="46">
        <v>12</v>
      </c>
      <c r="O17" s="14">
        <v>0.8</v>
      </c>
      <c r="P17" s="8"/>
      <c r="Q17" s="46">
        <v>12</v>
      </c>
      <c r="R17" s="14">
        <v>2</v>
      </c>
      <c r="S17" s="8"/>
      <c r="T17" s="46">
        <v>12</v>
      </c>
      <c r="U17" s="20">
        <v>22</v>
      </c>
      <c r="V17" s="8"/>
      <c r="W17" s="8"/>
      <c r="X17" s="8"/>
      <c r="Y17" s="8"/>
      <c r="Z17" s="46">
        <v>12</v>
      </c>
      <c r="AA17" s="16">
        <f t="shared" si="0"/>
        <v>5</v>
      </c>
      <c r="AB17" s="16">
        <f t="shared" si="1"/>
        <v>5</v>
      </c>
      <c r="AC17" s="16">
        <f t="shared" si="2"/>
        <v>4</v>
      </c>
      <c r="AD17" s="16">
        <f t="shared" si="3"/>
        <v>4</v>
      </c>
      <c r="AE17" s="16">
        <f t="shared" si="4"/>
        <v>4</v>
      </c>
      <c r="AF17" s="9"/>
      <c r="AH17" s="22">
        <v>12</v>
      </c>
      <c r="AI17" s="16"/>
      <c r="AJ17" s="16"/>
      <c r="AK17" s="16"/>
      <c r="AL17" s="16"/>
      <c r="AM17" s="16"/>
      <c r="AN17" s="8"/>
      <c r="AO17" s="23">
        <v>12</v>
      </c>
      <c r="AP17" s="16"/>
      <c r="AQ17" s="16"/>
      <c r="AR17" s="16"/>
      <c r="AS17" s="16"/>
      <c r="AT17" s="19"/>
    </row>
    <row r="18" spans="2:46" x14ac:dyDescent="0.3">
      <c r="B18" s="45">
        <v>13</v>
      </c>
      <c r="C18" s="20">
        <v>11</v>
      </c>
      <c r="D18" s="8"/>
      <c r="E18" s="46">
        <v>13</v>
      </c>
      <c r="F18" s="24">
        <v>7</v>
      </c>
      <c r="G18" s="8"/>
      <c r="H18" s="46">
        <v>13</v>
      </c>
      <c r="I18" s="14">
        <v>6</v>
      </c>
      <c r="J18" s="8"/>
      <c r="K18" s="46">
        <v>13</v>
      </c>
      <c r="L18" s="14">
        <v>2</v>
      </c>
      <c r="M18" s="8"/>
      <c r="N18" s="46">
        <v>13</v>
      </c>
      <c r="O18" s="14">
        <v>0.1</v>
      </c>
      <c r="P18" s="8"/>
      <c r="Q18" s="46">
        <v>13</v>
      </c>
      <c r="R18" s="14">
        <v>1</v>
      </c>
      <c r="S18" s="8"/>
      <c r="T18" s="46">
        <v>13</v>
      </c>
      <c r="U18" s="20">
        <v>12</v>
      </c>
      <c r="V18" s="8"/>
      <c r="W18" s="8"/>
      <c r="X18" s="8"/>
      <c r="Y18" s="8"/>
      <c r="Z18" s="46">
        <v>13</v>
      </c>
      <c r="AA18" s="16">
        <f t="shared" si="0"/>
        <v>5</v>
      </c>
      <c r="AB18" s="16">
        <f t="shared" si="1"/>
        <v>5</v>
      </c>
      <c r="AC18" s="16">
        <f t="shared" si="2"/>
        <v>4</v>
      </c>
      <c r="AD18" s="16">
        <f t="shared" si="3"/>
        <v>4</v>
      </c>
      <c r="AE18" s="16">
        <f t="shared" si="4"/>
        <v>4</v>
      </c>
      <c r="AF18" s="9"/>
      <c r="AH18" s="22">
        <v>13</v>
      </c>
      <c r="AI18" s="16"/>
      <c r="AJ18" s="16"/>
      <c r="AK18" s="16"/>
      <c r="AL18" s="16"/>
      <c r="AM18" s="16"/>
      <c r="AN18" s="8"/>
      <c r="AO18" s="23">
        <v>13</v>
      </c>
      <c r="AP18" s="16"/>
      <c r="AQ18" s="16"/>
      <c r="AR18" s="16"/>
      <c r="AS18" s="16"/>
      <c r="AT18" s="19"/>
    </row>
    <row r="19" spans="2:46" x14ac:dyDescent="0.3">
      <c r="B19" s="45">
        <v>14</v>
      </c>
      <c r="C19" s="20">
        <v>13</v>
      </c>
      <c r="D19" s="8"/>
      <c r="E19" s="46">
        <v>14</v>
      </c>
      <c r="F19" s="24">
        <v>8</v>
      </c>
      <c r="G19" s="8"/>
      <c r="H19" s="46">
        <v>14</v>
      </c>
      <c r="I19" s="14">
        <v>9</v>
      </c>
      <c r="J19" s="8"/>
      <c r="K19" s="46">
        <v>14</v>
      </c>
      <c r="L19" s="14">
        <v>9</v>
      </c>
      <c r="M19" s="8"/>
      <c r="N19" s="46">
        <v>14</v>
      </c>
      <c r="O19" s="14">
        <v>0.8</v>
      </c>
      <c r="P19" s="8"/>
      <c r="Q19" s="46">
        <v>14</v>
      </c>
      <c r="R19" s="14">
        <v>3</v>
      </c>
      <c r="S19" s="8"/>
      <c r="T19" s="46">
        <v>14</v>
      </c>
      <c r="U19" s="20">
        <v>12</v>
      </c>
      <c r="V19" s="8"/>
      <c r="W19" s="8"/>
      <c r="X19" s="8"/>
      <c r="Y19" s="8"/>
      <c r="Z19" s="46">
        <v>14</v>
      </c>
      <c r="AA19" s="16">
        <f t="shared" si="0"/>
        <v>3</v>
      </c>
      <c r="AB19" s="16">
        <f t="shared" si="1"/>
        <v>3</v>
      </c>
      <c r="AC19" s="16">
        <f t="shared" si="2"/>
        <v>2</v>
      </c>
      <c r="AD19" s="16">
        <f t="shared" si="3"/>
        <v>3</v>
      </c>
      <c r="AE19" s="16">
        <f t="shared" si="4"/>
        <v>3</v>
      </c>
      <c r="AF19" s="9"/>
      <c r="AH19" s="22">
        <v>14</v>
      </c>
      <c r="AI19" s="16"/>
      <c r="AJ19" s="16"/>
      <c r="AK19" s="16"/>
      <c r="AL19" s="16"/>
      <c r="AM19" s="16"/>
      <c r="AN19" s="8"/>
      <c r="AO19" s="23">
        <v>14</v>
      </c>
      <c r="AP19" s="16"/>
      <c r="AQ19" s="16"/>
      <c r="AR19" s="16"/>
      <c r="AS19" s="16"/>
      <c r="AT19" s="19"/>
    </row>
    <row r="20" spans="2:46" x14ac:dyDescent="0.3">
      <c r="B20" s="45">
        <v>15</v>
      </c>
      <c r="C20" s="20">
        <v>7</v>
      </c>
      <c r="D20" s="8"/>
      <c r="E20" s="46">
        <v>15</v>
      </c>
      <c r="F20" s="24">
        <v>9</v>
      </c>
      <c r="G20" s="8"/>
      <c r="H20" s="46">
        <v>15</v>
      </c>
      <c r="I20" s="14">
        <v>8</v>
      </c>
      <c r="J20" s="8"/>
      <c r="K20" s="46">
        <v>15</v>
      </c>
      <c r="L20" s="14">
        <v>11</v>
      </c>
      <c r="M20" s="8"/>
      <c r="N20" s="46">
        <v>15</v>
      </c>
      <c r="O20" s="14">
        <v>0.8</v>
      </c>
      <c r="P20" s="8"/>
      <c r="Q20" s="46">
        <v>15</v>
      </c>
      <c r="R20" s="14">
        <v>3</v>
      </c>
      <c r="S20" s="8"/>
      <c r="T20" s="46">
        <v>15</v>
      </c>
      <c r="U20" s="20">
        <v>19</v>
      </c>
      <c r="V20" s="8"/>
      <c r="W20" s="8"/>
      <c r="X20" s="8"/>
      <c r="Y20" s="8"/>
      <c r="Z20" s="46">
        <v>15</v>
      </c>
      <c r="AA20" s="16">
        <f t="shared" si="0"/>
        <v>4</v>
      </c>
      <c r="AB20" s="16">
        <f t="shared" si="1"/>
        <v>3</v>
      </c>
      <c r="AC20" s="16">
        <f t="shared" si="2"/>
        <v>3</v>
      </c>
      <c r="AD20" s="16">
        <f t="shared" si="3"/>
        <v>3</v>
      </c>
      <c r="AE20" s="16">
        <f t="shared" si="4"/>
        <v>3</v>
      </c>
      <c r="AF20" s="9"/>
      <c r="AH20" s="22">
        <v>15</v>
      </c>
      <c r="AI20" s="16"/>
      <c r="AJ20" s="16"/>
      <c r="AK20" s="16"/>
      <c r="AL20" s="16"/>
      <c r="AM20" s="16"/>
      <c r="AN20" s="8"/>
      <c r="AO20" s="23">
        <v>15</v>
      </c>
      <c r="AP20" s="16"/>
      <c r="AQ20" s="16"/>
      <c r="AR20" s="16"/>
      <c r="AS20" s="16"/>
      <c r="AT20" s="19"/>
    </row>
    <row r="21" spans="2:46" x14ac:dyDescent="0.3">
      <c r="B21" s="45">
        <v>16</v>
      </c>
      <c r="C21" s="20">
        <v>14</v>
      </c>
      <c r="D21" s="8"/>
      <c r="E21" s="46">
        <v>16</v>
      </c>
      <c r="F21" s="21">
        <v>23</v>
      </c>
      <c r="G21" s="8"/>
      <c r="H21" s="46">
        <v>16</v>
      </c>
      <c r="I21" s="14">
        <v>5</v>
      </c>
      <c r="J21" s="8"/>
      <c r="K21" s="46">
        <v>16</v>
      </c>
      <c r="L21" s="14">
        <v>2</v>
      </c>
      <c r="M21" s="8"/>
      <c r="N21" s="46">
        <v>16</v>
      </c>
      <c r="O21" s="14">
        <v>0.1</v>
      </c>
      <c r="P21" s="8"/>
      <c r="Q21" s="46">
        <v>16</v>
      </c>
      <c r="R21" s="14">
        <v>2</v>
      </c>
      <c r="S21" s="8"/>
      <c r="T21" s="46">
        <v>16</v>
      </c>
      <c r="U21" s="20">
        <v>16</v>
      </c>
      <c r="V21" s="8"/>
      <c r="W21" s="8"/>
      <c r="X21" s="8"/>
      <c r="Y21" s="8"/>
      <c r="Z21" s="46">
        <v>16</v>
      </c>
      <c r="AA21" s="16">
        <f t="shared" si="0"/>
        <v>6</v>
      </c>
      <c r="AB21" s="16">
        <f t="shared" si="1"/>
        <v>6</v>
      </c>
      <c r="AC21" s="16">
        <f t="shared" si="2"/>
        <v>5</v>
      </c>
      <c r="AD21" s="16">
        <f t="shared" si="3"/>
        <v>5</v>
      </c>
      <c r="AE21" s="16">
        <f t="shared" si="4"/>
        <v>5</v>
      </c>
      <c r="AF21" s="9"/>
      <c r="AH21" s="22">
        <v>16</v>
      </c>
      <c r="AI21" s="16"/>
      <c r="AJ21" s="16"/>
      <c r="AK21" s="16"/>
      <c r="AL21" s="16"/>
      <c r="AM21" s="16"/>
      <c r="AN21" s="8"/>
      <c r="AO21" s="23">
        <v>16</v>
      </c>
      <c r="AP21" s="16"/>
      <c r="AQ21" s="16"/>
      <c r="AR21" s="16"/>
      <c r="AS21" s="16"/>
      <c r="AT21" s="19"/>
    </row>
    <row r="22" spans="2:46" x14ac:dyDescent="0.3">
      <c r="B22" s="45">
        <v>17</v>
      </c>
      <c r="C22" s="20">
        <v>9</v>
      </c>
      <c r="D22" s="8"/>
      <c r="E22" s="46">
        <v>17</v>
      </c>
      <c r="F22" s="21">
        <v>25</v>
      </c>
      <c r="G22" s="8"/>
      <c r="H22" s="46">
        <v>17</v>
      </c>
      <c r="I22" s="14">
        <v>6</v>
      </c>
      <c r="J22" s="8"/>
      <c r="K22" s="46">
        <v>17</v>
      </c>
      <c r="L22" s="14">
        <v>9</v>
      </c>
      <c r="M22" s="8"/>
      <c r="N22" s="46">
        <v>17</v>
      </c>
      <c r="O22" s="14">
        <v>0.1</v>
      </c>
      <c r="P22" s="8"/>
      <c r="Q22" s="46">
        <v>17</v>
      </c>
      <c r="R22" s="14">
        <v>1</v>
      </c>
      <c r="S22" s="8"/>
      <c r="T22" s="46">
        <v>17</v>
      </c>
      <c r="U22" s="20">
        <v>10</v>
      </c>
      <c r="V22" s="8"/>
      <c r="W22" s="8"/>
      <c r="X22" s="8"/>
      <c r="Y22" s="8"/>
      <c r="Z22" s="46">
        <v>17</v>
      </c>
      <c r="AA22" s="16">
        <f t="shared" si="0"/>
        <v>5</v>
      </c>
      <c r="AB22" s="16">
        <f t="shared" si="1"/>
        <v>5</v>
      </c>
      <c r="AC22" s="16">
        <f t="shared" si="2"/>
        <v>4</v>
      </c>
      <c r="AD22" s="16">
        <f t="shared" si="3"/>
        <v>4</v>
      </c>
      <c r="AE22" s="16">
        <f t="shared" si="4"/>
        <v>4</v>
      </c>
      <c r="AF22" s="9"/>
      <c r="AH22" s="22">
        <v>17</v>
      </c>
      <c r="AI22" s="16"/>
      <c r="AJ22" s="16"/>
      <c r="AK22" s="16"/>
      <c r="AL22" s="16"/>
      <c r="AM22" s="16"/>
      <c r="AN22" s="8"/>
      <c r="AO22" s="23">
        <v>17</v>
      </c>
      <c r="AP22" s="16"/>
      <c r="AQ22" s="16"/>
      <c r="AR22" s="16"/>
      <c r="AS22" s="16"/>
      <c r="AT22" s="19"/>
    </row>
    <row r="23" spans="2:46" x14ac:dyDescent="0.3">
      <c r="B23" s="45">
        <v>18</v>
      </c>
      <c r="C23" s="20">
        <v>10</v>
      </c>
      <c r="D23" s="8"/>
      <c r="E23" s="46">
        <v>18</v>
      </c>
      <c r="F23" s="21">
        <v>17</v>
      </c>
      <c r="G23" s="8"/>
      <c r="H23" s="46">
        <v>18</v>
      </c>
      <c r="I23" s="14">
        <v>8</v>
      </c>
      <c r="J23" s="8"/>
      <c r="K23" s="46">
        <v>18</v>
      </c>
      <c r="L23" s="14">
        <v>1</v>
      </c>
      <c r="M23" s="8"/>
      <c r="N23" s="46">
        <v>18</v>
      </c>
      <c r="O23" s="14">
        <v>0.8</v>
      </c>
      <c r="P23" s="8"/>
      <c r="Q23" s="46">
        <v>18</v>
      </c>
      <c r="R23" s="14">
        <v>2</v>
      </c>
      <c r="S23" s="8"/>
      <c r="T23" s="46">
        <v>18</v>
      </c>
      <c r="U23" s="20">
        <v>16</v>
      </c>
      <c r="V23" s="8"/>
      <c r="W23" s="8"/>
      <c r="X23" s="8"/>
      <c r="Y23" s="8"/>
      <c r="Z23" s="46">
        <v>18</v>
      </c>
      <c r="AA23" s="16">
        <f t="shared" si="0"/>
        <v>4</v>
      </c>
      <c r="AB23" s="16">
        <f t="shared" si="1"/>
        <v>3</v>
      </c>
      <c r="AC23" s="16">
        <f t="shared" si="2"/>
        <v>3</v>
      </c>
      <c r="AD23" s="16">
        <f t="shared" si="3"/>
        <v>3</v>
      </c>
      <c r="AE23" s="16">
        <f t="shared" si="4"/>
        <v>3</v>
      </c>
      <c r="AF23" s="9"/>
      <c r="AH23" s="22">
        <v>18</v>
      </c>
      <c r="AI23" s="16"/>
      <c r="AJ23" s="16"/>
      <c r="AK23" s="16"/>
      <c r="AL23" s="16"/>
      <c r="AM23" s="16"/>
      <c r="AN23" s="8"/>
      <c r="AO23" s="23">
        <v>18</v>
      </c>
      <c r="AP23" s="16"/>
      <c r="AQ23" s="16"/>
      <c r="AR23" s="16"/>
      <c r="AS23" s="16"/>
      <c r="AT23" s="19"/>
    </row>
    <row r="24" spans="2:46" x14ac:dyDescent="0.3">
      <c r="B24" s="45">
        <v>19</v>
      </c>
      <c r="C24" s="20">
        <v>13</v>
      </c>
      <c r="D24" s="8"/>
      <c r="E24" s="46">
        <v>19</v>
      </c>
      <c r="F24" s="21">
        <v>15</v>
      </c>
      <c r="G24" s="8"/>
      <c r="H24" s="46">
        <v>19</v>
      </c>
      <c r="I24" s="14">
        <v>9</v>
      </c>
      <c r="J24" s="8"/>
      <c r="K24" s="46">
        <v>19</v>
      </c>
      <c r="L24" s="14">
        <v>4</v>
      </c>
      <c r="M24" s="8"/>
      <c r="N24" s="46">
        <v>19</v>
      </c>
      <c r="O24" s="14">
        <v>0.2</v>
      </c>
      <c r="P24" s="8"/>
      <c r="Q24" s="46">
        <v>19</v>
      </c>
      <c r="R24" s="14">
        <v>2</v>
      </c>
      <c r="S24" s="8"/>
      <c r="T24" s="46">
        <v>19</v>
      </c>
      <c r="U24" s="20">
        <v>20</v>
      </c>
      <c r="V24" s="8"/>
      <c r="W24" s="8"/>
      <c r="X24" s="8"/>
      <c r="Y24" s="8"/>
      <c r="Z24" s="46">
        <v>19</v>
      </c>
      <c r="AA24" s="16">
        <f t="shared" si="0"/>
        <v>3</v>
      </c>
      <c r="AB24" s="16">
        <f t="shared" si="1"/>
        <v>3</v>
      </c>
      <c r="AC24" s="16">
        <f t="shared" si="2"/>
        <v>2</v>
      </c>
      <c r="AD24" s="16">
        <f t="shared" si="3"/>
        <v>3</v>
      </c>
      <c r="AE24" s="16">
        <f t="shared" si="4"/>
        <v>3</v>
      </c>
      <c r="AF24" s="9"/>
      <c r="AH24" s="22">
        <v>19</v>
      </c>
      <c r="AI24" s="16"/>
      <c r="AJ24" s="16"/>
      <c r="AK24" s="16"/>
      <c r="AL24" s="16"/>
      <c r="AM24" s="16"/>
      <c r="AN24" s="8"/>
      <c r="AO24" s="23">
        <v>19</v>
      </c>
      <c r="AP24" s="16"/>
      <c r="AQ24" s="16"/>
      <c r="AR24" s="16"/>
      <c r="AS24" s="16"/>
      <c r="AT24" s="19"/>
    </row>
    <row r="25" spans="2:46" x14ac:dyDescent="0.3">
      <c r="B25" s="45">
        <v>20</v>
      </c>
      <c r="C25" s="20">
        <v>5</v>
      </c>
      <c r="D25" s="8"/>
      <c r="E25" s="46">
        <v>20</v>
      </c>
      <c r="F25" s="21">
        <v>23</v>
      </c>
      <c r="G25" s="8"/>
      <c r="H25" s="46">
        <v>20</v>
      </c>
      <c r="I25" s="14">
        <v>6</v>
      </c>
      <c r="J25" s="8"/>
      <c r="K25" s="46">
        <v>20</v>
      </c>
      <c r="L25" s="14">
        <v>2</v>
      </c>
      <c r="M25" s="8"/>
      <c r="N25" s="46">
        <v>20</v>
      </c>
      <c r="O25" s="14">
        <v>0.6</v>
      </c>
      <c r="P25" s="8"/>
      <c r="Q25" s="46">
        <v>20</v>
      </c>
      <c r="R25" s="14">
        <v>3</v>
      </c>
      <c r="S25" s="8"/>
      <c r="T25" s="46">
        <v>20</v>
      </c>
      <c r="U25" s="20">
        <v>19</v>
      </c>
      <c r="V25" s="8"/>
      <c r="W25" s="8"/>
      <c r="X25" s="8"/>
      <c r="Y25" s="8"/>
      <c r="Z25" s="46">
        <v>20</v>
      </c>
      <c r="AA25" s="16">
        <f t="shared" si="0"/>
        <v>5</v>
      </c>
      <c r="AB25" s="16">
        <f t="shared" si="1"/>
        <v>5</v>
      </c>
      <c r="AC25" s="16">
        <f t="shared" si="2"/>
        <v>4</v>
      </c>
      <c r="AD25" s="16">
        <f t="shared" si="3"/>
        <v>4</v>
      </c>
      <c r="AE25" s="16">
        <f t="shared" si="4"/>
        <v>4</v>
      </c>
      <c r="AF25" s="9"/>
      <c r="AH25" s="22">
        <v>20</v>
      </c>
      <c r="AI25" s="16"/>
      <c r="AJ25" s="16"/>
      <c r="AK25" s="16"/>
      <c r="AL25" s="16"/>
      <c r="AM25" s="16"/>
      <c r="AN25" s="8"/>
      <c r="AO25" s="23">
        <v>20</v>
      </c>
      <c r="AP25" s="16"/>
      <c r="AQ25" s="16"/>
      <c r="AR25" s="16"/>
      <c r="AS25" s="16"/>
      <c r="AT25" s="19"/>
    </row>
    <row r="26" spans="2:46" x14ac:dyDescent="0.3">
      <c r="B26" s="45">
        <v>21</v>
      </c>
      <c r="C26" s="20">
        <v>11</v>
      </c>
      <c r="D26" s="8"/>
      <c r="E26" s="46">
        <v>21</v>
      </c>
      <c r="F26" s="21">
        <v>19</v>
      </c>
      <c r="G26" s="8"/>
      <c r="H26" s="46">
        <v>21</v>
      </c>
      <c r="I26" s="14">
        <v>8</v>
      </c>
      <c r="J26" s="8"/>
      <c r="K26" s="46">
        <v>21</v>
      </c>
      <c r="L26" s="14">
        <v>6</v>
      </c>
      <c r="M26" s="8"/>
      <c r="N26" s="46">
        <v>21</v>
      </c>
      <c r="O26" s="14">
        <v>0.6</v>
      </c>
      <c r="P26" s="8"/>
      <c r="Q26" s="46">
        <v>21</v>
      </c>
      <c r="R26" s="14">
        <v>2</v>
      </c>
      <c r="S26" s="8"/>
      <c r="T26" s="46">
        <v>21</v>
      </c>
      <c r="U26" s="20">
        <v>24</v>
      </c>
      <c r="V26" s="8"/>
      <c r="W26" s="8"/>
      <c r="X26" s="8"/>
      <c r="Y26" s="8"/>
      <c r="Z26" s="46">
        <v>21</v>
      </c>
      <c r="AA26" s="16">
        <f t="shared" si="0"/>
        <v>4</v>
      </c>
      <c r="AB26" s="16">
        <f t="shared" si="1"/>
        <v>3</v>
      </c>
      <c r="AC26" s="16">
        <f t="shared" si="2"/>
        <v>3</v>
      </c>
      <c r="AD26" s="16">
        <f t="shared" si="3"/>
        <v>3</v>
      </c>
      <c r="AE26" s="16">
        <f t="shared" si="4"/>
        <v>3</v>
      </c>
      <c r="AF26" s="9"/>
      <c r="AH26" s="22">
        <v>21</v>
      </c>
      <c r="AI26" s="16"/>
      <c r="AJ26" s="16"/>
      <c r="AK26" s="16"/>
      <c r="AL26" s="16"/>
      <c r="AM26" s="16"/>
      <c r="AN26" s="8"/>
      <c r="AO26" s="23">
        <v>21</v>
      </c>
      <c r="AP26" s="16"/>
      <c r="AQ26" s="16"/>
      <c r="AR26" s="16"/>
      <c r="AS26" s="16"/>
      <c r="AT26" s="19"/>
    </row>
    <row r="27" spans="2:46" x14ac:dyDescent="0.3">
      <c r="B27" s="45">
        <v>22</v>
      </c>
      <c r="C27" s="20">
        <v>11</v>
      </c>
      <c r="D27" s="8"/>
      <c r="E27" s="46">
        <v>22</v>
      </c>
      <c r="F27" s="21">
        <v>19</v>
      </c>
      <c r="G27" s="8"/>
      <c r="H27" s="46">
        <v>22</v>
      </c>
      <c r="I27" s="14">
        <v>9</v>
      </c>
      <c r="J27" s="8"/>
      <c r="K27" s="46">
        <v>22</v>
      </c>
      <c r="L27" s="14">
        <v>6</v>
      </c>
      <c r="M27" s="8"/>
      <c r="N27" s="46">
        <v>22</v>
      </c>
      <c r="O27" s="14">
        <v>0.4</v>
      </c>
      <c r="P27" s="8"/>
      <c r="Q27" s="46">
        <v>22</v>
      </c>
      <c r="R27" s="14">
        <v>1</v>
      </c>
      <c r="S27" s="8"/>
      <c r="T27" s="46">
        <v>22</v>
      </c>
      <c r="U27" s="20">
        <v>16</v>
      </c>
      <c r="V27" s="8"/>
      <c r="W27" s="8"/>
      <c r="X27" s="8"/>
      <c r="Y27" s="8"/>
      <c r="Z27" s="46">
        <v>22</v>
      </c>
      <c r="AA27" s="16">
        <f t="shared" si="0"/>
        <v>3</v>
      </c>
      <c r="AB27" s="16">
        <f t="shared" si="1"/>
        <v>3</v>
      </c>
      <c r="AC27" s="16">
        <f t="shared" si="2"/>
        <v>2</v>
      </c>
      <c r="AD27" s="16">
        <f t="shared" si="3"/>
        <v>3</v>
      </c>
      <c r="AE27" s="16">
        <f t="shared" si="4"/>
        <v>3</v>
      </c>
      <c r="AF27" s="9"/>
      <c r="AH27" s="22">
        <v>22</v>
      </c>
      <c r="AI27" s="16"/>
      <c r="AJ27" s="16"/>
      <c r="AK27" s="16"/>
      <c r="AL27" s="16"/>
      <c r="AM27" s="16"/>
      <c r="AN27" s="8"/>
      <c r="AO27" s="23">
        <v>22</v>
      </c>
      <c r="AP27" s="16"/>
      <c r="AQ27" s="16"/>
      <c r="AR27" s="16"/>
      <c r="AS27" s="16"/>
      <c r="AT27" s="19"/>
    </row>
    <row r="28" spans="2:46" x14ac:dyDescent="0.3">
      <c r="B28" s="45">
        <v>23</v>
      </c>
      <c r="C28" s="20">
        <v>7</v>
      </c>
      <c r="D28" s="8"/>
      <c r="E28" s="46">
        <v>23</v>
      </c>
      <c r="F28" s="21">
        <v>16</v>
      </c>
      <c r="G28" s="8"/>
      <c r="H28" s="46">
        <v>23</v>
      </c>
      <c r="I28" s="14">
        <v>7</v>
      </c>
      <c r="J28" s="8"/>
      <c r="K28" s="46">
        <v>23</v>
      </c>
      <c r="L28" s="14">
        <v>8</v>
      </c>
      <c r="M28" s="8"/>
      <c r="N28" s="46">
        <v>23</v>
      </c>
      <c r="O28" s="14">
        <v>0.5</v>
      </c>
      <c r="P28" s="8"/>
      <c r="Q28" s="46">
        <v>23</v>
      </c>
      <c r="R28" s="14">
        <v>2</v>
      </c>
      <c r="S28" s="8"/>
      <c r="T28" s="46">
        <v>23</v>
      </c>
      <c r="U28" s="20">
        <v>13</v>
      </c>
      <c r="V28" s="8"/>
      <c r="W28" s="8"/>
      <c r="X28" s="8"/>
      <c r="Y28" s="8"/>
      <c r="Z28" s="46">
        <v>23</v>
      </c>
      <c r="AA28" s="16">
        <f t="shared" si="0"/>
        <v>4</v>
      </c>
      <c r="AB28" s="16">
        <f t="shared" si="1"/>
        <v>4</v>
      </c>
      <c r="AC28" s="16">
        <f t="shared" si="2"/>
        <v>3</v>
      </c>
      <c r="AD28" s="16">
        <f t="shared" si="3"/>
        <v>3</v>
      </c>
      <c r="AE28" s="16">
        <f t="shared" si="4"/>
        <v>4</v>
      </c>
      <c r="AF28" s="9"/>
      <c r="AH28" s="22">
        <v>23</v>
      </c>
      <c r="AI28" s="16"/>
      <c r="AJ28" s="16"/>
      <c r="AK28" s="16"/>
      <c r="AL28" s="16"/>
      <c r="AM28" s="16"/>
      <c r="AN28" s="8"/>
      <c r="AO28" s="23">
        <v>23</v>
      </c>
      <c r="AP28" s="16"/>
      <c r="AQ28" s="16"/>
      <c r="AR28" s="16"/>
      <c r="AS28" s="16"/>
      <c r="AT28" s="19"/>
    </row>
    <row r="29" spans="2:46" x14ac:dyDescent="0.3">
      <c r="B29" s="45">
        <v>24</v>
      </c>
      <c r="C29" s="20">
        <v>10</v>
      </c>
      <c r="D29" s="8"/>
      <c r="E29" s="46">
        <v>24</v>
      </c>
      <c r="F29" s="21">
        <v>14</v>
      </c>
      <c r="G29" s="8"/>
      <c r="H29" s="46">
        <v>24</v>
      </c>
      <c r="I29" s="14">
        <v>5</v>
      </c>
      <c r="J29" s="8"/>
      <c r="K29" s="46">
        <v>24</v>
      </c>
      <c r="L29" s="14">
        <v>2</v>
      </c>
      <c r="M29" s="8"/>
      <c r="N29" s="46">
        <v>24</v>
      </c>
      <c r="O29" s="14">
        <v>0.8</v>
      </c>
      <c r="P29" s="8"/>
      <c r="Q29" s="46">
        <v>24</v>
      </c>
      <c r="R29" s="14">
        <v>1</v>
      </c>
      <c r="S29" s="8"/>
      <c r="T29" s="46">
        <v>24</v>
      </c>
      <c r="U29" s="20">
        <v>16</v>
      </c>
      <c r="V29" s="8"/>
      <c r="W29" s="8"/>
      <c r="X29" s="8"/>
      <c r="Y29" s="8"/>
      <c r="Z29" s="46">
        <v>24</v>
      </c>
      <c r="AA29" s="16">
        <f t="shared" si="0"/>
        <v>6</v>
      </c>
      <c r="AB29" s="16">
        <f t="shared" si="1"/>
        <v>6</v>
      </c>
      <c r="AC29" s="16">
        <f t="shared" si="2"/>
        <v>5</v>
      </c>
      <c r="AD29" s="16">
        <f t="shared" si="3"/>
        <v>5</v>
      </c>
      <c r="AE29" s="16">
        <f t="shared" si="4"/>
        <v>5</v>
      </c>
      <c r="AF29" s="9"/>
      <c r="AH29" s="22">
        <v>24</v>
      </c>
      <c r="AI29" s="16"/>
      <c r="AJ29" s="16"/>
      <c r="AK29" s="16"/>
      <c r="AL29" s="16"/>
      <c r="AM29" s="16"/>
      <c r="AN29" s="8"/>
      <c r="AO29" s="23">
        <v>24</v>
      </c>
      <c r="AP29" s="16"/>
      <c r="AQ29" s="16"/>
      <c r="AR29" s="16"/>
      <c r="AS29" s="16"/>
      <c r="AT29" s="19"/>
    </row>
    <row r="30" spans="2:46" x14ac:dyDescent="0.3">
      <c r="B30" s="45">
        <v>25</v>
      </c>
      <c r="C30" s="20">
        <v>13</v>
      </c>
      <c r="D30" s="8"/>
      <c r="E30" s="46">
        <v>25</v>
      </c>
      <c r="F30" s="21">
        <v>16</v>
      </c>
      <c r="G30" s="8"/>
      <c r="H30" s="46">
        <v>25</v>
      </c>
      <c r="I30" s="14">
        <v>10</v>
      </c>
      <c r="J30" s="8"/>
      <c r="K30" s="46">
        <v>25</v>
      </c>
      <c r="L30" s="14">
        <v>4</v>
      </c>
      <c r="M30" s="8"/>
      <c r="N30" s="46">
        <v>25</v>
      </c>
      <c r="O30" s="14">
        <v>0.9</v>
      </c>
      <c r="P30" s="8"/>
      <c r="Q30" s="46">
        <v>25</v>
      </c>
      <c r="R30" s="14">
        <v>2</v>
      </c>
      <c r="S30" s="8"/>
      <c r="T30" s="46">
        <v>25</v>
      </c>
      <c r="U30" s="20">
        <v>14</v>
      </c>
      <c r="V30" s="8"/>
      <c r="W30" s="8"/>
      <c r="X30" s="8"/>
      <c r="Y30" s="8"/>
      <c r="Z30" s="46">
        <v>25</v>
      </c>
      <c r="AA30" s="16">
        <f t="shared" si="0"/>
        <v>3</v>
      </c>
      <c r="AB30" s="16">
        <f t="shared" si="1"/>
        <v>3</v>
      </c>
      <c r="AC30" s="16">
        <f t="shared" si="2"/>
        <v>2</v>
      </c>
      <c r="AD30" s="16">
        <f>$F$36/$I30-MOD($F$36/$I30,1)</f>
        <v>2</v>
      </c>
      <c r="AE30" s="16">
        <f t="shared" si="4"/>
        <v>2</v>
      </c>
      <c r="AF30" s="9"/>
      <c r="AH30" s="22">
        <v>25</v>
      </c>
      <c r="AI30" s="16"/>
      <c r="AJ30" s="16"/>
      <c r="AK30" s="16"/>
      <c r="AL30" s="16"/>
      <c r="AM30" s="16"/>
      <c r="AN30" s="8"/>
      <c r="AO30" s="23">
        <v>25</v>
      </c>
      <c r="AP30" s="16"/>
      <c r="AQ30" s="16"/>
      <c r="AR30" s="16"/>
      <c r="AS30" s="16"/>
      <c r="AT30" s="19"/>
    </row>
    <row r="31" spans="2:46" ht="16.2" thickBot="1" x14ac:dyDescent="0.35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25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7"/>
    </row>
    <row r="32" spans="2:46" x14ac:dyDescent="0.3">
      <c r="B32" s="7"/>
      <c r="C32" s="11" t="s">
        <v>23</v>
      </c>
      <c r="D32" s="11"/>
      <c r="E32" s="8"/>
      <c r="F32" s="11" t="s">
        <v>24</v>
      </c>
      <c r="G32" s="11"/>
      <c r="H32" s="8"/>
      <c r="I32" s="11" t="s">
        <v>25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</row>
    <row r="33" spans="2:32" x14ac:dyDescent="0.3">
      <c r="B33" s="45">
        <v>1</v>
      </c>
      <c r="C33" s="28">
        <v>50</v>
      </c>
      <c r="D33" s="11"/>
      <c r="E33" s="46">
        <v>1</v>
      </c>
      <c r="F33" s="28">
        <v>34</v>
      </c>
      <c r="G33" s="47"/>
      <c r="H33" s="46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</row>
    <row r="34" spans="2:32" x14ac:dyDescent="0.3">
      <c r="B34" s="45">
        <v>2</v>
      </c>
      <c r="C34" s="28">
        <v>65</v>
      </c>
      <c r="D34" s="11"/>
      <c r="E34" s="46">
        <v>2</v>
      </c>
      <c r="F34" s="28">
        <v>30</v>
      </c>
      <c r="G34" s="47"/>
      <c r="H34" s="46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9"/>
    </row>
    <row r="35" spans="2:32" x14ac:dyDescent="0.3">
      <c r="B35" s="45">
        <v>3</v>
      </c>
      <c r="C35" s="28">
        <v>80</v>
      </c>
      <c r="D35" s="11"/>
      <c r="E35" s="46">
        <v>3</v>
      </c>
      <c r="F35" s="8">
        <v>26</v>
      </c>
      <c r="G35" s="47"/>
      <c r="H35" s="46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9"/>
    </row>
    <row r="36" spans="2:32" x14ac:dyDescent="0.3">
      <c r="B36" s="45">
        <v>4</v>
      </c>
      <c r="C36" s="28">
        <v>95</v>
      </c>
      <c r="D36" s="11"/>
      <c r="E36" s="46">
        <v>4</v>
      </c>
      <c r="F36" s="8">
        <v>27</v>
      </c>
      <c r="G36" s="47"/>
      <c r="H36" s="46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32" x14ac:dyDescent="0.3">
      <c r="B37" s="45">
        <v>5</v>
      </c>
      <c r="C37" s="28">
        <v>110</v>
      </c>
      <c r="D37" s="11"/>
      <c r="E37" s="46">
        <v>5</v>
      </c>
      <c r="F37" s="8">
        <v>29</v>
      </c>
      <c r="G37" s="47"/>
      <c r="H37" s="46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32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32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32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32" x14ac:dyDescent="0.3">
      <c r="B41" s="10" t="s">
        <v>26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32" x14ac:dyDescent="0.3">
      <c r="B42" s="7" t="s"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32" x14ac:dyDescent="0.3">
      <c r="B43" s="7" t="s">
        <v>1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32" x14ac:dyDescent="0.3">
      <c r="B44" s="7" t="s">
        <v>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32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32" x14ac:dyDescent="0.3">
      <c r="B46" s="10" t="s">
        <v>27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32" x14ac:dyDescent="0.3">
      <c r="B47" s="7" t="s">
        <v>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32" x14ac:dyDescent="0.3">
      <c r="B48" s="7" t="s">
        <v>1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</row>
    <row r="49" spans="1:32" x14ac:dyDescent="0.3">
      <c r="B49" s="7" t="s">
        <v>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</row>
    <row r="50" spans="1:32" ht="16.2" thickBot="1" x14ac:dyDescent="0.35">
      <c r="B50" s="25" t="s">
        <v>2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</row>
    <row r="51" spans="1:32" ht="16.2" thickBot="1" x14ac:dyDescent="0.35"/>
    <row r="52" spans="1:32" x14ac:dyDescent="0.3">
      <c r="B52" s="2" t="s">
        <v>13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5"/>
      <c r="P52" s="2" t="s">
        <v>12</v>
      </c>
      <c r="Q52" s="3"/>
      <c r="R52" s="3"/>
      <c r="S52" s="3"/>
      <c r="T52" s="5"/>
    </row>
    <row r="53" spans="1:32" x14ac:dyDescent="0.3">
      <c r="B53" s="7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9"/>
      <c r="P53" s="7"/>
      <c r="Q53" s="8"/>
      <c r="R53" s="8"/>
      <c r="S53" s="8"/>
      <c r="T53" s="9"/>
    </row>
    <row r="54" spans="1:32" x14ac:dyDescent="0.3">
      <c r="B54" s="7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9"/>
      <c r="P54" s="7"/>
      <c r="Q54" s="8"/>
      <c r="R54" s="8"/>
      <c r="S54" s="8"/>
      <c r="T54" s="9"/>
    </row>
    <row r="55" spans="1:32" ht="16.2" thickBot="1" x14ac:dyDescent="0.35">
      <c r="B55" s="7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9"/>
      <c r="P55" s="25" t="e" cm="1">
        <f t="array" ref="P55">SUM(SUM(C6:C30*I33:I37*L6:L30*(AP6:AT30*F6:F30)^O6:O30))</f>
        <v>#N/A</v>
      </c>
      <c r="Q55" s="26"/>
      <c r="R55" s="26"/>
      <c r="S55" s="26"/>
      <c r="T55" s="27"/>
    </row>
    <row r="56" spans="1:32" ht="16.2" thickBot="1" x14ac:dyDescent="0.35">
      <c r="B56" s="7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9"/>
    </row>
    <row r="57" spans="1:32" x14ac:dyDescent="0.3">
      <c r="B57" s="7" t="s">
        <v>28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9"/>
      <c r="P57" s="6" t="s">
        <v>5</v>
      </c>
      <c r="Q57" s="4"/>
      <c r="R57" s="33"/>
    </row>
    <row r="58" spans="1:32" x14ac:dyDescent="0.3">
      <c r="B58" s="7">
        <f>SUM(AI$6:AI$30)</f>
        <v>0</v>
      </c>
      <c r="C58" s="1" t="s">
        <v>29</v>
      </c>
      <c r="D58" s="1">
        <v>1</v>
      </c>
      <c r="G58" s="8"/>
      <c r="H58" s="8"/>
      <c r="I58" s="8"/>
      <c r="J58" s="8"/>
      <c r="K58" s="8"/>
      <c r="L58" s="8"/>
      <c r="M58" s="8"/>
      <c r="N58" s="9"/>
      <c r="P58" s="10" t="s">
        <v>7</v>
      </c>
      <c r="Q58" s="11"/>
      <c r="R58" s="34"/>
    </row>
    <row r="59" spans="1:32" ht="16.2" thickBot="1" x14ac:dyDescent="0.35">
      <c r="B59" s="7">
        <f>SUM(AJ$6:AJ$30)</f>
        <v>0</v>
      </c>
      <c r="C59" s="8" t="s">
        <v>29</v>
      </c>
      <c r="D59" s="8">
        <v>1</v>
      </c>
      <c r="E59" s="8"/>
      <c r="F59" s="8"/>
      <c r="G59" s="8"/>
      <c r="H59" s="8"/>
      <c r="I59" s="8"/>
      <c r="J59" s="8"/>
      <c r="K59" s="8"/>
      <c r="L59" s="8"/>
      <c r="M59" s="8"/>
      <c r="N59" s="9"/>
      <c r="P59" s="35" t="s">
        <v>6</v>
      </c>
      <c r="Q59" s="36"/>
      <c r="R59" s="37"/>
    </row>
    <row r="60" spans="1:32" x14ac:dyDescent="0.3">
      <c r="A60" s="8"/>
      <c r="B60" s="7">
        <f>SUM(AK$6:AK$30)</f>
        <v>0</v>
      </c>
      <c r="C60" s="8" t="s">
        <v>29</v>
      </c>
      <c r="D60" s="8">
        <v>1</v>
      </c>
      <c r="E60" s="8"/>
      <c r="F60" s="8"/>
      <c r="G60" s="8"/>
      <c r="H60" s="8"/>
      <c r="I60" s="8"/>
      <c r="J60" s="8"/>
      <c r="K60" s="8"/>
      <c r="L60" s="8"/>
      <c r="M60" s="8"/>
      <c r="N60" s="9"/>
    </row>
    <row r="61" spans="1:32" x14ac:dyDescent="0.3">
      <c r="A61" s="8"/>
      <c r="B61" s="7">
        <f>SUM(AL$6:AL$30)</f>
        <v>0</v>
      </c>
      <c r="C61" s="8" t="s">
        <v>29</v>
      </c>
      <c r="D61" s="8">
        <v>1</v>
      </c>
      <c r="E61" s="8"/>
      <c r="F61" s="8"/>
      <c r="G61" s="8"/>
      <c r="H61" s="8"/>
      <c r="I61" s="8"/>
      <c r="J61" s="8"/>
      <c r="K61" s="8"/>
      <c r="L61" s="8"/>
      <c r="M61" s="8"/>
      <c r="N61" s="9"/>
    </row>
    <row r="62" spans="1:32" x14ac:dyDescent="0.3">
      <c r="A62" s="8"/>
      <c r="B62" s="7">
        <f>SUM(AM$6:AM$30)</f>
        <v>0</v>
      </c>
      <c r="C62" s="11" t="s">
        <v>29</v>
      </c>
      <c r="D62" s="11">
        <v>1</v>
      </c>
      <c r="E62" s="11"/>
      <c r="F62" s="11"/>
      <c r="G62" s="11"/>
      <c r="H62" s="8"/>
      <c r="I62" s="8"/>
      <c r="J62" s="8"/>
      <c r="K62" s="8"/>
      <c r="L62" s="8"/>
      <c r="M62" s="8"/>
      <c r="N62" s="9"/>
    </row>
    <row r="63" spans="1:32" x14ac:dyDescent="0.3">
      <c r="A63" s="8"/>
      <c r="B63" s="10"/>
      <c r="C63" s="11"/>
      <c r="D63" s="11"/>
      <c r="E63" s="11"/>
      <c r="F63" s="11"/>
      <c r="G63" s="11"/>
      <c r="H63" s="8"/>
      <c r="I63" s="8"/>
      <c r="J63" s="8"/>
      <c r="K63" s="8"/>
      <c r="L63" s="8"/>
      <c r="M63" s="8"/>
      <c r="N63" s="9"/>
    </row>
    <row r="64" spans="1:32" x14ac:dyDescent="0.3">
      <c r="A64" s="8"/>
      <c r="B64" s="10" t="s">
        <v>30</v>
      </c>
      <c r="C64" s="11"/>
      <c r="D64" s="11"/>
      <c r="E64" s="11"/>
      <c r="F64" s="11"/>
      <c r="G64" s="11"/>
      <c r="H64" s="8"/>
      <c r="I64" s="8"/>
      <c r="J64" s="8"/>
      <c r="K64" s="8"/>
      <c r="L64" s="8"/>
      <c r="M64" s="8"/>
      <c r="N64" s="9"/>
    </row>
    <row r="65" spans="1:14" x14ac:dyDescent="0.3">
      <c r="A65" s="8"/>
      <c r="B65" s="10" t="s">
        <v>31</v>
      </c>
      <c r="C65" s="11"/>
      <c r="D65" s="11"/>
      <c r="E65" s="11"/>
      <c r="F65" s="11"/>
      <c r="G65" s="11"/>
      <c r="H65" s="8"/>
      <c r="I65" s="8"/>
      <c r="J65" s="8"/>
      <c r="K65" s="8"/>
      <c r="L65" s="8"/>
      <c r="M65" s="8"/>
      <c r="N65" s="9"/>
    </row>
    <row r="66" spans="1:14" x14ac:dyDescent="0.3">
      <c r="A66" s="8"/>
      <c r="B66" s="10"/>
      <c r="C66" s="11"/>
      <c r="D66" s="11"/>
      <c r="E66" s="11"/>
      <c r="F66" s="11"/>
      <c r="G66" s="11"/>
      <c r="H66" s="8"/>
      <c r="I66" s="8"/>
      <c r="J66" s="8"/>
      <c r="K66" s="8"/>
      <c r="L66" s="8"/>
      <c r="M66" s="8"/>
      <c r="N66" s="9"/>
    </row>
    <row r="67" spans="1:14" x14ac:dyDescent="0.3">
      <c r="A67" s="8"/>
      <c r="B67" s="10"/>
      <c r="C67" s="11"/>
      <c r="D67" s="11"/>
      <c r="E67" s="11"/>
      <c r="F67" s="11"/>
      <c r="G67" s="11"/>
      <c r="H67" s="8"/>
      <c r="I67" s="8"/>
      <c r="J67" s="8"/>
      <c r="K67" s="8"/>
      <c r="L67" s="8"/>
      <c r="M67" s="8"/>
      <c r="N67" s="9"/>
    </row>
    <row r="68" spans="1:14" x14ac:dyDescent="0.3">
      <c r="A68" s="8"/>
      <c r="B68" s="10"/>
      <c r="C68" s="11"/>
      <c r="D68" s="11"/>
      <c r="E68" s="11"/>
      <c r="F68" s="11"/>
      <c r="G68" s="11"/>
      <c r="H68" s="8"/>
      <c r="I68" s="8"/>
      <c r="J68" s="8"/>
      <c r="K68" s="8"/>
      <c r="L68" s="8"/>
      <c r="M68" s="8"/>
      <c r="N68" s="9"/>
    </row>
    <row r="69" spans="1:14" x14ac:dyDescent="0.3">
      <c r="A69" s="8"/>
      <c r="B69" s="10" t="s">
        <v>32</v>
      </c>
      <c r="C69" s="11"/>
      <c r="D69" s="11"/>
      <c r="E69" s="11"/>
      <c r="F69" s="11"/>
      <c r="G69" s="11"/>
      <c r="H69" s="8"/>
      <c r="I69" s="8"/>
      <c r="J69" s="8"/>
      <c r="K69" s="8"/>
      <c r="L69" s="8"/>
      <c r="M69" s="8"/>
      <c r="N69" s="9"/>
    </row>
    <row r="70" spans="1:14" x14ac:dyDescent="0.3">
      <c r="A70" s="8"/>
      <c r="B70" s="10" t="s">
        <v>31</v>
      </c>
      <c r="C70" s="11"/>
      <c r="D70" s="11"/>
      <c r="E70" s="11"/>
      <c r="F70" s="11"/>
      <c r="G70" s="11"/>
      <c r="H70" s="8"/>
      <c r="I70" s="8"/>
      <c r="J70" s="8"/>
      <c r="K70" s="8"/>
      <c r="L70" s="8"/>
      <c r="M70" s="8"/>
      <c r="N70" s="9"/>
    </row>
    <row r="71" spans="1:14" x14ac:dyDescent="0.3">
      <c r="A71" s="8"/>
      <c r="B71" s="7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9"/>
    </row>
    <row r="72" spans="1:14" x14ac:dyDescent="0.3">
      <c r="A72" s="8"/>
      <c r="B72" s="7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9"/>
    </row>
    <row r="73" spans="1:14" x14ac:dyDescent="0.3">
      <c r="A73" s="8"/>
      <c r="B73" s="7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9"/>
    </row>
    <row r="74" spans="1:14" x14ac:dyDescent="0.3">
      <c r="A74" s="8"/>
      <c r="B74" s="7" t="s">
        <v>33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9"/>
    </row>
    <row r="75" spans="1:14" x14ac:dyDescent="0.3">
      <c r="B75" s="7" t="s">
        <v>31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9"/>
    </row>
    <row r="76" spans="1:14" x14ac:dyDescent="0.3">
      <c r="B76" s="7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9"/>
    </row>
    <row r="77" spans="1:14" x14ac:dyDescent="0.3">
      <c r="B77" s="7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9"/>
    </row>
    <row r="78" spans="1:14" x14ac:dyDescent="0.3">
      <c r="B78" s="7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9"/>
    </row>
    <row r="79" spans="1:14" x14ac:dyDescent="0.3">
      <c r="B79" s="7" t="s">
        <v>34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9"/>
    </row>
    <row r="80" spans="1:14" x14ac:dyDescent="0.3">
      <c r="B80" s="7" t="s">
        <v>31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9"/>
    </row>
    <row r="81" spans="1:14" x14ac:dyDescent="0.3">
      <c r="B81" s="7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9"/>
    </row>
    <row r="82" spans="1:14" x14ac:dyDescent="0.3">
      <c r="B82" s="7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9"/>
    </row>
    <row r="83" spans="1:14" x14ac:dyDescent="0.3">
      <c r="B83" s="7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9"/>
    </row>
    <row r="84" spans="1:14" x14ac:dyDescent="0.3">
      <c r="B84" s="7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9"/>
    </row>
    <row r="85" spans="1:14" x14ac:dyDescent="0.3">
      <c r="A85" s="8"/>
      <c r="B85" s="7" t="s">
        <v>35</v>
      </c>
      <c r="C85" s="8"/>
      <c r="D85" s="8"/>
      <c r="E85" s="11"/>
      <c r="F85" s="11"/>
      <c r="G85" s="11"/>
      <c r="H85" s="11"/>
      <c r="I85" s="11"/>
      <c r="J85" s="11"/>
      <c r="K85" s="8"/>
      <c r="L85" s="8"/>
      <c r="M85" s="8"/>
      <c r="N85" s="9"/>
    </row>
    <row r="86" spans="1:14" ht="16.2" thickBot="1" x14ac:dyDescent="0.35">
      <c r="A86" s="8"/>
      <c r="B86" s="25" t="s">
        <v>31</v>
      </c>
      <c r="C86" s="26"/>
      <c r="D86" s="26"/>
      <c r="E86" s="36"/>
      <c r="F86" s="36"/>
      <c r="G86" s="36"/>
      <c r="H86" s="36"/>
      <c r="I86" s="36"/>
      <c r="J86" s="36"/>
      <c r="K86" s="26"/>
      <c r="L86" s="26"/>
      <c r="M86" s="26"/>
      <c r="N86" s="27"/>
    </row>
    <row r="87" spans="1:14" x14ac:dyDescent="0.3">
      <c r="A87" s="14"/>
      <c r="B87" s="38"/>
      <c r="C87" s="39"/>
      <c r="D87" s="15"/>
      <c r="E87" s="15"/>
      <c r="F87" s="15"/>
      <c r="G87" s="15"/>
      <c r="H87" s="38"/>
      <c r="I87" s="8"/>
      <c r="J87" s="15"/>
      <c r="K87" s="15"/>
      <c r="L87" s="15"/>
      <c r="M87" s="15"/>
      <c r="N87" s="15"/>
    </row>
    <row r="88" spans="1:14" x14ac:dyDescent="0.3">
      <c r="A88" s="48"/>
      <c r="B88" s="20"/>
      <c r="C88" s="21"/>
      <c r="D88" s="14"/>
      <c r="E88" s="14"/>
      <c r="F88" s="14"/>
      <c r="G88" s="14"/>
      <c r="H88" s="20"/>
      <c r="I88" s="8"/>
      <c r="J88" s="8"/>
      <c r="K88" s="8"/>
      <c r="L88" s="8"/>
      <c r="M88" s="8"/>
      <c r="N88" s="8"/>
    </row>
    <row r="89" spans="1:14" x14ac:dyDescent="0.3">
      <c r="A89" s="48"/>
      <c r="B89" s="20"/>
      <c r="C89" s="24"/>
      <c r="D89" s="14"/>
      <c r="E89" s="14"/>
      <c r="F89" s="14"/>
      <c r="G89" s="14"/>
      <c r="H89" s="20"/>
      <c r="I89" s="8"/>
      <c r="J89" s="8"/>
      <c r="K89" s="8"/>
      <c r="L89" s="8"/>
      <c r="M89" s="8"/>
      <c r="N89" s="8"/>
    </row>
    <row r="90" spans="1:14" x14ac:dyDescent="0.3">
      <c r="A90" s="48"/>
      <c r="B90" s="20"/>
      <c r="C90" s="24"/>
      <c r="D90" s="14"/>
      <c r="E90" s="14"/>
      <c r="F90" s="14"/>
      <c r="G90" s="14"/>
      <c r="H90" s="20"/>
      <c r="I90" s="8"/>
      <c r="J90" s="8"/>
      <c r="K90" s="8"/>
      <c r="L90" s="8"/>
      <c r="M90" s="8"/>
      <c r="N90" s="8"/>
    </row>
    <row r="91" spans="1:14" x14ac:dyDescent="0.3">
      <c r="A91" s="48"/>
      <c r="B91" s="20"/>
      <c r="C91" s="24"/>
      <c r="D91" s="14"/>
      <c r="E91" s="14"/>
      <c r="F91" s="14"/>
      <c r="G91" s="14"/>
      <c r="H91" s="20"/>
      <c r="I91" s="8"/>
      <c r="J91" s="8"/>
      <c r="K91" s="8"/>
      <c r="L91" s="8"/>
      <c r="M91" s="8"/>
      <c r="N91" s="8"/>
    </row>
    <row r="92" spans="1:14" x14ac:dyDescent="0.3">
      <c r="A92" s="48"/>
      <c r="B92" s="20"/>
      <c r="C92" s="24"/>
      <c r="D92" s="14"/>
      <c r="E92" s="14"/>
      <c r="F92" s="14"/>
      <c r="G92" s="14"/>
      <c r="H92" s="20"/>
      <c r="I92" s="8"/>
      <c r="J92" s="8"/>
      <c r="K92" s="8"/>
      <c r="L92" s="8"/>
      <c r="M92" s="8"/>
      <c r="N92" s="8"/>
    </row>
    <row r="93" spans="1:14" x14ac:dyDescent="0.3">
      <c r="A93" s="48"/>
      <c r="B93" s="20"/>
      <c r="C93" s="24"/>
      <c r="D93" s="14"/>
      <c r="E93" s="14"/>
      <c r="F93" s="14"/>
      <c r="G93" s="14"/>
      <c r="H93" s="20"/>
      <c r="I93" s="8"/>
      <c r="J93" s="8"/>
      <c r="K93" s="8"/>
      <c r="L93" s="8"/>
      <c r="M93" s="8"/>
      <c r="N93" s="8"/>
    </row>
    <row r="94" spans="1:14" x14ac:dyDescent="0.3">
      <c r="A94" s="48"/>
      <c r="B94" s="20"/>
      <c r="C94" s="24"/>
      <c r="D94" s="14"/>
      <c r="E94" s="14"/>
      <c r="F94" s="14"/>
      <c r="G94" s="14"/>
      <c r="H94" s="20"/>
      <c r="I94" s="8"/>
      <c r="J94" s="8"/>
      <c r="K94" s="8"/>
      <c r="L94" s="8"/>
      <c r="M94" s="8"/>
      <c r="N94" s="8"/>
    </row>
    <row r="95" spans="1:14" x14ac:dyDescent="0.3">
      <c r="A95" s="48"/>
      <c r="B95" s="20"/>
      <c r="C95" s="24"/>
      <c r="D95" s="14"/>
      <c r="E95" s="14"/>
      <c r="F95" s="14"/>
      <c r="G95" s="14"/>
      <c r="H95" s="20"/>
      <c r="I95" s="8"/>
      <c r="J95" s="8"/>
      <c r="K95" s="8"/>
      <c r="L95" s="8"/>
      <c r="M95" s="8"/>
      <c r="N95" s="8"/>
    </row>
    <row r="96" spans="1:14" x14ac:dyDescent="0.3">
      <c r="A96" s="48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</row>
    <row r="97" spans="1:14" x14ac:dyDescent="0.3">
      <c r="A97" s="48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</row>
    <row r="98" spans="1:14" x14ac:dyDescent="0.3">
      <c r="A98" s="48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</row>
    <row r="99" spans="1:14" x14ac:dyDescent="0.3">
      <c r="A99" s="48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</row>
    <row r="100" spans="1:14" x14ac:dyDescent="0.3">
      <c r="A100" s="48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</row>
    <row r="101" spans="1:14" x14ac:dyDescent="0.3">
      <c r="A101" s="48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</row>
    <row r="102" spans="1:14" x14ac:dyDescent="0.3">
      <c r="A102" s="48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</row>
    <row r="103" spans="1:14" x14ac:dyDescent="0.3">
      <c r="A103" s="48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</row>
    <row r="104" spans="1:14" x14ac:dyDescent="0.3">
      <c r="A104" s="48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</row>
    <row r="105" spans="1:14" x14ac:dyDescent="0.3">
      <c r="A105" s="48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</row>
    <row r="106" spans="1:14" x14ac:dyDescent="0.3">
      <c r="A106" s="48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</row>
    <row r="107" spans="1:14" x14ac:dyDescent="0.3">
      <c r="A107" s="48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</row>
    <row r="108" spans="1:14" x14ac:dyDescent="0.3">
      <c r="A108" s="48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</row>
    <row r="109" spans="1:14" x14ac:dyDescent="0.3">
      <c r="A109" s="48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</row>
    <row r="110" spans="1:14" x14ac:dyDescent="0.3">
      <c r="A110" s="48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14" x14ac:dyDescent="0.3">
      <c r="A111" s="48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14" x14ac:dyDescent="0.3">
      <c r="A112" s="48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41"/>
      <c r="B115" s="8"/>
      <c r="C115" s="8"/>
      <c r="D115" s="40"/>
      <c r="E115" s="8"/>
      <c r="F115" s="41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40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ersel hengrmen</cp:lastModifiedBy>
  <dcterms:created xsi:type="dcterms:W3CDTF">2021-01-09T17:11:28Z</dcterms:created>
  <dcterms:modified xsi:type="dcterms:W3CDTF">2021-01-09T21:58:05Z</dcterms:modified>
</cp:coreProperties>
</file>