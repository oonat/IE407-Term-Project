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heng\OneDrive\Documents\GitHub\IE407-Term-Project\"/>
    </mc:Choice>
  </mc:AlternateContent>
  <xr:revisionPtr revIDLastSave="0" documentId="13_ncr:1_{0E842EE5-DFC0-4805-A94F-FBD7CDA77033}" xr6:coauthVersionLast="46" xr6:coauthVersionMax="46" xr10:uidLastSave="{00000000-0000-0000-0000-000000000000}"/>
  <bookViews>
    <workbookView xWindow="-108" yWindow="-108" windowWidth="23256" windowHeight="12576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Sayfa1!$AI$6:$AM$30,Sayfa1!$AP$6:$AT$30,Sayfa1!$AW$6:$BA$30,Sayfa1!$BD$6:$BH$30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Sayfa1!$BD$6:$BH$30</definedName>
    <definedName name="solver_lhs11" localSheetId="1" hidden="1">Sayfa1!$W$72:$W$76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Sayfa1!$R$63:$R$67</definedName>
    <definedName name="solver_lhs5" localSheetId="1" hidden="1">Sayfa1!$W$63:$W$66</definedName>
    <definedName name="solver_lhs6" localSheetId="1" hidden="1">Sayfa1!$AB$63:$AF$65</definedName>
    <definedName name="solver_lhs7" localSheetId="1" hidden="1">Sayfa1!$AI$6:$AM$30</definedName>
    <definedName name="solver_lhs8" localSheetId="1" hidden="1">Sayfa1!$AP$6:$AT$30</definedName>
    <definedName name="solver_lhs9" localSheetId="1" hidden="1">Sayfa1!$AW$6:$BA$30</definedName>
    <definedName name="solver_neg" localSheetId="1" hidden="1">1</definedName>
    <definedName name="solver_num" localSheetId="1" hidden="1">11</definedName>
    <definedName name="solver_nwt" localSheetId="1" hidden="1">1</definedName>
    <definedName name="solver_opt" localSheetId="1" hidden="1">Sayfa1!$B$55</definedName>
    <definedName name="solver_pre" localSheetId="1" hidden="1">0.000001</definedName>
    <definedName name="solver_rel1" localSheetId="1" hidden="1">1</definedName>
    <definedName name="solver_rel10" localSheetId="1" hidden="1">5</definedName>
    <definedName name="solver_rel11" localSheetId="1" hidden="1">2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11" localSheetId="1" hidden="1">Sayfa1!$Y$72:$Y$76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Sayfa1!$T$63:$T$67</definedName>
    <definedName name="solver_rhs5" localSheetId="1" hidden="1">Sayfa1!$Y$63:$Y$66</definedName>
    <definedName name="solver_rhs6" localSheetId="1" hidden="1">Sayfa1!$AH$63:$AL$65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7" i="1" l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U29" i="1"/>
  <c r="BV29" i="1"/>
  <c r="BR30" i="1"/>
  <c r="BS30" i="1"/>
  <c r="BT30" i="1"/>
  <c r="BU30" i="1"/>
  <c r="BV30" i="1"/>
  <c r="BS6" i="1"/>
  <c r="BT6" i="1"/>
  <c r="BU6" i="1"/>
  <c r="BV6" i="1"/>
  <c r="BR6" i="1"/>
  <c r="BY7" i="1"/>
  <c r="BZ7" i="1"/>
  <c r="CA7" i="1"/>
  <c r="CB7" i="1"/>
  <c r="CC7" i="1"/>
  <c r="BY8" i="1"/>
  <c r="BZ8" i="1"/>
  <c r="CA8" i="1"/>
  <c r="CB8" i="1"/>
  <c r="CC8" i="1"/>
  <c r="BY9" i="1"/>
  <c r="BZ9" i="1"/>
  <c r="CA9" i="1"/>
  <c r="CB9" i="1"/>
  <c r="CC9" i="1"/>
  <c r="BY10" i="1"/>
  <c r="BZ10" i="1"/>
  <c r="CA10" i="1"/>
  <c r="CB10" i="1"/>
  <c r="CC10" i="1"/>
  <c r="BY11" i="1"/>
  <c r="BZ11" i="1"/>
  <c r="CA11" i="1"/>
  <c r="CB11" i="1"/>
  <c r="CC11" i="1"/>
  <c r="BY12" i="1"/>
  <c r="BZ12" i="1"/>
  <c r="CA12" i="1"/>
  <c r="CB12" i="1"/>
  <c r="CC12" i="1"/>
  <c r="BY13" i="1"/>
  <c r="BZ13" i="1"/>
  <c r="CA13" i="1"/>
  <c r="CB13" i="1"/>
  <c r="CC13" i="1"/>
  <c r="BY14" i="1"/>
  <c r="BZ14" i="1"/>
  <c r="CA14" i="1"/>
  <c r="CB14" i="1"/>
  <c r="CC14" i="1"/>
  <c r="BY15" i="1"/>
  <c r="BZ15" i="1"/>
  <c r="CA15" i="1"/>
  <c r="CB15" i="1"/>
  <c r="CC15" i="1"/>
  <c r="BY16" i="1"/>
  <c r="BZ16" i="1"/>
  <c r="CA16" i="1"/>
  <c r="CB16" i="1"/>
  <c r="CC16" i="1"/>
  <c r="BY17" i="1"/>
  <c r="BZ17" i="1"/>
  <c r="CA17" i="1"/>
  <c r="CB17" i="1"/>
  <c r="CC17" i="1"/>
  <c r="BY18" i="1"/>
  <c r="BZ18" i="1"/>
  <c r="CA18" i="1"/>
  <c r="CB18" i="1"/>
  <c r="CC18" i="1"/>
  <c r="BY19" i="1"/>
  <c r="BZ19" i="1"/>
  <c r="CA19" i="1"/>
  <c r="CB19" i="1"/>
  <c r="CC19" i="1"/>
  <c r="BY20" i="1"/>
  <c r="BZ20" i="1"/>
  <c r="CA20" i="1"/>
  <c r="CB20" i="1"/>
  <c r="CC20" i="1"/>
  <c r="BY21" i="1"/>
  <c r="BZ21" i="1"/>
  <c r="CA21" i="1"/>
  <c r="CB21" i="1"/>
  <c r="CC21" i="1"/>
  <c r="BY22" i="1"/>
  <c r="BZ22" i="1"/>
  <c r="CA22" i="1"/>
  <c r="CB22" i="1"/>
  <c r="CC22" i="1"/>
  <c r="BY23" i="1"/>
  <c r="BZ23" i="1"/>
  <c r="CA23" i="1"/>
  <c r="CB23" i="1"/>
  <c r="CC23" i="1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Z6" i="1"/>
  <c r="CA6" i="1"/>
  <c r="CB6" i="1"/>
  <c r="CC6" i="1"/>
  <c r="BY6" i="1"/>
  <c r="BK6" i="1"/>
  <c r="C63" i="1"/>
  <c r="BR35" i="1"/>
  <c r="BK35" i="1"/>
  <c r="BK7" i="1"/>
  <c r="BL7" i="1"/>
  <c r="BM7" i="1"/>
  <c r="BN7" i="1"/>
  <c r="BO7" i="1"/>
  <c r="BK8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O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W72" i="1" a="1"/>
  <c r="R63" i="1" a="1"/>
  <c r="AD63" i="1" a="1"/>
  <c r="AF65" i="1" a="1"/>
  <c r="W64" i="1"/>
  <c r="W65" i="1"/>
  <c r="W75" i="1" a="1"/>
  <c r="W74" i="1" a="1"/>
  <c r="W73" i="1" a="1"/>
  <c r="R65" i="1" a="1"/>
  <c r="AE65" i="1" a="1"/>
  <c r="AF63" i="1" a="1"/>
  <c r="R66" i="1" a="1"/>
  <c r="AC65" i="1" a="1"/>
  <c r="R64" i="1" a="1"/>
  <c r="AB65" i="1" a="1"/>
  <c r="R67" i="1" a="1"/>
  <c r="AE63" i="1" a="1"/>
  <c r="AB63" i="1" a="1"/>
  <c r="W63" i="1"/>
  <c r="W76" i="1" a="1"/>
  <c r="W66" i="1"/>
  <c r="AC63" i="1" a="1"/>
  <c r="AD65" i="1" a="1"/>
  <c r="W76" i="1" l="1"/>
  <c r="W75" i="1"/>
  <c r="W74" i="1"/>
  <c r="W73" i="1"/>
  <c r="W72" i="1"/>
  <c r="AB63" i="1"/>
  <c r="B55" i="1" a="1"/>
  <c r="B55" i="1" s="1"/>
  <c r="M82" i="1" a="1"/>
  <c r="M82" i="1" s="1"/>
  <c r="H77" i="1" a="1"/>
  <c r="H77" i="1" s="1"/>
  <c r="H76" i="1" a="1"/>
  <c r="H76" i="1" s="1"/>
  <c r="H68" i="1" a="1"/>
  <c r="H68" i="1" s="1"/>
  <c r="M63" i="1" a="1"/>
  <c r="M63" i="1" s="1"/>
  <c r="H74" i="1" a="1"/>
  <c r="H74" i="1" s="1"/>
  <c r="M66" i="1" a="1"/>
  <c r="M66" i="1" s="1"/>
  <c r="H86" i="1" a="1"/>
  <c r="H86" i="1" s="1"/>
  <c r="H78" i="1" a="1"/>
  <c r="H78" i="1" s="1"/>
  <c r="M73" i="1" a="1"/>
  <c r="M73" i="1" s="1"/>
  <c r="M70" i="1" a="1"/>
  <c r="M70" i="1" s="1"/>
  <c r="H82" i="1" a="1"/>
  <c r="H82" i="1" s="1"/>
  <c r="H81" i="1" a="1"/>
  <c r="H81" i="1" s="1"/>
  <c r="H73" i="1" a="1"/>
  <c r="H73" i="1" s="1"/>
  <c r="H65" i="1" a="1"/>
  <c r="H65" i="1" s="1"/>
  <c r="M72" i="1" a="1"/>
  <c r="M72" i="1" s="1"/>
  <c r="H84" i="1" a="1"/>
  <c r="H84" i="1" s="1"/>
  <c r="M76" i="1" a="1"/>
  <c r="M76" i="1" s="1"/>
  <c r="H63" i="1" a="1"/>
  <c r="H63" i="1" s="1"/>
  <c r="H79" i="1" a="1"/>
  <c r="H79" i="1" s="1"/>
  <c r="H71" i="1" a="1"/>
  <c r="H71" i="1" s="1"/>
  <c r="M86" i="1" a="1"/>
  <c r="M86" i="1" s="1"/>
  <c r="M87" i="1" a="1"/>
  <c r="M87" i="1" s="1"/>
  <c r="M74" i="1" a="1"/>
  <c r="M74" i="1" s="1"/>
  <c r="H66" i="1" a="1"/>
  <c r="H66" i="1" s="1"/>
  <c r="H85" i="1" a="1"/>
  <c r="H85" i="1" s="1"/>
  <c r="M77" i="1" a="1"/>
  <c r="M77" i="1" s="1"/>
  <c r="M69" i="1" a="1"/>
  <c r="M69" i="1" s="1"/>
  <c r="H80" i="1" a="1"/>
  <c r="H80" i="1" s="1"/>
  <c r="M75" i="1" a="1"/>
  <c r="M75" i="1" s="1"/>
  <c r="H72" i="1" a="1"/>
  <c r="H72" i="1" s="1"/>
  <c r="H70" i="1" a="1"/>
  <c r="H70" i="1" s="1"/>
  <c r="M67" i="1" a="1"/>
  <c r="M67" i="1" s="1"/>
  <c r="H64" i="1" a="1"/>
  <c r="H64" i="1" s="1"/>
  <c r="M83" i="1" a="1"/>
  <c r="M83" i="1" s="1"/>
  <c r="H67" i="1" a="1"/>
  <c r="H67" i="1" s="1"/>
  <c r="M68" i="1" a="1"/>
  <c r="M68" i="1" s="1"/>
  <c r="H83" i="1" a="1"/>
  <c r="H83" i="1" s="1"/>
  <c r="H69" i="1" a="1"/>
  <c r="H69" i="1" s="1"/>
  <c r="M81" i="1" a="1"/>
  <c r="M81" i="1" s="1"/>
  <c r="H75" i="1" a="1"/>
  <c r="H75" i="1" s="1"/>
  <c r="M80" i="1" a="1"/>
  <c r="M80" i="1" s="1"/>
  <c r="M85" i="1" a="1"/>
  <c r="M85" i="1" s="1"/>
  <c r="M79" i="1" a="1"/>
  <c r="M79" i="1" s="1"/>
  <c r="M65" i="1" a="1"/>
  <c r="M65" i="1" s="1"/>
  <c r="M84" i="1" a="1"/>
  <c r="M84" i="1" s="1"/>
  <c r="M71" i="1" a="1"/>
  <c r="M71" i="1" s="1"/>
  <c r="M64" i="1" a="1"/>
  <c r="M64" i="1" s="1"/>
  <c r="M78" i="1" a="1"/>
  <c r="M78" i="1" s="1"/>
  <c r="H87" i="1" a="1"/>
  <c r="H87" i="1" s="1"/>
  <c r="AC65" i="1"/>
  <c r="AF65" i="1"/>
  <c r="AB65" i="1"/>
  <c r="AD65" i="1"/>
  <c r="AE65" i="1"/>
  <c r="AF63" i="1"/>
  <c r="AE63" i="1"/>
  <c r="AD63" i="1"/>
  <c r="AC63" i="1"/>
  <c r="R65" i="1"/>
  <c r="R67" i="1"/>
  <c r="R66" i="1"/>
  <c r="R64" i="1"/>
  <c r="R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AH51" i="1"/>
  <c r="AH50" i="1"/>
  <c r="AH53" i="1"/>
  <c r="AH52" i="1"/>
  <c r="AH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<sst xmlns="http://schemas.openxmlformats.org/spreadsheetml/2006/main" count="1868" uniqueCount="1167">
  <si>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</si>
  <si>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</si>
  <si>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</si>
  <si>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</si>
  <si>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</si>
  <si>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</si>
  <si>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</si>
  <si>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</si>
  <si>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</si>
  <si>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</si>
  <si>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</si>
  <si>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</si>
  <si>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</si>
  <si>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</si>
  <si>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</si>
  <si>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</si>
  <si>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</si>
  <si>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</si>
  <si>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</si>
  <si>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</si>
  <si>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</si>
  <si>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</si>
  <si>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</si>
  <si>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</si>
  <si>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</si>
  <si>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</si>
  <si>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</si>
  <si>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</si>
  <si>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</si>
  <si>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</si>
  <si>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</si>
  <si>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</si>
  <si>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</si>
  <si>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</si>
  <si>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</si>
  <si>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</si>
  <si>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</si>
  <si>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</si>
  <si>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</si>
  <si>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</si>
  <si>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</si>
  <si>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</si>
  <si>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</si>
  <si>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</si>
  <si>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</si>
  <si>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</si>
  <si>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</si>
  <si>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</si>
  <si>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</si>
  <si>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</si>
  <si>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</si>
  <si>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</si>
  <si>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</si>
  <si>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</si>
  <si>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</si>
  <si>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</si>
  <si>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</si>
  <si>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</si>
  <si>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</si>
  <si>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</si>
  <si>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</si>
  <si>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</si>
  <si>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</si>
  <si>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</si>
  <si>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</si>
  <si>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</si>
  <si>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</si>
  <si>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</si>
  <si>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</si>
  <si>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</si>
  <si>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</si>
  <si>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</si>
  <si>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</si>
  <si>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</si>
  <si>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</si>
  <si>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</si>
  <si>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</si>
  <si>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</si>
  <si>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</si>
  <si>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</si>
  <si>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</si>
  <si>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</si>
  <si>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</si>
  <si>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</si>
  <si>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</si>
  <si>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</si>
  <si>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</si>
  <si>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</si>
  <si>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</si>
  <si>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</si>
  <si>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</si>
  <si>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</si>
  <si>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</si>
  <si>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</si>
  <si>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</si>
  <si>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</si>
  <si>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</si>
  <si>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</si>
  <si>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</si>
  <si>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</si>
  <si>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</si>
  <si>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</si>
  <si>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</si>
  <si>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</si>
  <si>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</si>
  <si>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</si>
  <si>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</si>
  <si>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</si>
  <si>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</si>
  <si>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</si>
  <si>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</si>
  <si>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</si>
  <si>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</si>
  <si>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</si>
  <si>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</si>
  <si>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</si>
  <si>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</si>
  <si>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</si>
  <si>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</si>
  <si>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</si>
  <si>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</si>
  <si>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</si>
  <si>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</si>
  <si>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</si>
  <si>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</si>
  <si>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</si>
  <si>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</si>
  <si>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</si>
  <si>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</si>
  <si>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</si>
  <si>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</si>
  <si>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</si>
  <si>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</si>
  <si>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</si>
  <si>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</si>
  <si>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</si>
  <si>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</si>
  <si>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</si>
  <si>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</si>
  <si>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</si>
  <si>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</si>
  <si>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</si>
  <si>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</si>
  <si>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</si>
  <si>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</si>
  <si>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</si>
  <si>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</si>
  <si>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</si>
  <si>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</si>
  <si>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</si>
  <si>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</si>
  <si>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</si>
  <si>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</si>
  <si>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</si>
  <si>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</si>
  <si>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</si>
  <si>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</si>
  <si>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</si>
  <si>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</si>
  <si>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</si>
  <si>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</si>
  <si>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</si>
  <si>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</si>
  <si>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</si>
  <si>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</si>
  <si>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</si>
  <si>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</si>
  <si>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</si>
  <si>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</si>
  <si>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</si>
  <si>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</si>
  <si>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</si>
  <si>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</si>
  <si>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</si>
  <si>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</si>
  <si>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</si>
  <si>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</si>
  <si>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</si>
  <si>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</si>
  <si>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</si>
  <si>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</si>
  <si>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</si>
  <si>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</si>
  <si>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</si>
  <si>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</si>
  <si>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</si>
  <si>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</si>
  <si>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</si>
  <si>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</si>
  <si>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</si>
  <si>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</si>
  <si>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</si>
  <si>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</si>
  <si>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</si>
  <si>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</si>
  <si>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</si>
  <si>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</si>
  <si>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</si>
  <si>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</si>
  <si>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</si>
  <si>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</si>
  <si>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</si>
  <si>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</si>
  <si>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</si>
  <si>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</si>
  <si>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</si>
  <si>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</si>
  <si>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</si>
  <si>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</si>
  <si>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</si>
  <si>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</si>
  <si>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</si>
  <si>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</si>
  <si>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</si>
  <si>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</si>
  <si>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</si>
  <si>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</si>
  <si>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</si>
  <si>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</si>
  <si>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</si>
  <si>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</si>
  <si>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</si>
  <si>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</si>
  <si>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</si>
  <si>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</si>
  <si>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</si>
  <si>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</si>
  <si>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</si>
  <si>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</si>
  <si>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</si>
  <si>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</si>
  <si>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</si>
  <si>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</si>
  <si>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</si>
  <si>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</si>
  <si>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</si>
  <si>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</si>
  <si>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</si>
  <si>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</si>
  <si>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</si>
  <si>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</si>
  <si>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</si>
  <si>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</si>
  <si>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</si>
  <si>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</si>
  <si>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</si>
  <si>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</si>
  <si>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</si>
  <si>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</si>
  <si>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</si>
  <si>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</si>
  <si>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</si>
  <si>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</si>
  <si>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</si>
  <si>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</si>
  <si>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</si>
  <si>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</si>
  <si>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</si>
  <si>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</si>
  <si>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</si>
  <si>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</si>
  <si>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</si>
  <si>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</si>
  <si>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</si>
  <si>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</si>
  <si>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</si>
  <si>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</si>
  <si>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</si>
  <si>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</si>
  <si>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</si>
  <si>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</si>
  <si>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</si>
  <si>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</si>
  <si>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</si>
  <si>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</si>
  <si>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</si>
  <si>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</si>
  <si>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</si>
  <si>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</si>
  <si>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</si>
  <si>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</si>
  <si>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</si>
  <si>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</si>
  <si>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</si>
  <si>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</si>
  <si>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</si>
  <si>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</si>
  <si>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</si>
  <si>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</si>
  <si>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</si>
  <si>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</si>
  <si>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</si>
  <si>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</si>
  <si>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</si>
  <si>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</si>
  <si>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</si>
  <si>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</si>
  <si>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</si>
  <si>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</si>
  <si>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</si>
  <si>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</si>
  <si>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</si>
  <si>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</si>
  <si>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</si>
  <si>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</si>
  <si>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</si>
  <si>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</si>
  <si>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</si>
  <si>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</si>
  <si>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</si>
  <si>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</si>
  <si>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</si>
  <si>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</si>
  <si>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</si>
  <si>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</si>
  <si>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</si>
  <si>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</si>
  <si>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</si>
  <si>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</si>
  <si>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</si>
  <si>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</si>
  <si>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</si>
  <si>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</si>
  <si>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</si>
  <si>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</si>
  <si>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</si>
  <si>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</si>
  <si>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</si>
  <si>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</si>
  <si>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</si>
  <si>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</si>
  <si>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</si>
  <si>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</si>
  <si>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</si>
  <si>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</si>
  <si>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</si>
  <si>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</si>
  <si>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</si>
  <si>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</si>
  <si>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</si>
  <si>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</si>
  <si>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</si>
  <si>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</si>
  <si>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</si>
  <si>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</si>
  <si>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</si>
  <si>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</si>
  <si>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</si>
  <si>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</si>
  <si>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</si>
  <si>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</si>
  <si>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</si>
  <si>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</si>
  <si>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</si>
  <si>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</si>
  <si>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</si>
  <si>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</si>
  <si>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</si>
  <si>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</si>
  <si>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</si>
  <si>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</si>
  <si>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</si>
  <si>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</si>
  <si>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</si>
  <si>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</si>
  <si>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</si>
  <si>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</si>
  <si>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</si>
  <si>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</si>
  <si>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</si>
  <si>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</si>
  <si>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</si>
  <si>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</si>
  <si>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</si>
  <si>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</si>
  <si>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</si>
  <si>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</si>
  <si>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</si>
  <si>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</si>
  <si>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</si>
  <si>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</si>
  <si>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</si>
  <si>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</si>
  <si>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</si>
  <si>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</si>
  <si>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</si>
  <si>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</si>
  <si>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</si>
  <si>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</si>
  <si>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</si>
  <si>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</si>
  <si>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</si>
  <si>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</si>
  <si>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</si>
  <si>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</si>
  <si>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</si>
  <si>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</si>
  <si>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</si>
  <si>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</si>
  <si>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</si>
  <si>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</si>
  <si>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</si>
  <si>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</si>
  <si>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</si>
  <si>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</si>
  <si>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</si>
  <si>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</si>
  <si>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</si>
  <si>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</si>
  <si>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</si>
  <si>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</si>
  <si>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</si>
  <si>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</si>
  <si>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</si>
  <si>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</si>
  <si>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</si>
  <si>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</si>
  <si>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</si>
  <si>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</si>
  <si>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</si>
  <si>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</si>
  <si>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</si>
  <si>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</si>
  <si>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</si>
  <si>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</si>
  <si>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</si>
  <si>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</si>
  <si>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</si>
  <si>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</si>
  <si>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</si>
  <si>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</si>
  <si>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</si>
  <si>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</si>
  <si>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</si>
  <si>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</si>
  <si>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</si>
  <si>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</si>
  <si>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</si>
  <si>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</si>
  <si>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</si>
  <si>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</si>
  <si>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</si>
  <si>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</si>
  <si>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</si>
  <si>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</si>
  <si>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</si>
  <si>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</si>
  <si>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</si>
  <si>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</si>
  <si>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</si>
  <si>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</si>
  <si>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</si>
  <si>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</si>
  <si>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</si>
  <si>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</si>
  <si>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</si>
  <si>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</si>
  <si>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</si>
  <si>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</si>
  <si>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</si>
  <si>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</si>
  <si>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</si>
  <si>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</si>
  <si>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</si>
  <si>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</si>
  <si>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</si>
  <si>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</si>
  <si>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</si>
  <si>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</si>
  <si>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</si>
  <si>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</si>
  <si>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</si>
  <si>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</si>
  <si>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</si>
  <si>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</si>
  <si>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</si>
  <si>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</si>
  <si>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</si>
  <si>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</si>
  <si>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</si>
  <si>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</si>
  <si>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</si>
  <si>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</si>
  <si>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</si>
  <si>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</si>
  <si>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</si>
  <si>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</si>
  <si>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</si>
  <si>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</si>
  <si>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</si>
  <si>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</si>
  <si>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</si>
  <si>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</si>
  <si>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</si>
  <si>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</si>
  <si>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</si>
  <si>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</si>
  <si>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</si>
  <si>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</si>
  <si>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</si>
  <si>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</si>
  <si>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</si>
  <si>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</si>
  <si>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</si>
  <si>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</si>
  <si>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</si>
  <si>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</si>
  <si>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</si>
  <si>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</si>
  <si>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</si>
  <si>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</si>
  <si>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</si>
  <si>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</si>
  <si>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</si>
  <si>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</si>
  <si>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</si>
  <si>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</si>
  <si>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</si>
  <si>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</si>
  <si>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</si>
  <si>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</si>
  <si>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</si>
  <si>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</si>
  <si>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</si>
  <si>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</si>
  <si>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</si>
  <si>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</si>
  <si>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</si>
  <si>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</si>
  <si>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</si>
  <si>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</si>
  <si>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</si>
  <si>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</si>
  <si>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</si>
  <si>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</si>
  <si>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</si>
  <si>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</si>
  <si>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</si>
  <si>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</si>
  <si>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</si>
  <si>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</si>
  <si>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</si>
  <si>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</si>
  <si>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</si>
  <si>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</si>
  <si>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</si>
  <si>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</si>
  <si>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</si>
  <si>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</si>
  <si>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</si>
  <si>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</si>
  <si>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</si>
  <si>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</si>
  <si>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</si>
  <si>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</si>
  <si>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</si>
  <si>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</si>
  <si>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</si>
  <si>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</si>
  <si>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</si>
  <si>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</si>
  <si>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</si>
  <si>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</si>
  <si>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</si>
  <si>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</si>
  <si>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</si>
  <si>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</si>
  <si>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</si>
  <si>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</si>
  <si>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</si>
  <si>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</si>
  <si>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</si>
  <si>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</si>
  <si>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</si>
  <si>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</si>
  <si>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</si>
  <si>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</si>
  <si>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</si>
  <si>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</si>
  <si>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</si>
  <si>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</si>
  <si>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</si>
  <si>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</si>
  <si>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</si>
  <si>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</si>
  <si>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</si>
  <si>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</si>
  <si>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</si>
  <si>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</si>
  <si>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</si>
  <si>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</si>
  <si>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</si>
  <si>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</si>
  <si>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</si>
  <si>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</si>
  <si>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</si>
  <si>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</si>
  <si>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</si>
  <si>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</si>
  <si>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</si>
  <si>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</si>
  <si>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</si>
  <si>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</si>
  <si>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</si>
  <si>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</si>
  <si>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</si>
  <si>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</si>
  <si>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</si>
  <si>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</si>
  <si>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</si>
  <si>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</si>
  <si>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</si>
  <si>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</si>
  <si>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</si>
  <si>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</si>
  <si>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</si>
  <si>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</si>
  <si>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</si>
  <si>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</si>
  <si>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</si>
  <si>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</si>
  <si>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</si>
  <si>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</si>
  <si>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</si>
  <si>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</si>
  <si>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</si>
  <si>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</si>
  <si>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</si>
  <si>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</si>
  <si>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</si>
  <si>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</si>
  <si>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</si>
  <si>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</si>
  <si>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</si>
  <si>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</si>
  <si>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</si>
  <si>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</si>
  <si>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</si>
  <si>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</si>
  <si>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</si>
  <si>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</si>
  <si>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</si>
  <si>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</si>
  <si>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</si>
  <si>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</si>
  <si>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</si>
  <si>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</si>
  <si>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</si>
  <si>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</si>
  <si>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</si>
  <si>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</si>
  <si>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</si>
  <si>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</si>
  <si>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</si>
  <si>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</si>
  <si>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</si>
  <si>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</si>
  <si>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</si>
  <si>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</si>
  <si>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</si>
  <si>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</si>
  <si>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</si>
  <si>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</si>
  <si>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</si>
  <si>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</si>
  <si>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</si>
  <si>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</si>
  <si>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</si>
  <si>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</si>
  <si>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</si>
  <si>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</si>
  <si>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</si>
  <si>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</si>
  <si>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</si>
  <si>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</si>
  <si>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</si>
  <si>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</si>
  <si>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</si>
  <si>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</si>
  <si>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</si>
  <si>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</si>
  <si>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</si>
  <si>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</si>
  <si>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</si>
  <si>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</si>
  <si>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</si>
  <si>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</si>
  <si>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</si>
  <si>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</si>
  <si>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</si>
  <si>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</si>
  <si>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</si>
  <si>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</si>
  <si>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</si>
  <si>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</si>
  <si>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</si>
  <si>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</si>
  <si>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</si>
  <si>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</si>
  <si>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</si>
  <si>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</si>
  <si>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</si>
  <si>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</si>
  <si>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</si>
  <si>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</si>
  <si>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</si>
  <si>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</si>
  <si>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</si>
  <si>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</si>
  <si>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</si>
  <si>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</si>
  <si>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</si>
  <si>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</si>
  <si>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</si>
  <si>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</si>
  <si>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</si>
  <si>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</si>
  <si>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</si>
  <si>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</si>
  <si>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</si>
  <si>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</si>
  <si>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</si>
  <si>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</si>
  <si>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</si>
  <si>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</si>
  <si>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</si>
  <si>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</si>
  <si>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</si>
  <si>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</si>
  <si>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</si>
  <si>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</si>
  <si>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</si>
  <si>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</si>
  <si>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</si>
  <si>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</si>
  <si>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</si>
  <si>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</si>
  <si>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</si>
  <si>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</si>
  <si>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</si>
  <si>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</si>
  <si>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</si>
  <si>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</si>
  <si>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</si>
  <si>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</si>
  <si>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</si>
  <si>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</si>
  <si>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</si>
  <si>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</si>
  <si>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</si>
  <si>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</si>
  <si>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</si>
  <si>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</si>
  <si>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</si>
  <si>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</si>
  <si>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</si>
  <si>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</si>
  <si>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</si>
  <si>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</si>
  <si>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</si>
  <si>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</si>
  <si>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</si>
  <si>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</si>
  <si>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</si>
  <si>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</si>
  <si>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</si>
  <si>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</si>
  <si>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</si>
  <si>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</si>
  <si>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</si>
  <si>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</si>
  <si>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</si>
  <si>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</si>
  <si>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</si>
  <si>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</si>
  <si>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</si>
  <si>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</si>
  <si>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</si>
  <si>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</si>
  <si>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</si>
  <si>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</si>
  <si>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</si>
  <si>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</si>
  <si>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</si>
  <si>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</si>
  <si>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</si>
  <si>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</si>
  <si>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</si>
  <si>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</si>
  <si>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</si>
  <si>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</si>
  <si>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</si>
  <si>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</si>
  <si>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</si>
  <si>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</si>
  <si>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</si>
  <si>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</si>
  <si>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</si>
  <si>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</si>
  <si>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</si>
  <si>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</si>
  <si>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</si>
  <si>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</si>
  <si>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</si>
  <si>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</si>
  <si>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</si>
  <si>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</si>
  <si>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</si>
  <si>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</si>
  <si>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</si>
  <si>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</si>
  <si>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</si>
  <si>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</si>
  <si>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</si>
  <si>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</si>
  <si>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</si>
  <si>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</si>
  <si>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</si>
  <si>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</si>
  <si>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</si>
  <si>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</si>
  <si>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</si>
  <si>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</si>
  <si>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</si>
  <si>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</si>
  <si>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</si>
  <si>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</si>
  <si>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</si>
  <si>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</si>
  <si>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</si>
  <si>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</si>
  <si>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</si>
  <si>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</si>
  <si>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</si>
  <si>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</si>
  <si>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</si>
  <si>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</si>
  <si>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</si>
  <si>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</si>
  <si>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</si>
  <si>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</si>
  <si>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</si>
  <si>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</si>
  <si>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</si>
  <si>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</si>
  <si>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</si>
  <si>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</si>
  <si>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</si>
  <si>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</si>
  <si>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</si>
  <si>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</si>
  <si>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</si>
  <si>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</si>
  <si>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</si>
  <si>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</si>
  <si>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</si>
  <si>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</si>
  <si>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</si>
  <si>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</si>
  <si>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</si>
  <si>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</si>
  <si>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</si>
  <si>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</si>
  <si>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</si>
  <si>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</si>
  <si>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</si>
  <si>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</si>
  <si>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</si>
  <si>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</si>
  <si>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</si>
  <si>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</si>
  <si>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</si>
  <si>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</si>
  <si>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</si>
  <si>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</si>
  <si>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</si>
  <si>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</si>
  <si>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</si>
  <si>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</si>
  <si>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</si>
  <si>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</si>
  <si>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</si>
  <si>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</si>
  <si>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</si>
  <si>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</si>
  <si>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</si>
  <si>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</si>
  <si>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</si>
  <si>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</si>
  <si>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</si>
  <si>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</si>
  <si>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</si>
  <si>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</si>
  <si>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</si>
  <si>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</si>
  <si>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</si>
  <si>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</si>
  <si>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</si>
  <si>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</si>
  <si>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</si>
  <si>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</si>
  <si>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</si>
  <si>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</si>
  <si>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</si>
  <si>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</si>
  <si>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</si>
  <si>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</si>
  <si>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</si>
  <si>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</si>
  <si>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</si>
  <si>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</si>
  <si>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</si>
  <si>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</si>
  <si>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</si>
  <si>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</si>
  <si>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</si>
  <si>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</si>
  <si>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</si>
  <si>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</si>
  <si>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</si>
  <si>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</si>
  <si>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</si>
  <si>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</si>
  <si>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</si>
  <si>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</si>
  <si>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</si>
  <si>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</si>
  <si>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</si>
  <si>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</si>
  <si>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</si>
  <si>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</si>
  <si>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</si>
  <si>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</si>
  <si>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</si>
  <si>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</si>
  <si>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</si>
  <si>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</si>
  <si>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</si>
  <si>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</si>
  <si>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</si>
  <si>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</si>
  <si>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</si>
  <si>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</si>
  <si>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</si>
  <si>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</si>
  <si>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</si>
  <si>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</si>
  <si>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</si>
  <si>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</si>
  <si>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</si>
  <si>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</si>
  <si>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</si>
  <si>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</si>
  <si>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</si>
  <si>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</si>
  <si>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</si>
  <si>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</si>
  <si>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</si>
  <si>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</si>
  <si>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</si>
  <si>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</si>
  <si>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</si>
  <si>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</si>
  <si>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</si>
  <si>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</si>
  <si>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</si>
  <si>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</si>
  <si>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</si>
  <si>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</si>
  <si>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</si>
  <si>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</si>
  <si>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</si>
  <si>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</si>
  <si>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</si>
  <si>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</si>
  <si>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</si>
  <si>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</si>
  <si>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</si>
  <si>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</si>
  <si>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</si>
  <si>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</si>
  <si>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</si>
  <si>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</si>
  <si>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</si>
  <si>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</si>
  <si>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</si>
  <si>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</si>
  <si>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</si>
  <si>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</si>
  <si>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</si>
  <si>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</si>
  <si>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</si>
  <si>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</si>
  <si>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</si>
  <si>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</si>
  <si>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</si>
  <si>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</si>
  <si>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</si>
  <si>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</si>
  <si>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</si>
  <si>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</si>
  <si>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</si>
  <si>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</si>
  <si>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</si>
  <si>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</si>
  <si>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</si>
  <si>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</si>
  <si>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</si>
  <si>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</si>
  <si>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</si>
  <si>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</si>
  <si>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</si>
  <si>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</si>
  <si>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</si>
  <si>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</si>
  <si>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</si>
  <si>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</si>
  <si>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</si>
  <si>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</si>
  <si>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</si>
  <si>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</si>
  <si>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</si>
  <si>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</si>
  <si>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</si>
  <si>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</si>
  <si>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</si>
  <si>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</si>
  <si>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</si>
  <si>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</si>
  <si>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</si>
  <si>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</si>
  <si>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</si>
  <si>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</si>
  <si>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</si>
  <si>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</si>
  <si>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</si>
  <si>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</si>
  <si>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</si>
  <si>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</si>
  <si>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</si>
  <si>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</si>
  <si>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</si>
  <si>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</si>
  <si>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</si>
  <si>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</si>
  <si>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</si>
  <si>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</si>
  <si>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</si>
  <si>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</si>
  <si>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</si>
  <si>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</si>
  <si>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</si>
  <si>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</si>
  <si>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</si>
  <si>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</si>
  <si>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</si>
  <si>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</si>
  <si>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</si>
  <si>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</si>
  <si>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</si>
  <si>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</si>
  <si>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</si>
  <si>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</si>
  <si>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</si>
  <si>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</si>
  <si>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</si>
  <si>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</si>
  <si>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</si>
  <si>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</si>
  <si>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</si>
  <si>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</si>
  <si>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</si>
  <si>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</si>
  <si>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</si>
  <si>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</si>
  <si>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</si>
  <si>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</si>
  <si>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</si>
  <si>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</si>
  <si>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</si>
  <si>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</si>
  <si>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</si>
  <si>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</si>
  <si>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</si>
  <si>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</si>
  <si>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</si>
  <si>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</si>
  <si>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</si>
  <si>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</si>
  <si>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</si>
  <si>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</si>
  <si>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</si>
  <si>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</si>
  <si>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</si>
  <si>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</si>
  <si>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</si>
  <si>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</si>
  <si>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</si>
  <si>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</si>
  <si>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</si>
  <si>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</si>
  <si>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</si>
  <si>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</si>
  <si>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</si>
  <si>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</si>
  <si>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</si>
  <si>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</si>
  <si>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</si>
  <si>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</si>
  <si>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</si>
  <si>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</si>
  <si>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</si>
  <si>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</si>
  <si>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</si>
  <si>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</si>
  <si>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</si>
  <si>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</si>
  <si>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</si>
  <si>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</si>
  <si>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</si>
  <si>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</si>
  <si>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</si>
  <si>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</si>
  <si>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</si>
  <si>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</si>
  <si>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</si>
  <si>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</si>
  <si>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</si>
  <si>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</si>
  <si>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</si>
  <si>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</si>
  <si>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</si>
  <si>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</si>
  <si>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</si>
  <si>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</si>
  <si>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</si>
  <si>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</si>
  <si>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</si>
  <si>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</si>
  <si>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</si>
  <si>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</si>
  <si>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</si>
  <si>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</si>
  <si>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</si>
  <si>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</si>
  <si>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</si>
  <si>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</si>
  <si>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</si>
  <si>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</si>
  <si>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</si>
  <si>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</si>
  <si>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</si>
  <si>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</si>
  <si>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</si>
  <si>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</si>
  <si>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</si>
  <si>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</si>
  <si>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</si>
  <si>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</si>
  <si>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</si>
  <si>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</si>
  <si>
    <t>j = allocation count index</t>
  </si>
  <si>
    <t>f(i,k)^(Bi)=j from 1 to 4 sum of (j)^(Bi)*X(i,j,k)</t>
  </si>
  <si>
    <t>f(i,k)=j from 1 to 4 sum of (j)*X(i,j,k)</t>
  </si>
  <si>
    <t>used for constrains</t>
  </si>
  <si>
    <t>used for objective function</t>
  </si>
  <si>
    <t>7-New Constrain: Products 3 and 8 must be in the same shelf if assorted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</si>
</sst>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38</xdr:col>
      <xdr:colOff>617219</xdr:colOff>
      <xdr:row>30</xdr:row>
      <xdr:rowOff>0</xdr:rowOff>
    </xdr:to>
    <xdr:sp macro="" textlink="">
      <xdr:nvSpPr>
        <xdr:cNvPr id="44" name="OpenSolver1">
          <a:extLst>
            <a:ext uri="{FF2B5EF4-FFF2-40B4-BE49-F238E27FC236}">
              <a16:creationId xmlns:a16="http://schemas.microsoft.com/office/drawing/2014/main" id="{4607404A-60A5-4990-9CF1-47763A454EE3}"/>
            </a:ext>
          </a:extLst>
        </xdr:cNvPr>
        <xdr:cNvSpPr/>
      </xdr:nvSpPr>
      <xdr:spPr>
        <a:xfrm>
          <a:off x="22258020" y="998220"/>
          <a:ext cx="3208019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46</xdr:col>
      <xdr:colOff>0</xdr:colOff>
      <xdr:row>30</xdr:row>
      <xdr:rowOff>0</xdr:rowOff>
    </xdr:to>
    <xdr:sp macro="" textlink="">
      <xdr:nvSpPr>
        <xdr:cNvPr id="45" name="OpenSolver2">
          <a:extLst>
            <a:ext uri="{FF2B5EF4-FFF2-40B4-BE49-F238E27FC236}">
              <a16:creationId xmlns:a16="http://schemas.microsoft.com/office/drawing/2014/main" id="{2ECE70C2-FE45-45B4-9126-7ECA241E338F}"/>
            </a:ext>
          </a:extLst>
        </xdr:cNvPr>
        <xdr:cNvSpPr/>
      </xdr:nvSpPr>
      <xdr:spPr>
        <a:xfrm>
          <a:off x="26814779" y="998220"/>
          <a:ext cx="31318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52</xdr:col>
      <xdr:colOff>609599</xdr:colOff>
      <xdr:row>30</xdr:row>
      <xdr:rowOff>0</xdr:rowOff>
    </xdr:to>
    <xdr:sp macro="" textlink="">
      <xdr:nvSpPr>
        <xdr:cNvPr id="46" name="OpenSolver3">
          <a:extLst>
            <a:ext uri="{FF2B5EF4-FFF2-40B4-BE49-F238E27FC236}">
              <a16:creationId xmlns:a16="http://schemas.microsoft.com/office/drawing/2014/main" id="{8B0FE6B1-6CA5-40E5-8761-63DCFB7ED911}"/>
            </a:ext>
          </a:extLst>
        </xdr:cNvPr>
        <xdr:cNvSpPr/>
      </xdr:nvSpPr>
      <xdr:spPr>
        <a:xfrm>
          <a:off x="31234379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60</xdr:col>
      <xdr:colOff>1</xdr:colOff>
      <xdr:row>30</xdr:row>
      <xdr:rowOff>0</xdr:rowOff>
    </xdr:to>
    <xdr:sp macro="" textlink="">
      <xdr:nvSpPr>
        <xdr:cNvPr id="47" name="OpenSolver4">
          <a:extLst>
            <a:ext uri="{FF2B5EF4-FFF2-40B4-BE49-F238E27FC236}">
              <a16:creationId xmlns:a16="http://schemas.microsoft.com/office/drawing/2014/main" id="{C59D855D-95E9-400D-ABC7-9B79B83D0D0C}"/>
            </a:ext>
          </a:extLst>
        </xdr:cNvPr>
        <xdr:cNvSpPr/>
      </xdr:nvSpPr>
      <xdr:spPr>
        <a:xfrm>
          <a:off x="35570161" y="998220"/>
          <a:ext cx="30480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48" name="OpenSolver5">
          <a:extLst>
            <a:ext uri="{FF2B5EF4-FFF2-40B4-BE49-F238E27FC236}">
              <a16:creationId xmlns:a16="http://schemas.microsoft.com/office/drawing/2014/main" id="{1EA0AB9A-C2A5-4DDE-8594-EC5418BF00AC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49" name="OpenSolver6">
          <a:extLst>
            <a:ext uri="{FF2B5EF4-FFF2-40B4-BE49-F238E27FC236}">
              <a16:creationId xmlns:a16="http://schemas.microsoft.com/office/drawing/2014/main" id="{EAF4144F-71FC-4345-AAE9-E64217B8D4D3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1</xdr:rowOff>
    </xdr:to>
    <xdr:sp macro="" textlink="">
      <xdr:nvSpPr>
        <xdr:cNvPr id="50" name="OpenSolver7">
          <a:extLst>
            <a:ext uri="{FF2B5EF4-FFF2-40B4-BE49-F238E27FC236}">
              <a16:creationId xmlns:a16="http://schemas.microsoft.com/office/drawing/2014/main" id="{95B6B4D6-174E-4930-8708-FEF65B86ED45}"/>
            </a:ext>
          </a:extLst>
        </xdr:cNvPr>
        <xdr:cNvSpPr/>
      </xdr:nvSpPr>
      <xdr:spPr>
        <a:xfrm>
          <a:off x="1485900" y="12329160"/>
          <a:ext cx="75438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1</xdr:rowOff>
    </xdr:to>
    <xdr:sp macro="" textlink="">
      <xdr:nvSpPr>
        <xdr:cNvPr id="51" name="OpenSolver8">
          <a:extLst>
            <a:ext uri="{FF2B5EF4-FFF2-40B4-BE49-F238E27FC236}">
              <a16:creationId xmlns:a16="http://schemas.microsoft.com/office/drawing/2014/main" id="{5444B295-B870-403E-B8DD-085F5CD250E0}"/>
            </a:ext>
          </a:extLst>
        </xdr:cNvPr>
        <xdr:cNvSpPr/>
      </xdr:nvSpPr>
      <xdr:spPr>
        <a:xfrm>
          <a:off x="31089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99061</xdr:rowOff>
    </xdr:from>
    <xdr:to>
      <xdr:col>4</xdr:col>
      <xdr:colOff>0</xdr:colOff>
      <xdr:row>74</xdr:row>
      <xdr:rowOff>99061</xdr:rowOff>
    </xdr:to>
    <xdr:cxnSp macro="">
      <xdr:nvCxnSpPr>
        <xdr:cNvPr id="52" name="OpenSolver9">
          <a:extLst>
            <a:ext uri="{FF2B5EF4-FFF2-40B4-BE49-F238E27FC236}">
              <a16:creationId xmlns:a16="http://schemas.microsoft.com/office/drawing/2014/main" id="{7D4BC6F2-D289-4159-BFDD-06D0986999D5}"/>
            </a:ext>
          </a:extLst>
        </xdr:cNvPr>
        <xdr:cNvCxnSpPr>
          <a:stCxn id="50" idx="3"/>
          <a:endCxn id="51" idx="1"/>
        </xdr:cNvCxnSpPr>
      </xdr:nvCxnSpPr>
      <xdr:spPr>
        <a:xfrm>
          <a:off x="2240280" y="14805661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170181</xdr:rowOff>
    </xdr:from>
    <xdr:to>
      <xdr:col>3</xdr:col>
      <xdr:colOff>624840</xdr:colOff>
      <xdr:row>75</xdr:row>
      <xdr:rowOff>27941</xdr:rowOff>
    </xdr:to>
    <xdr:sp macro="" textlink="">
      <xdr:nvSpPr>
        <xdr:cNvPr id="53" name="OpenSolver10">
          <a:extLst>
            <a:ext uri="{FF2B5EF4-FFF2-40B4-BE49-F238E27FC236}">
              <a16:creationId xmlns:a16="http://schemas.microsoft.com/office/drawing/2014/main" id="{AA7F6EE0-6628-4F47-8C1F-DDE1883FA6F3}"/>
            </a:ext>
          </a:extLst>
        </xdr:cNvPr>
        <xdr:cNvSpPr/>
      </xdr:nvSpPr>
      <xdr:spPr>
        <a:xfrm>
          <a:off x="248412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1</xdr:rowOff>
    </xdr:to>
    <xdr:sp macro="" textlink="">
      <xdr:nvSpPr>
        <xdr:cNvPr id="54" name="OpenSolver11">
          <a:extLst>
            <a:ext uri="{FF2B5EF4-FFF2-40B4-BE49-F238E27FC236}">
              <a16:creationId xmlns:a16="http://schemas.microsoft.com/office/drawing/2014/main" id="{A283040D-881A-45AD-ACBB-FC5D216B077D}"/>
            </a:ext>
          </a:extLst>
        </xdr:cNvPr>
        <xdr:cNvSpPr/>
      </xdr:nvSpPr>
      <xdr:spPr>
        <a:xfrm>
          <a:off x="51054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1</xdr:rowOff>
    </xdr:to>
    <xdr:sp macro="" textlink="">
      <xdr:nvSpPr>
        <xdr:cNvPr id="55" name="OpenSolver12">
          <a:extLst>
            <a:ext uri="{FF2B5EF4-FFF2-40B4-BE49-F238E27FC236}">
              <a16:creationId xmlns:a16="http://schemas.microsoft.com/office/drawing/2014/main" id="{F3EFB678-9157-407F-8685-013452A6F9FC}"/>
            </a:ext>
          </a:extLst>
        </xdr:cNvPr>
        <xdr:cNvSpPr/>
      </xdr:nvSpPr>
      <xdr:spPr>
        <a:xfrm>
          <a:off x="65532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99061</xdr:rowOff>
    </xdr:from>
    <xdr:to>
      <xdr:col>9</xdr:col>
      <xdr:colOff>0</xdr:colOff>
      <xdr:row>74</xdr:row>
      <xdr:rowOff>99061</xdr:rowOff>
    </xdr:to>
    <xdr:cxnSp macro="">
      <xdr:nvCxnSpPr>
        <xdr:cNvPr id="56" name="OpenSolver13">
          <a:extLst>
            <a:ext uri="{FF2B5EF4-FFF2-40B4-BE49-F238E27FC236}">
              <a16:creationId xmlns:a16="http://schemas.microsoft.com/office/drawing/2014/main" id="{C0B41DA1-D684-4551-A632-A20DDB3B2D49}"/>
            </a:ext>
          </a:extLst>
        </xdr:cNvPr>
        <xdr:cNvCxnSpPr>
          <a:stCxn id="54" idx="3"/>
          <a:endCxn id="55" idx="1"/>
        </xdr:cNvCxnSpPr>
      </xdr:nvCxnSpPr>
      <xdr:spPr>
        <a:xfrm>
          <a:off x="5722620" y="14805661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170181</xdr:rowOff>
    </xdr:from>
    <xdr:to>
      <xdr:col>8</xdr:col>
      <xdr:colOff>605790</xdr:colOff>
      <xdr:row>75</xdr:row>
      <xdr:rowOff>27941</xdr:rowOff>
    </xdr:to>
    <xdr:sp macro="" textlink="">
      <xdr:nvSpPr>
        <xdr:cNvPr id="57" name="OpenSolver14">
          <a:extLst>
            <a:ext uri="{FF2B5EF4-FFF2-40B4-BE49-F238E27FC236}">
              <a16:creationId xmlns:a16="http://schemas.microsoft.com/office/drawing/2014/main" id="{C6251A01-8174-464A-B213-BAF57611D12C}"/>
            </a:ext>
          </a:extLst>
        </xdr:cNvPr>
        <xdr:cNvSpPr/>
      </xdr:nvSpPr>
      <xdr:spPr>
        <a:xfrm>
          <a:off x="594741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1</xdr:rowOff>
    </xdr:to>
    <xdr:sp macro="" textlink="">
      <xdr:nvSpPr>
        <xdr:cNvPr id="58" name="OpenSolver15">
          <a:extLst>
            <a:ext uri="{FF2B5EF4-FFF2-40B4-BE49-F238E27FC236}">
              <a16:creationId xmlns:a16="http://schemas.microsoft.com/office/drawing/2014/main" id="{A2ED0B73-AC53-4BF7-BA31-C5CFCC3189EF}"/>
            </a:ext>
          </a:extLst>
        </xdr:cNvPr>
        <xdr:cNvSpPr/>
      </xdr:nvSpPr>
      <xdr:spPr>
        <a:xfrm>
          <a:off x="84048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1</xdr:rowOff>
    </xdr:to>
    <xdr:sp macro="" textlink="">
      <xdr:nvSpPr>
        <xdr:cNvPr id="59" name="OpenSolver16">
          <a:extLst>
            <a:ext uri="{FF2B5EF4-FFF2-40B4-BE49-F238E27FC236}">
              <a16:creationId xmlns:a16="http://schemas.microsoft.com/office/drawing/2014/main" id="{620EAFBA-C414-4B5A-BEA0-359B3CA65C3B}"/>
            </a:ext>
          </a:extLst>
        </xdr:cNvPr>
        <xdr:cNvSpPr/>
      </xdr:nvSpPr>
      <xdr:spPr>
        <a:xfrm>
          <a:off x="96393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99061</xdr:rowOff>
    </xdr:from>
    <xdr:to>
      <xdr:col>14</xdr:col>
      <xdr:colOff>0</xdr:colOff>
      <xdr:row>74</xdr:row>
      <xdr:rowOff>99061</xdr:rowOff>
    </xdr:to>
    <xdr:cxnSp macro="">
      <xdr:nvCxnSpPr>
        <xdr:cNvPr id="60" name="OpenSolver17">
          <a:extLst>
            <a:ext uri="{FF2B5EF4-FFF2-40B4-BE49-F238E27FC236}">
              <a16:creationId xmlns:a16="http://schemas.microsoft.com/office/drawing/2014/main" id="{D176BA53-1090-4365-B19F-3C9C62291F95}"/>
            </a:ext>
          </a:extLst>
        </xdr:cNvPr>
        <xdr:cNvCxnSpPr>
          <a:stCxn id="58" idx="3"/>
          <a:endCxn id="59" idx="1"/>
        </xdr:cNvCxnSpPr>
      </xdr:nvCxnSpPr>
      <xdr:spPr>
        <a:xfrm>
          <a:off x="9022080" y="14805661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170181</xdr:rowOff>
    </xdr:from>
    <xdr:to>
      <xdr:col>13</xdr:col>
      <xdr:colOff>499110</xdr:colOff>
      <xdr:row>75</xdr:row>
      <xdr:rowOff>27941</xdr:rowOff>
    </xdr:to>
    <xdr:sp macro="" textlink="">
      <xdr:nvSpPr>
        <xdr:cNvPr id="61" name="OpenSolver18">
          <a:extLst>
            <a:ext uri="{FF2B5EF4-FFF2-40B4-BE49-F238E27FC236}">
              <a16:creationId xmlns:a16="http://schemas.microsoft.com/office/drawing/2014/main" id="{0E60E97F-FD7E-4E2E-8FA9-0088F7215F24}"/>
            </a:ext>
          </a:extLst>
        </xdr:cNvPr>
        <xdr:cNvSpPr/>
      </xdr:nvSpPr>
      <xdr:spPr>
        <a:xfrm>
          <a:off x="914019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67</xdr:row>
      <xdr:rowOff>1</xdr:rowOff>
    </xdr:to>
    <xdr:sp macro="" textlink="">
      <xdr:nvSpPr>
        <xdr:cNvPr id="62" name="OpenSolver19">
          <a:extLst>
            <a:ext uri="{FF2B5EF4-FFF2-40B4-BE49-F238E27FC236}">
              <a16:creationId xmlns:a16="http://schemas.microsoft.com/office/drawing/2014/main" id="{2392819D-CD75-4B75-AA6C-E9CC43219CC8}"/>
            </a:ext>
          </a:extLst>
        </xdr:cNvPr>
        <xdr:cNvSpPr/>
      </xdr:nvSpPr>
      <xdr:spPr>
        <a:xfrm>
          <a:off x="11551920" y="12329160"/>
          <a:ext cx="617219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67</xdr:row>
      <xdr:rowOff>1</xdr:rowOff>
    </xdr:to>
    <xdr:sp macro="" textlink="">
      <xdr:nvSpPr>
        <xdr:cNvPr id="63" name="OpenSolver20">
          <a:extLst>
            <a:ext uri="{FF2B5EF4-FFF2-40B4-BE49-F238E27FC236}">
              <a16:creationId xmlns:a16="http://schemas.microsoft.com/office/drawing/2014/main" id="{C52E70F4-49D6-458B-B15D-1B585373A8C9}"/>
            </a:ext>
          </a:extLst>
        </xdr:cNvPr>
        <xdr:cNvSpPr/>
      </xdr:nvSpPr>
      <xdr:spPr>
        <a:xfrm>
          <a:off x="12778740" y="12329160"/>
          <a:ext cx="617221" cy="990601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64</xdr:row>
      <xdr:rowOff>99061</xdr:rowOff>
    </xdr:from>
    <xdr:to>
      <xdr:col>19</xdr:col>
      <xdr:colOff>0</xdr:colOff>
      <xdr:row>64</xdr:row>
      <xdr:rowOff>99061</xdr:rowOff>
    </xdr:to>
    <xdr:cxnSp macro="">
      <xdr:nvCxnSpPr>
        <xdr:cNvPr id="64" name="OpenSolver21">
          <a:extLst>
            <a:ext uri="{FF2B5EF4-FFF2-40B4-BE49-F238E27FC236}">
              <a16:creationId xmlns:a16="http://schemas.microsoft.com/office/drawing/2014/main" id="{3B49349F-E75E-4FDB-991C-03B5DBACF18F}"/>
            </a:ext>
          </a:extLst>
        </xdr:cNvPr>
        <xdr:cNvCxnSpPr>
          <a:stCxn id="62" idx="3"/>
          <a:endCxn id="63" idx="1"/>
        </xdr:cNvCxnSpPr>
      </xdr:nvCxnSpPr>
      <xdr:spPr>
        <a:xfrm>
          <a:off x="12169139" y="12824461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63</xdr:row>
      <xdr:rowOff>170181</xdr:rowOff>
    </xdr:from>
    <xdr:to>
      <xdr:col>18</xdr:col>
      <xdr:colOff>495300</xdr:colOff>
      <xdr:row>65</xdr:row>
      <xdr:rowOff>27941</xdr:rowOff>
    </xdr:to>
    <xdr:sp macro="" textlink="">
      <xdr:nvSpPr>
        <xdr:cNvPr id="65" name="OpenSolver22">
          <a:extLst>
            <a:ext uri="{FF2B5EF4-FFF2-40B4-BE49-F238E27FC236}">
              <a16:creationId xmlns:a16="http://schemas.microsoft.com/office/drawing/2014/main" id="{223A8E20-940B-428E-8222-A312ECE5EDD1}"/>
            </a:ext>
          </a:extLst>
        </xdr:cNvPr>
        <xdr:cNvSpPr/>
      </xdr:nvSpPr>
      <xdr:spPr>
        <a:xfrm>
          <a:off x="12283440" y="126974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65</xdr:row>
      <xdr:rowOff>198119</xdr:rowOff>
    </xdr:to>
    <xdr:sp macro="" textlink="">
      <xdr:nvSpPr>
        <xdr:cNvPr id="66" name="OpenSolver23">
          <a:extLst>
            <a:ext uri="{FF2B5EF4-FFF2-40B4-BE49-F238E27FC236}">
              <a16:creationId xmlns:a16="http://schemas.microsoft.com/office/drawing/2014/main" id="{70E5FAB9-8BAB-4392-A671-A6AEB82F8575}"/>
            </a:ext>
          </a:extLst>
        </xdr:cNvPr>
        <xdr:cNvSpPr/>
      </xdr:nvSpPr>
      <xdr:spPr>
        <a:xfrm>
          <a:off x="1462278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65</xdr:row>
      <xdr:rowOff>198119</xdr:rowOff>
    </xdr:to>
    <xdr:sp macro="" textlink="">
      <xdr:nvSpPr>
        <xdr:cNvPr id="67" name="OpenSolver24">
          <a:extLst>
            <a:ext uri="{FF2B5EF4-FFF2-40B4-BE49-F238E27FC236}">
              <a16:creationId xmlns:a16="http://schemas.microsoft.com/office/drawing/2014/main" id="{096710F7-E275-43E2-AC86-02D39AE5D51E}"/>
            </a:ext>
          </a:extLst>
        </xdr:cNvPr>
        <xdr:cNvSpPr/>
      </xdr:nvSpPr>
      <xdr:spPr>
        <a:xfrm>
          <a:off x="1592580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0</xdr:rowOff>
    </xdr:from>
    <xdr:to>
      <xdr:col>24</xdr:col>
      <xdr:colOff>0</xdr:colOff>
      <xdr:row>64</xdr:row>
      <xdr:rowOff>0</xdr:rowOff>
    </xdr:to>
    <xdr:cxnSp macro="">
      <xdr:nvCxnSpPr>
        <xdr:cNvPr id="68" name="OpenSolver25">
          <a:extLst>
            <a:ext uri="{FF2B5EF4-FFF2-40B4-BE49-F238E27FC236}">
              <a16:creationId xmlns:a16="http://schemas.microsoft.com/office/drawing/2014/main" id="{1E41CFE7-0221-4812-8711-FB9D17A1697B}"/>
            </a:ext>
          </a:extLst>
        </xdr:cNvPr>
        <xdr:cNvCxnSpPr>
          <a:stCxn id="66" idx="3"/>
          <a:endCxn id="67" idx="1"/>
        </xdr:cNvCxnSpPr>
      </xdr:nvCxnSpPr>
      <xdr:spPr>
        <a:xfrm>
          <a:off x="15240000" y="1272540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127000</xdr:rowOff>
    </xdr:to>
    <xdr:sp macro="" textlink="">
      <xdr:nvSpPr>
        <xdr:cNvPr id="69" name="OpenSolver26">
          <a:extLst>
            <a:ext uri="{FF2B5EF4-FFF2-40B4-BE49-F238E27FC236}">
              <a16:creationId xmlns:a16="http://schemas.microsoft.com/office/drawing/2014/main" id="{D55803BB-8D79-4B55-9BF5-3E314B1D42FB}"/>
            </a:ext>
          </a:extLst>
        </xdr:cNvPr>
        <xdr:cNvSpPr/>
      </xdr:nvSpPr>
      <xdr:spPr>
        <a:xfrm>
          <a:off x="15392400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27</xdr:col>
      <xdr:colOff>1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70" name="OpenSolver27">
          <a:extLst>
            <a:ext uri="{FF2B5EF4-FFF2-40B4-BE49-F238E27FC236}">
              <a16:creationId xmlns:a16="http://schemas.microsoft.com/office/drawing/2014/main" id="{FCCDE2D4-EE15-4A26-BE47-E2C5249D29E1}"/>
            </a:ext>
          </a:extLst>
        </xdr:cNvPr>
        <xdr:cNvSpPr/>
      </xdr:nvSpPr>
      <xdr:spPr>
        <a:xfrm>
          <a:off x="17777461" y="12329160"/>
          <a:ext cx="313181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0</xdr:colOff>
      <xdr:row>65</xdr:row>
      <xdr:rowOff>0</xdr:rowOff>
    </xdr:to>
    <xdr:sp macro="" textlink="">
      <xdr:nvSpPr>
        <xdr:cNvPr id="71" name="OpenSolver28">
          <a:extLst>
            <a:ext uri="{FF2B5EF4-FFF2-40B4-BE49-F238E27FC236}">
              <a16:creationId xmlns:a16="http://schemas.microsoft.com/office/drawing/2014/main" id="{A0BA262C-F188-4C4E-B81A-D1C58DC7ED13}"/>
            </a:ext>
          </a:extLst>
        </xdr:cNvPr>
        <xdr:cNvSpPr/>
      </xdr:nvSpPr>
      <xdr:spPr>
        <a:xfrm>
          <a:off x="21526500" y="12329160"/>
          <a:ext cx="332232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72" name="OpenSolver29">
          <a:extLst>
            <a:ext uri="{FF2B5EF4-FFF2-40B4-BE49-F238E27FC236}">
              <a16:creationId xmlns:a16="http://schemas.microsoft.com/office/drawing/2014/main" id="{54B5A862-40D3-400F-8218-1D99B55259DC}"/>
            </a:ext>
          </a:extLst>
        </xdr:cNvPr>
        <xdr:cNvCxnSpPr>
          <a:stCxn id="70" idx="3"/>
          <a:endCxn id="71" idx="1"/>
        </xdr:cNvCxnSpPr>
      </xdr:nvCxnSpPr>
      <xdr:spPr>
        <a:xfrm>
          <a:off x="20909280" y="12626340"/>
          <a:ext cx="617220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73" name="OpenSolver30">
          <a:extLst>
            <a:ext uri="{FF2B5EF4-FFF2-40B4-BE49-F238E27FC236}">
              <a16:creationId xmlns:a16="http://schemas.microsoft.com/office/drawing/2014/main" id="{00881790-5B0E-4659-A1B1-1B1707FD733D}"/>
            </a:ext>
          </a:extLst>
        </xdr:cNvPr>
        <xdr:cNvSpPr/>
      </xdr:nvSpPr>
      <xdr:spPr>
        <a:xfrm>
          <a:off x="21027391" y="1249934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70</xdr:row>
      <xdr:rowOff>198119</xdr:rowOff>
    </xdr:from>
    <xdr:to>
      <xdr:col>23</xdr:col>
      <xdr:colOff>0</xdr:colOff>
      <xdr:row>75</xdr:row>
      <xdr:rowOff>198119</xdr:rowOff>
    </xdr:to>
    <xdr:sp macro="" textlink="">
      <xdr:nvSpPr>
        <xdr:cNvPr id="74" name="OpenSolver31">
          <a:extLst>
            <a:ext uri="{FF2B5EF4-FFF2-40B4-BE49-F238E27FC236}">
              <a16:creationId xmlns:a16="http://schemas.microsoft.com/office/drawing/2014/main" id="{D5CFF8B7-9466-4799-9484-04881F6FF6AB}"/>
            </a:ext>
          </a:extLst>
        </xdr:cNvPr>
        <xdr:cNvSpPr/>
      </xdr:nvSpPr>
      <xdr:spPr>
        <a:xfrm>
          <a:off x="14622780" y="14112239"/>
          <a:ext cx="617220" cy="990600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CC0099"/>
            </a:solidFill>
          </a:endParaRPr>
        </a:p>
      </xdr:txBody>
    </xdr:sp>
    <xdr:clientData/>
  </xdr:twoCellAnchor>
  <xdr:twoCellAnchor>
    <xdr:from>
      <xdr:col>24</xdr:col>
      <xdr:colOff>0</xdr:colOff>
      <xdr:row>70</xdr:row>
      <xdr:rowOff>198119</xdr:rowOff>
    </xdr:from>
    <xdr:to>
      <xdr:col>25</xdr:col>
      <xdr:colOff>0</xdr:colOff>
      <xdr:row>75</xdr:row>
      <xdr:rowOff>198119</xdr:rowOff>
    </xdr:to>
    <xdr:sp macro="" textlink="">
      <xdr:nvSpPr>
        <xdr:cNvPr id="75" name="OpenSolver32">
          <a:extLst>
            <a:ext uri="{FF2B5EF4-FFF2-40B4-BE49-F238E27FC236}">
              <a16:creationId xmlns:a16="http://schemas.microsoft.com/office/drawing/2014/main" id="{9C224B0E-50B7-4803-8E45-73C3BDC85A3F}"/>
            </a:ext>
          </a:extLst>
        </xdr:cNvPr>
        <xdr:cNvSpPr/>
      </xdr:nvSpPr>
      <xdr:spPr>
        <a:xfrm>
          <a:off x="15925800" y="14112239"/>
          <a:ext cx="617220" cy="990600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CC0099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73</xdr:row>
      <xdr:rowOff>99059</xdr:rowOff>
    </xdr:from>
    <xdr:to>
      <xdr:col>24</xdr:col>
      <xdr:colOff>0</xdr:colOff>
      <xdr:row>73</xdr:row>
      <xdr:rowOff>99059</xdr:rowOff>
    </xdr:to>
    <xdr:cxnSp macro="">
      <xdr:nvCxnSpPr>
        <xdr:cNvPr id="76" name="OpenSolver33">
          <a:extLst>
            <a:ext uri="{FF2B5EF4-FFF2-40B4-BE49-F238E27FC236}">
              <a16:creationId xmlns:a16="http://schemas.microsoft.com/office/drawing/2014/main" id="{ADEA3E7B-F281-4102-9021-C7BD6D31F4FD}"/>
            </a:ext>
          </a:extLst>
        </xdr:cNvPr>
        <xdr:cNvCxnSpPr>
          <a:stCxn id="74" idx="3"/>
          <a:endCxn id="75" idx="1"/>
        </xdr:cNvCxnSpPr>
      </xdr:nvCxnSpPr>
      <xdr:spPr>
        <a:xfrm>
          <a:off x="15240000" y="14607539"/>
          <a:ext cx="685800" cy="0"/>
        </a:xfrm>
        <a:prstGeom prst="straightConnector1">
          <a:avLst/>
        </a:prstGeom>
        <a:ln w="9525" cmpd="sng">
          <a:solidFill>
            <a:srgbClr val="CC0099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72</xdr:row>
      <xdr:rowOff>170179</xdr:rowOff>
    </xdr:from>
    <xdr:to>
      <xdr:col>23</xdr:col>
      <xdr:colOff>533400</xdr:colOff>
      <xdr:row>74</xdr:row>
      <xdr:rowOff>27939</xdr:rowOff>
    </xdr:to>
    <xdr:sp macro="" textlink="">
      <xdr:nvSpPr>
        <xdr:cNvPr id="77" name="OpenSolver34">
          <a:extLst>
            <a:ext uri="{FF2B5EF4-FFF2-40B4-BE49-F238E27FC236}">
              <a16:creationId xmlns:a16="http://schemas.microsoft.com/office/drawing/2014/main" id="{EAAB046A-F5AE-40EA-9F06-1ABF5E4C63BF}"/>
            </a:ext>
          </a:extLst>
        </xdr:cNvPr>
        <xdr:cNvSpPr/>
      </xdr:nvSpPr>
      <xdr:spPr>
        <a:xfrm>
          <a:off x="15392400" y="14480539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38</xdr:col>
      <xdr:colOff>617219</xdr:colOff>
      <xdr:row>30</xdr:row>
      <xdr:rowOff>0</xdr:rowOff>
    </xdr:to>
    <xdr:sp macro="" textlink="">
      <xdr:nvSpPr>
        <xdr:cNvPr id="120" name="OpenSolver35">
          <a:extLst>
            <a:ext uri="{FF2B5EF4-FFF2-40B4-BE49-F238E27FC236}">
              <a16:creationId xmlns:a16="http://schemas.microsoft.com/office/drawing/2014/main" id="{E33308E0-C2D9-488D-9469-446EBE98A586}"/>
            </a:ext>
          </a:extLst>
        </xdr:cNvPr>
        <xdr:cNvSpPr/>
      </xdr:nvSpPr>
      <xdr:spPr>
        <a:xfrm>
          <a:off x="22270720" y="1010920"/>
          <a:ext cx="3195319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121" name="OpenSolver36">
          <a:extLst>
            <a:ext uri="{FF2B5EF4-FFF2-40B4-BE49-F238E27FC236}">
              <a16:creationId xmlns:a16="http://schemas.microsoft.com/office/drawing/2014/main" id="{A62302EB-B5E7-49E2-A143-46BB0BC274DE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46</xdr:col>
      <xdr:colOff>0</xdr:colOff>
      <xdr:row>30</xdr:row>
      <xdr:rowOff>0</xdr:rowOff>
    </xdr:to>
    <xdr:sp macro="" textlink="">
      <xdr:nvSpPr>
        <xdr:cNvPr id="122" name="OpenSolver37">
          <a:extLst>
            <a:ext uri="{FF2B5EF4-FFF2-40B4-BE49-F238E27FC236}">
              <a16:creationId xmlns:a16="http://schemas.microsoft.com/office/drawing/2014/main" id="{00DC961C-98BE-4863-811E-5D901F4D3D15}"/>
            </a:ext>
          </a:extLst>
        </xdr:cNvPr>
        <xdr:cNvSpPr/>
      </xdr:nvSpPr>
      <xdr:spPr>
        <a:xfrm>
          <a:off x="26827479" y="1010920"/>
          <a:ext cx="31191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123" name="OpenSolver38">
          <a:extLst>
            <a:ext uri="{FF2B5EF4-FFF2-40B4-BE49-F238E27FC236}">
              <a16:creationId xmlns:a16="http://schemas.microsoft.com/office/drawing/2014/main" id="{8CB81B9F-C935-48E6-AF89-F3678342857C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52</xdr:col>
      <xdr:colOff>609599</xdr:colOff>
      <xdr:row>30</xdr:row>
      <xdr:rowOff>0</xdr:rowOff>
    </xdr:to>
    <xdr:sp macro="" textlink="">
      <xdr:nvSpPr>
        <xdr:cNvPr id="124" name="OpenSolver39">
          <a:extLst>
            <a:ext uri="{FF2B5EF4-FFF2-40B4-BE49-F238E27FC236}">
              <a16:creationId xmlns:a16="http://schemas.microsoft.com/office/drawing/2014/main" id="{4CDAA36C-CCCE-4EED-A2CC-698510C228A6}"/>
            </a:ext>
          </a:extLst>
        </xdr:cNvPr>
        <xdr:cNvSpPr/>
      </xdr:nvSpPr>
      <xdr:spPr>
        <a:xfrm>
          <a:off x="31247079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125" name="OpenSolver40">
          <a:extLst>
            <a:ext uri="{FF2B5EF4-FFF2-40B4-BE49-F238E27FC236}">
              <a16:creationId xmlns:a16="http://schemas.microsoft.com/office/drawing/2014/main" id="{9CAE9A52-C887-476D-AF09-A0CE2313BCAB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60</xdr:col>
      <xdr:colOff>1</xdr:colOff>
      <xdr:row>30</xdr:row>
      <xdr:rowOff>0</xdr:rowOff>
    </xdr:to>
    <xdr:sp macro="" textlink="">
      <xdr:nvSpPr>
        <xdr:cNvPr id="126" name="OpenSolver41">
          <a:extLst>
            <a:ext uri="{FF2B5EF4-FFF2-40B4-BE49-F238E27FC236}">
              <a16:creationId xmlns:a16="http://schemas.microsoft.com/office/drawing/2014/main" id="{064A9A62-D805-4715-AE01-DABAB7B294E4}"/>
            </a:ext>
          </a:extLst>
        </xdr:cNvPr>
        <xdr:cNvSpPr/>
      </xdr:nvSpPr>
      <xdr:spPr>
        <a:xfrm>
          <a:off x="35582861" y="1010920"/>
          <a:ext cx="30353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127" name="OpenSolver42">
          <a:extLst>
            <a:ext uri="{FF2B5EF4-FFF2-40B4-BE49-F238E27FC236}">
              <a16:creationId xmlns:a16="http://schemas.microsoft.com/office/drawing/2014/main" id="{C12B88A8-8728-4CF8-B816-C1C50A1559CD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4.4" x14ac:dyDescent="0.3"/>
  <cols>
    <col min="1" max="1" width="5.77734375" style="56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ht="15" x14ac:dyDescent="0.3">
      <c r="A1" s="56" t="s">
        <v>40</v>
      </c>
    </row>
    <row r="2" spans="1:8" ht="15" x14ac:dyDescent="0.3">
      <c r="A2" s="56" t="s">
        <v>41</v>
      </c>
      <c r="B2" s="46"/>
      <c r="C2" s="46"/>
      <c r="D2" s="46"/>
      <c r="E2" s="46"/>
      <c r="F2" s="46"/>
      <c r="G2" s="46"/>
      <c r="H2" s="46"/>
    </row>
    <row r="3" spans="1:8" ht="15" x14ac:dyDescent="0.3">
      <c r="A3" s="56" t="s">
        <v>1160</v>
      </c>
      <c r="B3" s="46"/>
      <c r="C3" s="46"/>
      <c r="D3" s="46"/>
      <c r="E3" s="46"/>
      <c r="F3" s="46"/>
      <c r="G3" s="46"/>
      <c r="H3" s="46"/>
    </row>
    <row r="4" spans="1:8" ht="15" x14ac:dyDescent="0.3">
      <c r="B4" s="46"/>
      <c r="C4" s="46"/>
      <c r="D4" s="46"/>
      <c r="E4" s="46"/>
      <c r="F4" s="46"/>
      <c r="G4" s="46"/>
      <c r="H4" s="46"/>
    </row>
    <row r="5" spans="1:8" ht="15.75" thickBot="1" x14ac:dyDescent="0.35">
      <c r="A5" s="56" t="s">
        <v>42</v>
      </c>
      <c r="B5" s="46"/>
      <c r="C5" s="46"/>
      <c r="D5" s="46"/>
      <c r="E5" s="46"/>
      <c r="F5" s="46"/>
      <c r="G5" s="46"/>
      <c r="H5" s="46"/>
    </row>
    <row r="6" spans="1:8" ht="15.75" thickBot="1" x14ac:dyDescent="0.35">
      <c r="B6" s="53" t="s">
        <v>43</v>
      </c>
      <c r="C6" s="54" t="s">
        <v>44</v>
      </c>
      <c r="D6" s="54" t="s">
        <v>45</v>
      </c>
      <c r="E6" s="54" t="s">
        <v>46</v>
      </c>
      <c r="F6" s="54" t="s">
        <v>47</v>
      </c>
      <c r="G6" s="54" t="s">
        <v>48</v>
      </c>
      <c r="H6" s="55" t="s">
        <v>49</v>
      </c>
    </row>
    <row r="7" spans="1:8" ht="15" x14ac:dyDescent="0.3">
      <c r="B7" s="47" t="s">
        <v>50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 ht="15" x14ac:dyDescent="0.3">
      <c r="B8" s="47" t="s">
        <v>51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 ht="15" x14ac:dyDescent="0.3">
      <c r="B9" s="47" t="s">
        <v>52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 ht="15" x14ac:dyDescent="0.3">
      <c r="B10" s="47" t="s">
        <v>53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 ht="15" x14ac:dyDescent="0.3">
      <c r="B11" s="47" t="s">
        <v>54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 ht="15" x14ac:dyDescent="0.3">
      <c r="B12" s="47" t="s">
        <v>55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 ht="15" x14ac:dyDescent="0.3">
      <c r="B13" s="47" t="s">
        <v>56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 ht="15" x14ac:dyDescent="0.3">
      <c r="B14" s="47" t="s">
        <v>57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 ht="15" x14ac:dyDescent="0.3">
      <c r="B15" s="47" t="s">
        <v>58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 ht="15" x14ac:dyDescent="0.3">
      <c r="B16" s="47" t="s">
        <v>59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 ht="15" x14ac:dyDescent="0.3">
      <c r="B17" s="47" t="s">
        <v>60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 ht="15" x14ac:dyDescent="0.3">
      <c r="B18" s="47" t="s">
        <v>61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 ht="15" x14ac:dyDescent="0.3">
      <c r="B19" s="47" t="s">
        <v>62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 ht="15" x14ac:dyDescent="0.3">
      <c r="B20" s="47" t="s">
        <v>63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 ht="15" x14ac:dyDescent="0.3">
      <c r="B21" s="47" t="s">
        <v>64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 ht="15" x14ac:dyDescent="0.3">
      <c r="B22" s="47" t="s">
        <v>65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 ht="15" x14ac:dyDescent="0.3">
      <c r="B23" s="47" t="s">
        <v>66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 ht="15" x14ac:dyDescent="0.3">
      <c r="B24" s="47" t="s">
        <v>67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 ht="15" x14ac:dyDescent="0.3">
      <c r="B25" s="47" t="s">
        <v>68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 ht="15" x14ac:dyDescent="0.3">
      <c r="B26" s="47" t="s">
        <v>69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 ht="15" x14ac:dyDescent="0.3">
      <c r="B27" s="47" t="s">
        <v>70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 ht="15" x14ac:dyDescent="0.3">
      <c r="B28" s="47" t="s">
        <v>71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 x14ac:dyDescent="0.3">
      <c r="B29" s="47" t="s">
        <v>72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 x14ac:dyDescent="0.3">
      <c r="B30" s="47" t="s">
        <v>73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 x14ac:dyDescent="0.3">
      <c r="B31" s="47" t="s">
        <v>74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 x14ac:dyDescent="0.3">
      <c r="B32" s="47" t="s">
        <v>75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 x14ac:dyDescent="0.3">
      <c r="B33" s="47" t="s">
        <v>76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 x14ac:dyDescent="0.3">
      <c r="B34" s="47" t="s">
        <v>77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 x14ac:dyDescent="0.3">
      <c r="B35" s="47" t="s">
        <v>78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 x14ac:dyDescent="0.3">
      <c r="B36" s="47" t="s">
        <v>79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 x14ac:dyDescent="0.3">
      <c r="B37" s="47" t="s">
        <v>80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 x14ac:dyDescent="0.3">
      <c r="B38" s="47" t="s">
        <v>81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 x14ac:dyDescent="0.3">
      <c r="B39" s="47" t="s">
        <v>82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 x14ac:dyDescent="0.3">
      <c r="B40" s="47" t="s">
        <v>83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 x14ac:dyDescent="0.3">
      <c r="B41" s="47" t="s">
        <v>84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 x14ac:dyDescent="0.3">
      <c r="B42" s="47" t="s">
        <v>85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 x14ac:dyDescent="0.3">
      <c r="B43" s="47" t="s">
        <v>86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 x14ac:dyDescent="0.3">
      <c r="B44" s="47" t="s">
        <v>87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 x14ac:dyDescent="0.3">
      <c r="B45" s="47" t="s">
        <v>88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 x14ac:dyDescent="0.3">
      <c r="B46" s="47" t="s">
        <v>89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 x14ac:dyDescent="0.3">
      <c r="B47" s="47" t="s">
        <v>90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 x14ac:dyDescent="0.3">
      <c r="B48" s="47" t="s">
        <v>91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 x14ac:dyDescent="0.3">
      <c r="B49" s="47" t="s">
        <v>92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 x14ac:dyDescent="0.3">
      <c r="B50" s="47" t="s">
        <v>93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 x14ac:dyDescent="0.3">
      <c r="B51" s="47" t="s">
        <v>94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 x14ac:dyDescent="0.3">
      <c r="B52" s="47" t="s">
        <v>95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 x14ac:dyDescent="0.3">
      <c r="B53" s="47" t="s">
        <v>96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 x14ac:dyDescent="0.3">
      <c r="B54" s="47" t="s">
        <v>97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 x14ac:dyDescent="0.3">
      <c r="B55" s="47" t="s">
        <v>98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 x14ac:dyDescent="0.3">
      <c r="B56" s="47" t="s">
        <v>99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 x14ac:dyDescent="0.3">
      <c r="B57" s="47" t="s">
        <v>100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 x14ac:dyDescent="0.3">
      <c r="B58" s="47" t="s">
        <v>101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 x14ac:dyDescent="0.3">
      <c r="B59" s="47" t="s">
        <v>102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 x14ac:dyDescent="0.3">
      <c r="B60" s="47" t="s">
        <v>103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 x14ac:dyDescent="0.3">
      <c r="B61" s="47" t="s">
        <v>104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 x14ac:dyDescent="0.3">
      <c r="B62" s="47" t="s">
        <v>105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 x14ac:dyDescent="0.3">
      <c r="B63" s="47" t="s">
        <v>106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 x14ac:dyDescent="0.3">
      <c r="B64" s="47" t="s">
        <v>107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 x14ac:dyDescent="0.3">
      <c r="B65" s="47" t="s">
        <v>108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 x14ac:dyDescent="0.3">
      <c r="B66" s="47" t="s">
        <v>109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 x14ac:dyDescent="0.3">
      <c r="B67" s="47" t="s">
        <v>110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 x14ac:dyDescent="0.3">
      <c r="B68" s="47" t="s">
        <v>111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 x14ac:dyDescent="0.3">
      <c r="B69" s="47" t="s">
        <v>112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 x14ac:dyDescent="0.3">
      <c r="B70" s="47" t="s">
        <v>113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 x14ac:dyDescent="0.3">
      <c r="B71" s="47" t="s">
        <v>114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 x14ac:dyDescent="0.3">
      <c r="B72" s="47" t="s">
        <v>115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 x14ac:dyDescent="0.3">
      <c r="B73" s="47" t="s">
        <v>116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 x14ac:dyDescent="0.3">
      <c r="B74" s="47" t="s">
        <v>117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 x14ac:dyDescent="0.3">
      <c r="B75" s="47" t="s">
        <v>118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 x14ac:dyDescent="0.3">
      <c r="B76" s="47" t="s">
        <v>119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 x14ac:dyDescent="0.3">
      <c r="B77" s="47" t="s">
        <v>120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 x14ac:dyDescent="0.3">
      <c r="B78" s="47" t="s">
        <v>121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 x14ac:dyDescent="0.3">
      <c r="B79" s="47" t="s">
        <v>122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 x14ac:dyDescent="0.3">
      <c r="B80" s="47" t="s">
        <v>123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 x14ac:dyDescent="0.3">
      <c r="B81" s="47" t="s">
        <v>124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 x14ac:dyDescent="0.3">
      <c r="B82" s="47" t="s">
        <v>125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 x14ac:dyDescent="0.3">
      <c r="B83" s="47" t="s">
        <v>126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 x14ac:dyDescent="0.3">
      <c r="B84" s="47" t="s">
        <v>127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 x14ac:dyDescent="0.3">
      <c r="B85" s="47" t="s">
        <v>128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 x14ac:dyDescent="0.3">
      <c r="B86" s="47" t="s">
        <v>129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 x14ac:dyDescent="0.3">
      <c r="B87" s="47" t="s">
        <v>130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 x14ac:dyDescent="0.3">
      <c r="B88" s="47" t="s">
        <v>131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 x14ac:dyDescent="0.3">
      <c r="B89" s="47" t="s">
        <v>132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 x14ac:dyDescent="0.3">
      <c r="B90" s="47" t="s">
        <v>133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 x14ac:dyDescent="0.3">
      <c r="B91" s="47" t="s">
        <v>134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 x14ac:dyDescent="0.3">
      <c r="B92" s="47" t="s">
        <v>135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 x14ac:dyDescent="0.3">
      <c r="B93" s="47" t="s">
        <v>136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 x14ac:dyDescent="0.3">
      <c r="B94" s="47" t="s">
        <v>137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 x14ac:dyDescent="0.3">
      <c r="B95" s="47" t="s">
        <v>138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 x14ac:dyDescent="0.3">
      <c r="B96" s="47" t="s">
        <v>139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 x14ac:dyDescent="0.3">
      <c r="B97" s="47" t="s">
        <v>140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 x14ac:dyDescent="0.3">
      <c r="B98" s="47" t="s">
        <v>141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 x14ac:dyDescent="0.3">
      <c r="B99" s="47" t="s">
        <v>142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 x14ac:dyDescent="0.3">
      <c r="B100" s="47" t="s">
        <v>143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 x14ac:dyDescent="0.3">
      <c r="B101" s="47" t="s">
        <v>144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 x14ac:dyDescent="0.3">
      <c r="B102" s="47" t="s">
        <v>145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 x14ac:dyDescent="0.3">
      <c r="B103" s="47" t="s">
        <v>146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 x14ac:dyDescent="0.3">
      <c r="B104" s="47" t="s">
        <v>147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 x14ac:dyDescent="0.3">
      <c r="B105" s="47" t="s">
        <v>148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 x14ac:dyDescent="0.3">
      <c r="B106" s="47" t="s">
        <v>149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 x14ac:dyDescent="0.3">
      <c r="B107" s="47" t="s">
        <v>150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 x14ac:dyDescent="0.3">
      <c r="B108" s="47" t="s">
        <v>151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 x14ac:dyDescent="0.3">
      <c r="B109" s="47" t="s">
        <v>152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 x14ac:dyDescent="0.3">
      <c r="B110" s="47" t="s">
        <v>153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 x14ac:dyDescent="0.3">
      <c r="B111" s="47" t="s">
        <v>154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 x14ac:dyDescent="0.3">
      <c r="B112" s="47" t="s">
        <v>155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 x14ac:dyDescent="0.3">
      <c r="B113" s="47" t="s">
        <v>156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 x14ac:dyDescent="0.3">
      <c r="B114" s="47" t="s">
        <v>157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 x14ac:dyDescent="0.3">
      <c r="B115" s="47" t="s">
        <v>158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 x14ac:dyDescent="0.3">
      <c r="B116" s="47" t="s">
        <v>159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 x14ac:dyDescent="0.3">
      <c r="B117" s="47" t="s">
        <v>160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 x14ac:dyDescent="0.3">
      <c r="B118" s="47" t="s">
        <v>161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 x14ac:dyDescent="0.3">
      <c r="B119" s="47" t="s">
        <v>162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 x14ac:dyDescent="0.3">
      <c r="B120" s="47" t="s">
        <v>163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 x14ac:dyDescent="0.3">
      <c r="B121" s="47" t="s">
        <v>164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 x14ac:dyDescent="0.3">
      <c r="B122" s="47" t="s">
        <v>165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 x14ac:dyDescent="0.3">
      <c r="B123" s="47" t="s">
        <v>166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 x14ac:dyDescent="0.3">
      <c r="B124" s="47" t="s">
        <v>167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 x14ac:dyDescent="0.3">
      <c r="B125" s="47" t="s">
        <v>168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 x14ac:dyDescent="0.3">
      <c r="B126" s="47" t="s">
        <v>169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 x14ac:dyDescent="0.3">
      <c r="B127" s="47" t="s">
        <v>170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 x14ac:dyDescent="0.3">
      <c r="B128" s="47" t="s">
        <v>171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 x14ac:dyDescent="0.3">
      <c r="B129" s="47" t="s">
        <v>172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 x14ac:dyDescent="0.3">
      <c r="B130" s="47" t="s">
        <v>173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 x14ac:dyDescent="0.3">
      <c r="B131" s="47" t="s">
        <v>174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 x14ac:dyDescent="0.3">
      <c r="B132" s="47" t="s">
        <v>175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 x14ac:dyDescent="0.3">
      <c r="B133" s="47" t="s">
        <v>176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 x14ac:dyDescent="0.3">
      <c r="B134" s="47" t="s">
        <v>177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 x14ac:dyDescent="0.3">
      <c r="B135" s="47" t="s">
        <v>178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 x14ac:dyDescent="0.3">
      <c r="B136" s="47" t="s">
        <v>179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 x14ac:dyDescent="0.3">
      <c r="B137" s="47" t="s">
        <v>180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 x14ac:dyDescent="0.3">
      <c r="B138" s="47" t="s">
        <v>181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 x14ac:dyDescent="0.3">
      <c r="B139" s="47" t="s">
        <v>182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 x14ac:dyDescent="0.3">
      <c r="B140" s="47" t="s">
        <v>183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 x14ac:dyDescent="0.3">
      <c r="B141" s="47" t="s">
        <v>184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 x14ac:dyDescent="0.3">
      <c r="B142" s="47" t="s">
        <v>185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 x14ac:dyDescent="0.3">
      <c r="B143" s="47" t="s">
        <v>186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 x14ac:dyDescent="0.3">
      <c r="B144" s="47" t="s">
        <v>187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 x14ac:dyDescent="0.3">
      <c r="B145" s="47" t="s">
        <v>188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 x14ac:dyDescent="0.3">
      <c r="B146" s="47" t="s">
        <v>189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 x14ac:dyDescent="0.3">
      <c r="B147" s="47" t="s">
        <v>190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 x14ac:dyDescent="0.3">
      <c r="B148" s="47" t="s">
        <v>191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 x14ac:dyDescent="0.3">
      <c r="B149" s="47" t="s">
        <v>192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 x14ac:dyDescent="0.3">
      <c r="B150" s="47" t="s">
        <v>193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 x14ac:dyDescent="0.3">
      <c r="B151" s="47" t="s">
        <v>194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 x14ac:dyDescent="0.3">
      <c r="B152" s="47" t="s">
        <v>195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 x14ac:dyDescent="0.3">
      <c r="B153" s="47" t="s">
        <v>196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 x14ac:dyDescent="0.3">
      <c r="B154" s="47" t="s">
        <v>197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 x14ac:dyDescent="0.3">
      <c r="B155" s="47" t="s">
        <v>198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 x14ac:dyDescent="0.3">
      <c r="B156" s="47" t="s">
        <v>199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 x14ac:dyDescent="0.3">
      <c r="B157" s="47" t="s">
        <v>200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 x14ac:dyDescent="0.3">
      <c r="B158" s="47" t="s">
        <v>201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 x14ac:dyDescent="0.3">
      <c r="B159" s="47" t="s">
        <v>202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 x14ac:dyDescent="0.3">
      <c r="B160" s="47" t="s">
        <v>203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 x14ac:dyDescent="0.3">
      <c r="B161" s="47" t="s">
        <v>204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 x14ac:dyDescent="0.3">
      <c r="B162" s="47" t="s">
        <v>205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 x14ac:dyDescent="0.3">
      <c r="B163" s="47" t="s">
        <v>206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 x14ac:dyDescent="0.3">
      <c r="B164" s="47" t="s">
        <v>207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 x14ac:dyDescent="0.3">
      <c r="B165" s="47" t="s">
        <v>208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 x14ac:dyDescent="0.3">
      <c r="B166" s="47" t="s">
        <v>209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 x14ac:dyDescent="0.3">
      <c r="B167" s="47" t="s">
        <v>210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 x14ac:dyDescent="0.3">
      <c r="B168" s="47" t="s">
        <v>211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 x14ac:dyDescent="0.3">
      <c r="B169" s="47" t="s">
        <v>212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 x14ac:dyDescent="0.3">
      <c r="B170" s="47" t="s">
        <v>213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 x14ac:dyDescent="0.3">
      <c r="B171" s="47" t="s">
        <v>214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 x14ac:dyDescent="0.3">
      <c r="B172" s="47" t="s">
        <v>215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 x14ac:dyDescent="0.3">
      <c r="B173" s="47" t="s">
        <v>216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 x14ac:dyDescent="0.3">
      <c r="B174" s="47" t="s">
        <v>217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 x14ac:dyDescent="0.3">
      <c r="B175" s="47" t="s">
        <v>218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 x14ac:dyDescent="0.3">
      <c r="B176" s="47" t="s">
        <v>219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 x14ac:dyDescent="0.3">
      <c r="B177" s="47" t="s">
        <v>220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 x14ac:dyDescent="0.3">
      <c r="B178" s="47" t="s">
        <v>221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 x14ac:dyDescent="0.3">
      <c r="B179" s="47" t="s">
        <v>222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 x14ac:dyDescent="0.3">
      <c r="B180" s="47" t="s">
        <v>223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 x14ac:dyDescent="0.3">
      <c r="B181" s="47" t="s">
        <v>224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 x14ac:dyDescent="0.3">
      <c r="B182" s="47" t="s">
        <v>225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 x14ac:dyDescent="0.3">
      <c r="B183" s="47" t="s">
        <v>226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 x14ac:dyDescent="0.3">
      <c r="B184" s="47" t="s">
        <v>227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 x14ac:dyDescent="0.3">
      <c r="B185" s="47" t="s">
        <v>228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 x14ac:dyDescent="0.3">
      <c r="B186" s="47" t="s">
        <v>229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 x14ac:dyDescent="0.3">
      <c r="B187" s="47" t="s">
        <v>230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 x14ac:dyDescent="0.3">
      <c r="B188" s="47" t="s">
        <v>231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 x14ac:dyDescent="0.3">
      <c r="B189" s="47" t="s">
        <v>232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 x14ac:dyDescent="0.3">
      <c r="B190" s="47" t="s">
        <v>233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 x14ac:dyDescent="0.3">
      <c r="B191" s="47" t="s">
        <v>234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 x14ac:dyDescent="0.3">
      <c r="B192" s="47" t="s">
        <v>235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 x14ac:dyDescent="0.3">
      <c r="B193" s="47" t="s">
        <v>236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 x14ac:dyDescent="0.3">
      <c r="B194" s="47" t="s">
        <v>237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 x14ac:dyDescent="0.3">
      <c r="B195" s="47" t="s">
        <v>238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 x14ac:dyDescent="0.3">
      <c r="B196" s="47" t="s">
        <v>239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 x14ac:dyDescent="0.3">
      <c r="B197" s="47" t="s">
        <v>240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 x14ac:dyDescent="0.3">
      <c r="B198" s="47" t="s">
        <v>241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 x14ac:dyDescent="0.3">
      <c r="B199" s="47" t="s">
        <v>242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 x14ac:dyDescent="0.3">
      <c r="B200" s="47" t="s">
        <v>243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 x14ac:dyDescent="0.3">
      <c r="B201" s="47" t="s">
        <v>244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 x14ac:dyDescent="0.3">
      <c r="B202" s="47" t="s">
        <v>245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 x14ac:dyDescent="0.3">
      <c r="B203" s="47" t="s">
        <v>246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 x14ac:dyDescent="0.3">
      <c r="B204" s="47" t="s">
        <v>247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 x14ac:dyDescent="0.3">
      <c r="B205" s="47" t="s">
        <v>248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 x14ac:dyDescent="0.3">
      <c r="B206" s="47" t="s">
        <v>249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 x14ac:dyDescent="0.3">
      <c r="B207" s="47" t="s">
        <v>250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 x14ac:dyDescent="0.3">
      <c r="B208" s="47" t="s">
        <v>251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 x14ac:dyDescent="0.3">
      <c r="B209" s="47" t="s">
        <v>252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 x14ac:dyDescent="0.3">
      <c r="B210" s="47" t="s">
        <v>253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 x14ac:dyDescent="0.3">
      <c r="B211" s="47" t="s">
        <v>254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 x14ac:dyDescent="0.3">
      <c r="B212" s="47" t="s">
        <v>255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 x14ac:dyDescent="0.3">
      <c r="B213" s="47" t="s">
        <v>256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 x14ac:dyDescent="0.3">
      <c r="B214" s="47" t="s">
        <v>257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 x14ac:dyDescent="0.3">
      <c r="B215" s="47" t="s">
        <v>258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 x14ac:dyDescent="0.3">
      <c r="B216" s="47" t="s">
        <v>259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 x14ac:dyDescent="0.3">
      <c r="B217" s="47" t="s">
        <v>260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 x14ac:dyDescent="0.3">
      <c r="B218" s="47" t="s">
        <v>261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 x14ac:dyDescent="0.3">
      <c r="B219" s="47" t="s">
        <v>262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 x14ac:dyDescent="0.3">
      <c r="B220" s="47" t="s">
        <v>263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 x14ac:dyDescent="0.3">
      <c r="B221" s="47" t="s">
        <v>264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 x14ac:dyDescent="0.3">
      <c r="B222" s="47" t="s">
        <v>265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 x14ac:dyDescent="0.3">
      <c r="B223" s="47" t="s">
        <v>266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 x14ac:dyDescent="0.3">
      <c r="B224" s="47" t="s">
        <v>267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 x14ac:dyDescent="0.3">
      <c r="B225" s="47" t="s">
        <v>268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 x14ac:dyDescent="0.3">
      <c r="B226" s="47" t="s">
        <v>269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 x14ac:dyDescent="0.3">
      <c r="B227" s="47" t="s">
        <v>270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 x14ac:dyDescent="0.3">
      <c r="B228" s="47" t="s">
        <v>271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 x14ac:dyDescent="0.3">
      <c r="B229" s="47" t="s">
        <v>272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 x14ac:dyDescent="0.3">
      <c r="B230" s="47" t="s">
        <v>273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 x14ac:dyDescent="0.3">
      <c r="B231" s="47" t="s">
        <v>274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 x14ac:dyDescent="0.3">
      <c r="B232" s="47" t="s">
        <v>275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 x14ac:dyDescent="0.3">
      <c r="B233" s="47" t="s">
        <v>276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 x14ac:dyDescent="0.3">
      <c r="B234" s="47" t="s">
        <v>277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 x14ac:dyDescent="0.3">
      <c r="B235" s="47" t="s">
        <v>278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 x14ac:dyDescent="0.3">
      <c r="B236" s="47" t="s">
        <v>279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 x14ac:dyDescent="0.3">
      <c r="B237" s="47" t="s">
        <v>280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 x14ac:dyDescent="0.3">
      <c r="B238" s="47" t="s">
        <v>281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 x14ac:dyDescent="0.3">
      <c r="B239" s="47" t="s">
        <v>282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 x14ac:dyDescent="0.3">
      <c r="B240" s="47" t="s">
        <v>283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 x14ac:dyDescent="0.3">
      <c r="B241" s="47" t="s">
        <v>284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 x14ac:dyDescent="0.3">
      <c r="B242" s="47" t="s">
        <v>285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 x14ac:dyDescent="0.3">
      <c r="B243" s="47" t="s">
        <v>286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 x14ac:dyDescent="0.3">
      <c r="B244" s="47" t="s">
        <v>287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 x14ac:dyDescent="0.3">
      <c r="B245" s="47" t="s">
        <v>288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 x14ac:dyDescent="0.3">
      <c r="B246" s="47" t="s">
        <v>289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 x14ac:dyDescent="0.3">
      <c r="B247" s="47" t="s">
        <v>290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 x14ac:dyDescent="0.3">
      <c r="B248" s="47" t="s">
        <v>291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 x14ac:dyDescent="0.3">
      <c r="B249" s="47" t="s">
        <v>292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 x14ac:dyDescent="0.3">
      <c r="B250" s="47" t="s">
        <v>293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 x14ac:dyDescent="0.3">
      <c r="B251" s="47" t="s">
        <v>294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 x14ac:dyDescent="0.3">
      <c r="B252" s="47" t="s">
        <v>295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 x14ac:dyDescent="0.3">
      <c r="B253" s="47" t="s">
        <v>296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 x14ac:dyDescent="0.3">
      <c r="B254" s="47" t="s">
        <v>297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 x14ac:dyDescent="0.3">
      <c r="B255" s="47" t="s">
        <v>298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 x14ac:dyDescent="0.3">
      <c r="B256" s="47" t="s">
        <v>299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 x14ac:dyDescent="0.3">
      <c r="B257" s="47" t="s">
        <v>300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 x14ac:dyDescent="0.3">
      <c r="B258" s="47" t="s">
        <v>301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 x14ac:dyDescent="0.3">
      <c r="B259" s="47" t="s">
        <v>302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 x14ac:dyDescent="0.3">
      <c r="B260" s="47" t="s">
        <v>303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 x14ac:dyDescent="0.3">
      <c r="B261" s="47" t="s">
        <v>304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 x14ac:dyDescent="0.3">
      <c r="B262" s="47" t="s">
        <v>305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 x14ac:dyDescent="0.3">
      <c r="B263" s="47" t="s">
        <v>306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 x14ac:dyDescent="0.3">
      <c r="B264" s="47" t="s">
        <v>307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 x14ac:dyDescent="0.3">
      <c r="B265" s="47" t="s">
        <v>308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 x14ac:dyDescent="0.3">
      <c r="B266" s="47" t="s">
        <v>309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 x14ac:dyDescent="0.3">
      <c r="B267" s="47" t="s">
        <v>310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 x14ac:dyDescent="0.3">
      <c r="B268" s="47" t="s">
        <v>311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 x14ac:dyDescent="0.3">
      <c r="B269" s="47" t="s">
        <v>312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 x14ac:dyDescent="0.3">
      <c r="B270" s="47" t="s">
        <v>313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 x14ac:dyDescent="0.3">
      <c r="B271" s="47" t="s">
        <v>314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 x14ac:dyDescent="0.3">
      <c r="B272" s="47" t="s">
        <v>315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 x14ac:dyDescent="0.3">
      <c r="B273" s="47" t="s">
        <v>316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 x14ac:dyDescent="0.3">
      <c r="B274" s="47" t="s">
        <v>317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 x14ac:dyDescent="0.3">
      <c r="B275" s="47" t="s">
        <v>318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 x14ac:dyDescent="0.3">
      <c r="B276" s="47" t="s">
        <v>319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 x14ac:dyDescent="0.3">
      <c r="B277" s="47" t="s">
        <v>320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 x14ac:dyDescent="0.3">
      <c r="B278" s="47" t="s">
        <v>321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 x14ac:dyDescent="0.3">
      <c r="B279" s="47" t="s">
        <v>322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 x14ac:dyDescent="0.3">
      <c r="B280" s="47" t="s">
        <v>323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 x14ac:dyDescent="0.3">
      <c r="B281" s="47" t="s">
        <v>324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 x14ac:dyDescent="0.3">
      <c r="B282" s="47" t="s">
        <v>325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 x14ac:dyDescent="0.3">
      <c r="B283" s="47" t="s">
        <v>326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 x14ac:dyDescent="0.3">
      <c r="B284" s="47" t="s">
        <v>327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 x14ac:dyDescent="0.3">
      <c r="B285" s="47" t="s">
        <v>328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 x14ac:dyDescent="0.3">
      <c r="B286" s="47" t="s">
        <v>329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 x14ac:dyDescent="0.3">
      <c r="B287" s="47" t="s">
        <v>330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 x14ac:dyDescent="0.3">
      <c r="B288" s="47" t="s">
        <v>331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 x14ac:dyDescent="0.3">
      <c r="B289" s="47" t="s">
        <v>332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 x14ac:dyDescent="0.3">
      <c r="B290" s="47" t="s">
        <v>333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 x14ac:dyDescent="0.3">
      <c r="B291" s="47" t="s">
        <v>334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 x14ac:dyDescent="0.3">
      <c r="B292" s="47" t="s">
        <v>335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 x14ac:dyDescent="0.3">
      <c r="B293" s="47" t="s">
        <v>336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 x14ac:dyDescent="0.3">
      <c r="B294" s="47" t="s">
        <v>337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 x14ac:dyDescent="0.3">
      <c r="B295" s="47" t="s">
        <v>338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 x14ac:dyDescent="0.3">
      <c r="B296" s="47" t="s">
        <v>339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 x14ac:dyDescent="0.3">
      <c r="B297" s="47" t="s">
        <v>340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 x14ac:dyDescent="0.3">
      <c r="B298" s="47" t="s">
        <v>341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 x14ac:dyDescent="0.3">
      <c r="B299" s="47" t="s">
        <v>342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 x14ac:dyDescent="0.3">
      <c r="B300" s="47" t="s">
        <v>343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 x14ac:dyDescent="0.3">
      <c r="B301" s="47" t="s">
        <v>344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 x14ac:dyDescent="0.3">
      <c r="B302" s="47" t="s">
        <v>345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 x14ac:dyDescent="0.3">
      <c r="B303" s="47" t="s">
        <v>346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 x14ac:dyDescent="0.3">
      <c r="B304" s="47" t="s">
        <v>347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 x14ac:dyDescent="0.3">
      <c r="B305" s="47" t="s">
        <v>348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 x14ac:dyDescent="0.3">
      <c r="B306" s="47" t="s">
        <v>349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 x14ac:dyDescent="0.3">
      <c r="B307" s="47" t="s">
        <v>350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 x14ac:dyDescent="0.3">
      <c r="B308" s="47" t="s">
        <v>351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 x14ac:dyDescent="0.3">
      <c r="B309" s="47" t="s">
        <v>352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 x14ac:dyDescent="0.3">
      <c r="B310" s="47" t="s">
        <v>353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 x14ac:dyDescent="0.3">
      <c r="B311" s="47" t="s">
        <v>354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 x14ac:dyDescent="0.3">
      <c r="B312" s="47" t="s">
        <v>355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 x14ac:dyDescent="0.3">
      <c r="B313" s="47" t="s">
        <v>356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 x14ac:dyDescent="0.3">
      <c r="B314" s="47" t="s">
        <v>357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 x14ac:dyDescent="0.3">
      <c r="B315" s="47" t="s">
        <v>358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 x14ac:dyDescent="0.3">
      <c r="B316" s="47" t="s">
        <v>359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 x14ac:dyDescent="0.3">
      <c r="B317" s="47" t="s">
        <v>360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 x14ac:dyDescent="0.3">
      <c r="B318" s="47" t="s">
        <v>361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 x14ac:dyDescent="0.3">
      <c r="B319" s="47" t="s">
        <v>362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 x14ac:dyDescent="0.3">
      <c r="B320" s="47" t="s">
        <v>363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 x14ac:dyDescent="0.3">
      <c r="B321" s="47" t="s">
        <v>364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 x14ac:dyDescent="0.3">
      <c r="B322" s="47" t="s">
        <v>365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 x14ac:dyDescent="0.3">
      <c r="B323" s="47" t="s">
        <v>366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 x14ac:dyDescent="0.3">
      <c r="B324" s="47" t="s">
        <v>367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 x14ac:dyDescent="0.3">
      <c r="B325" s="47" t="s">
        <v>368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 x14ac:dyDescent="0.3">
      <c r="B326" s="47" t="s">
        <v>369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 x14ac:dyDescent="0.3">
      <c r="B327" s="47" t="s">
        <v>370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 x14ac:dyDescent="0.3">
      <c r="B328" s="47" t="s">
        <v>371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 x14ac:dyDescent="0.3">
      <c r="B329" s="47" t="s">
        <v>372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 x14ac:dyDescent="0.3">
      <c r="B330" s="47" t="s">
        <v>373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 x14ac:dyDescent="0.3">
      <c r="B331" s="47" t="s">
        <v>374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 x14ac:dyDescent="0.3">
      <c r="B332" s="47" t="s">
        <v>375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 x14ac:dyDescent="0.3">
      <c r="B333" s="47" t="s">
        <v>376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 x14ac:dyDescent="0.3">
      <c r="B334" s="47" t="s">
        <v>377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 x14ac:dyDescent="0.3">
      <c r="B335" s="47" t="s">
        <v>378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 x14ac:dyDescent="0.3">
      <c r="B336" s="47" t="s">
        <v>379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 x14ac:dyDescent="0.3">
      <c r="B337" s="47" t="s">
        <v>380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 x14ac:dyDescent="0.3">
      <c r="B338" s="47" t="s">
        <v>381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 x14ac:dyDescent="0.3">
      <c r="B339" s="47" t="s">
        <v>382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 x14ac:dyDescent="0.3">
      <c r="B340" s="47" t="s">
        <v>383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 x14ac:dyDescent="0.3">
      <c r="B341" s="47" t="s">
        <v>384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 x14ac:dyDescent="0.3">
      <c r="B342" s="47" t="s">
        <v>385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 x14ac:dyDescent="0.3">
      <c r="B343" s="47" t="s">
        <v>386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 x14ac:dyDescent="0.3">
      <c r="B344" s="47" t="s">
        <v>387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 x14ac:dyDescent="0.3">
      <c r="B345" s="47" t="s">
        <v>388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 x14ac:dyDescent="0.3">
      <c r="B346" s="47" t="s">
        <v>389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 x14ac:dyDescent="0.3">
      <c r="B347" s="47" t="s">
        <v>390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 x14ac:dyDescent="0.3">
      <c r="B348" s="47" t="s">
        <v>391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 x14ac:dyDescent="0.3">
      <c r="B349" s="47" t="s">
        <v>392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 x14ac:dyDescent="0.3">
      <c r="B350" s="47" t="s">
        <v>393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 x14ac:dyDescent="0.3">
      <c r="B351" s="47" t="s">
        <v>394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 x14ac:dyDescent="0.3">
      <c r="B352" s="47" t="s">
        <v>395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 x14ac:dyDescent="0.3">
      <c r="B353" s="47" t="s">
        <v>396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 x14ac:dyDescent="0.3">
      <c r="B354" s="47" t="s">
        <v>397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 x14ac:dyDescent="0.3">
      <c r="B355" s="47" t="s">
        <v>398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 x14ac:dyDescent="0.3">
      <c r="B356" s="47" t="s">
        <v>399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 x14ac:dyDescent="0.3">
      <c r="B357" s="47" t="s">
        <v>400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 x14ac:dyDescent="0.3">
      <c r="B358" s="47" t="s">
        <v>401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 x14ac:dyDescent="0.3">
      <c r="B359" s="47" t="s">
        <v>402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 x14ac:dyDescent="0.3">
      <c r="B360" s="47" t="s">
        <v>403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 x14ac:dyDescent="0.3">
      <c r="B361" s="47" t="s">
        <v>404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 x14ac:dyDescent="0.3">
      <c r="B362" s="47" t="s">
        <v>405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 x14ac:dyDescent="0.3">
      <c r="B363" s="47" t="s">
        <v>406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 x14ac:dyDescent="0.3">
      <c r="B364" s="47" t="s">
        <v>407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 x14ac:dyDescent="0.3">
      <c r="B365" s="47" t="s">
        <v>408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 x14ac:dyDescent="0.3">
      <c r="B366" s="47" t="s">
        <v>409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 x14ac:dyDescent="0.3">
      <c r="B367" s="47" t="s">
        <v>410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 x14ac:dyDescent="0.3">
      <c r="B368" s="47" t="s">
        <v>411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 x14ac:dyDescent="0.3">
      <c r="B369" s="47" t="s">
        <v>412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 x14ac:dyDescent="0.3">
      <c r="B370" s="47" t="s">
        <v>413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 x14ac:dyDescent="0.3">
      <c r="B371" s="47" t="s">
        <v>414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 x14ac:dyDescent="0.3">
      <c r="B372" s="47" t="s">
        <v>415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 x14ac:dyDescent="0.3">
      <c r="B373" s="47" t="s">
        <v>416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 x14ac:dyDescent="0.3">
      <c r="B374" s="47" t="s">
        <v>417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 x14ac:dyDescent="0.3">
      <c r="B375" s="47" t="s">
        <v>418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 x14ac:dyDescent="0.3">
      <c r="B376" s="47" t="s">
        <v>419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 x14ac:dyDescent="0.3">
      <c r="B377" s="47" t="s">
        <v>420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 x14ac:dyDescent="0.3">
      <c r="B378" s="47" t="s">
        <v>421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 x14ac:dyDescent="0.3">
      <c r="B379" s="47" t="s">
        <v>422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 x14ac:dyDescent="0.3">
      <c r="B380" s="47" t="s">
        <v>423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 x14ac:dyDescent="0.3">
      <c r="B381" s="47" t="s">
        <v>424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 x14ac:dyDescent="0.3">
      <c r="B382" s="47" t="s">
        <v>425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 x14ac:dyDescent="0.3">
      <c r="B383" s="47" t="s">
        <v>426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 x14ac:dyDescent="0.3">
      <c r="B384" s="47" t="s">
        <v>427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 x14ac:dyDescent="0.3">
      <c r="B385" s="47" t="s">
        <v>428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 x14ac:dyDescent="0.3">
      <c r="B386" s="47" t="s">
        <v>429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 x14ac:dyDescent="0.3">
      <c r="B387" s="47" t="s">
        <v>430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 x14ac:dyDescent="0.3">
      <c r="B388" s="47" t="s">
        <v>431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 x14ac:dyDescent="0.3">
      <c r="B389" s="47" t="s">
        <v>432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 x14ac:dyDescent="0.3">
      <c r="B390" s="47" t="s">
        <v>433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 x14ac:dyDescent="0.3">
      <c r="B391" s="47" t="s">
        <v>434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 x14ac:dyDescent="0.3">
      <c r="B392" s="47" t="s">
        <v>435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 x14ac:dyDescent="0.3">
      <c r="B393" s="47" t="s">
        <v>436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 x14ac:dyDescent="0.3">
      <c r="B394" s="47" t="s">
        <v>437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 x14ac:dyDescent="0.3">
      <c r="B395" s="47" t="s">
        <v>438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 x14ac:dyDescent="0.3">
      <c r="B396" s="47" t="s">
        <v>439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 x14ac:dyDescent="0.3">
      <c r="B397" s="47" t="s">
        <v>440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 x14ac:dyDescent="0.3">
      <c r="B398" s="47" t="s">
        <v>441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 x14ac:dyDescent="0.3">
      <c r="B399" s="47" t="s">
        <v>442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 x14ac:dyDescent="0.3">
      <c r="B400" s="47" t="s">
        <v>443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 x14ac:dyDescent="0.3">
      <c r="B401" s="47" t="s">
        <v>444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 x14ac:dyDescent="0.3">
      <c r="B402" s="47" t="s">
        <v>445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 x14ac:dyDescent="0.3">
      <c r="B403" s="47" t="s">
        <v>446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 x14ac:dyDescent="0.3">
      <c r="B404" s="47" t="s">
        <v>447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 x14ac:dyDescent="0.3">
      <c r="B405" s="47" t="s">
        <v>448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 x14ac:dyDescent="0.3">
      <c r="B406" s="47" t="s">
        <v>449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 x14ac:dyDescent="0.3">
      <c r="B407" s="47" t="s">
        <v>450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 x14ac:dyDescent="0.3">
      <c r="B408" s="47" t="s">
        <v>451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 x14ac:dyDescent="0.3">
      <c r="B409" s="47" t="s">
        <v>452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 x14ac:dyDescent="0.3">
      <c r="B410" s="47" t="s">
        <v>453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 x14ac:dyDescent="0.3">
      <c r="B411" s="47" t="s">
        <v>454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 x14ac:dyDescent="0.3">
      <c r="B412" s="47" t="s">
        <v>455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 x14ac:dyDescent="0.3">
      <c r="B413" s="47" t="s">
        <v>456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 x14ac:dyDescent="0.3">
      <c r="B414" s="47" t="s">
        <v>457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 x14ac:dyDescent="0.3">
      <c r="B415" s="47" t="s">
        <v>458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 x14ac:dyDescent="0.3">
      <c r="B416" s="47" t="s">
        <v>459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 x14ac:dyDescent="0.3">
      <c r="B417" s="47" t="s">
        <v>460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 x14ac:dyDescent="0.3">
      <c r="B418" s="47" t="s">
        <v>461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 x14ac:dyDescent="0.3">
      <c r="B419" s="47" t="s">
        <v>462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 x14ac:dyDescent="0.3">
      <c r="B420" s="47" t="s">
        <v>463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 x14ac:dyDescent="0.3">
      <c r="B421" s="47" t="s">
        <v>464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 x14ac:dyDescent="0.3">
      <c r="B422" s="47" t="s">
        <v>465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 x14ac:dyDescent="0.3">
      <c r="B423" s="47" t="s">
        <v>466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 x14ac:dyDescent="0.3">
      <c r="B424" s="47" t="s">
        <v>467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 x14ac:dyDescent="0.3">
      <c r="B425" s="47" t="s">
        <v>468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 x14ac:dyDescent="0.3">
      <c r="B426" s="47" t="s">
        <v>469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 x14ac:dyDescent="0.3">
      <c r="B427" s="47" t="s">
        <v>470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 x14ac:dyDescent="0.3">
      <c r="B428" s="47" t="s">
        <v>471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 x14ac:dyDescent="0.3">
      <c r="B429" s="47" t="s">
        <v>472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 x14ac:dyDescent="0.3">
      <c r="B430" s="47" t="s">
        <v>473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 x14ac:dyDescent="0.3">
      <c r="B431" s="47" t="s">
        <v>474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 x14ac:dyDescent="0.3">
      <c r="B432" s="47" t="s">
        <v>475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 x14ac:dyDescent="0.3">
      <c r="B433" s="47" t="s">
        <v>476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 x14ac:dyDescent="0.3">
      <c r="B434" s="47" t="s">
        <v>477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 x14ac:dyDescent="0.3">
      <c r="B435" s="47" t="s">
        <v>478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 x14ac:dyDescent="0.3">
      <c r="B436" s="47" t="s">
        <v>479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 x14ac:dyDescent="0.3">
      <c r="B437" s="47" t="s">
        <v>480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 x14ac:dyDescent="0.3">
      <c r="B438" s="47" t="s">
        <v>481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 x14ac:dyDescent="0.3">
      <c r="B439" s="47" t="s">
        <v>482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 x14ac:dyDescent="0.3">
      <c r="B440" s="47" t="s">
        <v>483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 x14ac:dyDescent="0.3">
      <c r="B441" s="47" t="s">
        <v>484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 x14ac:dyDescent="0.3">
      <c r="B442" s="47" t="s">
        <v>485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 x14ac:dyDescent="0.3">
      <c r="B443" s="47" t="s">
        <v>486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 x14ac:dyDescent="0.3">
      <c r="B444" s="47" t="s">
        <v>487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 x14ac:dyDescent="0.3">
      <c r="B445" s="47" t="s">
        <v>488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 x14ac:dyDescent="0.3">
      <c r="B446" s="47" t="s">
        <v>489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 x14ac:dyDescent="0.3">
      <c r="B447" s="47" t="s">
        <v>490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 x14ac:dyDescent="0.3">
      <c r="B448" s="47" t="s">
        <v>491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 x14ac:dyDescent="0.3">
      <c r="B449" s="47" t="s">
        <v>492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 x14ac:dyDescent="0.3">
      <c r="B450" s="47" t="s">
        <v>493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 x14ac:dyDescent="0.3">
      <c r="B451" s="47" t="s">
        <v>494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 x14ac:dyDescent="0.3">
      <c r="B452" s="47" t="s">
        <v>495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 x14ac:dyDescent="0.3">
      <c r="B453" s="47" t="s">
        <v>496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 x14ac:dyDescent="0.3">
      <c r="B454" s="47" t="s">
        <v>497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 x14ac:dyDescent="0.3">
      <c r="B455" s="47" t="s">
        <v>498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 x14ac:dyDescent="0.3">
      <c r="B456" s="47" t="s">
        <v>499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 x14ac:dyDescent="0.3">
      <c r="B457" s="47" t="s">
        <v>500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 x14ac:dyDescent="0.3">
      <c r="B458" s="47" t="s">
        <v>501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 x14ac:dyDescent="0.3">
      <c r="B459" s="47" t="s">
        <v>502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 x14ac:dyDescent="0.3">
      <c r="B460" s="47" t="s">
        <v>503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 x14ac:dyDescent="0.3">
      <c r="B461" s="47" t="s">
        <v>504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 x14ac:dyDescent="0.3">
      <c r="B462" s="47" t="s">
        <v>505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 x14ac:dyDescent="0.3">
      <c r="B463" s="47" t="s">
        <v>506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 x14ac:dyDescent="0.3">
      <c r="B464" s="47" t="s">
        <v>507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 x14ac:dyDescent="0.3">
      <c r="B465" s="47" t="s">
        <v>508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 x14ac:dyDescent="0.3">
      <c r="B466" s="47" t="s">
        <v>509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 x14ac:dyDescent="0.3">
      <c r="B467" s="47" t="s">
        <v>510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 x14ac:dyDescent="0.3">
      <c r="B468" s="47" t="s">
        <v>511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 x14ac:dyDescent="0.3">
      <c r="B469" s="47" t="s">
        <v>512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 x14ac:dyDescent="0.3">
      <c r="B470" s="47" t="s">
        <v>513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 x14ac:dyDescent="0.3">
      <c r="B471" s="47" t="s">
        <v>514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 x14ac:dyDescent="0.3">
      <c r="B472" s="47" t="s">
        <v>515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 x14ac:dyDescent="0.3">
      <c r="B473" s="47" t="s">
        <v>516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 x14ac:dyDescent="0.3">
      <c r="B474" s="47" t="s">
        <v>517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 x14ac:dyDescent="0.3">
      <c r="B475" s="47" t="s">
        <v>518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 x14ac:dyDescent="0.3">
      <c r="B476" s="47" t="s">
        <v>519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 x14ac:dyDescent="0.3">
      <c r="B477" s="47" t="s">
        <v>520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 x14ac:dyDescent="0.3">
      <c r="B478" s="47" t="s">
        <v>521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 x14ac:dyDescent="0.3">
      <c r="B479" s="47" t="s">
        <v>522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 x14ac:dyDescent="0.3">
      <c r="B480" s="47" t="s">
        <v>523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 x14ac:dyDescent="0.3">
      <c r="B481" s="47" t="s">
        <v>524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 x14ac:dyDescent="0.3">
      <c r="B482" s="47" t="s">
        <v>525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 x14ac:dyDescent="0.3">
      <c r="B483" s="47" t="s">
        <v>526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 x14ac:dyDescent="0.3">
      <c r="B484" s="47" t="s">
        <v>527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 x14ac:dyDescent="0.3">
      <c r="B485" s="47" t="s">
        <v>528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 x14ac:dyDescent="0.3">
      <c r="B486" s="47" t="s">
        <v>529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 x14ac:dyDescent="0.3">
      <c r="B487" s="47" t="s">
        <v>530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 x14ac:dyDescent="0.3">
      <c r="B488" s="47" t="s">
        <v>531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 x14ac:dyDescent="0.3">
      <c r="B489" s="47" t="s">
        <v>532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 x14ac:dyDescent="0.3">
      <c r="B490" s="47" t="s">
        <v>533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 x14ac:dyDescent="0.3">
      <c r="B491" s="47" t="s">
        <v>534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 x14ac:dyDescent="0.3">
      <c r="B492" s="47" t="s">
        <v>535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 x14ac:dyDescent="0.3">
      <c r="B493" s="47" t="s">
        <v>536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 x14ac:dyDescent="0.3">
      <c r="B494" s="47" t="s">
        <v>537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 x14ac:dyDescent="0.3">
      <c r="B495" s="47" t="s">
        <v>538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 x14ac:dyDescent="0.3">
      <c r="B496" s="47" t="s">
        <v>539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 x14ac:dyDescent="0.3">
      <c r="B497" s="47" t="s">
        <v>540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 x14ac:dyDescent="0.3">
      <c r="B498" s="47" t="s">
        <v>541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 x14ac:dyDescent="0.3">
      <c r="B499" s="47" t="s">
        <v>542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 x14ac:dyDescent="0.3">
      <c r="B500" s="47" t="s">
        <v>543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 x14ac:dyDescent="0.3">
      <c r="B501" s="47" t="s">
        <v>544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 x14ac:dyDescent="0.3">
      <c r="B502" s="47" t="s">
        <v>545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 x14ac:dyDescent="0.3">
      <c r="B503" s="47" t="s">
        <v>546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 x14ac:dyDescent="0.3">
      <c r="B504" s="47" t="s">
        <v>547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 x14ac:dyDescent="0.3">
      <c r="B505" s="47" t="s">
        <v>548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" thickBot="1" x14ac:dyDescent="0.35">
      <c r="B506" s="50" t="s">
        <v>549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 x14ac:dyDescent="0.3">
      <c r="B507" s="46"/>
      <c r="C507" s="46"/>
      <c r="D507" s="46"/>
      <c r="E507" s="46"/>
      <c r="F507" s="46"/>
      <c r="G507" s="46"/>
      <c r="H507" s="46"/>
    </row>
    <row r="508" spans="1:8" ht="15" thickBot="1" x14ac:dyDescent="0.35">
      <c r="A508" s="56" t="s">
        <v>550</v>
      </c>
      <c r="B508" s="46"/>
      <c r="C508" s="46"/>
      <c r="D508" s="46"/>
      <c r="E508" s="46"/>
      <c r="F508" s="46"/>
      <c r="G508" s="46"/>
      <c r="H508" s="46"/>
    </row>
    <row r="509" spans="1:8" ht="15" thickBot="1" x14ac:dyDescent="0.35">
      <c r="B509" s="53" t="s">
        <v>43</v>
      </c>
      <c r="C509" s="54" t="s">
        <v>44</v>
      </c>
      <c r="D509" s="54" t="s">
        <v>45</v>
      </c>
      <c r="E509" s="54" t="s">
        <v>551</v>
      </c>
      <c r="F509" s="54" t="s">
        <v>552</v>
      </c>
      <c r="G509" s="54" t="s">
        <v>48</v>
      </c>
      <c r="H509" s="55" t="s">
        <v>49</v>
      </c>
    </row>
    <row r="510" spans="1:8" x14ac:dyDescent="0.3">
      <c r="B510" s="47" t="s">
        <v>553</v>
      </c>
      <c r="C510" s="48" t="s">
        <v>16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 x14ac:dyDescent="0.3">
      <c r="B511" s="47" t="s">
        <v>554</v>
      </c>
      <c r="C511" s="48" t="s">
        <v>16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 x14ac:dyDescent="0.3">
      <c r="B512" s="47" t="s">
        <v>555</v>
      </c>
      <c r="C512" s="48" t="s">
        <v>16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 x14ac:dyDescent="0.3">
      <c r="B513" s="47" t="s">
        <v>556</v>
      </c>
      <c r="C513" s="48" t="s">
        <v>16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 x14ac:dyDescent="0.3">
      <c r="B514" s="47" t="s">
        <v>557</v>
      </c>
      <c r="C514" s="48" t="s">
        <v>16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 x14ac:dyDescent="0.3">
      <c r="B515" s="47" t="s">
        <v>558</v>
      </c>
      <c r="C515" s="48" t="s">
        <v>16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 x14ac:dyDescent="0.3">
      <c r="B516" s="47" t="s">
        <v>559</v>
      </c>
      <c r="C516" s="48" t="s">
        <v>16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 x14ac:dyDescent="0.3">
      <c r="B517" s="47" t="s">
        <v>560</v>
      </c>
      <c r="C517" s="48" t="s">
        <v>16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 x14ac:dyDescent="0.3">
      <c r="B518" s="47" t="s">
        <v>561</v>
      </c>
      <c r="C518" s="48" t="s">
        <v>16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 x14ac:dyDescent="0.3">
      <c r="B519" s="47" t="s">
        <v>562</v>
      </c>
      <c r="C519" s="48" t="s">
        <v>16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 x14ac:dyDescent="0.3">
      <c r="B520" s="47" t="s">
        <v>563</v>
      </c>
      <c r="C520" s="48" t="s">
        <v>16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 x14ac:dyDescent="0.3">
      <c r="B521" s="47" t="s">
        <v>564</v>
      </c>
      <c r="C521" s="48" t="s">
        <v>16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 x14ac:dyDescent="0.3">
      <c r="B522" s="47" t="s">
        <v>565</v>
      </c>
      <c r="C522" s="48" t="s">
        <v>16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 x14ac:dyDescent="0.3">
      <c r="B523" s="47" t="s">
        <v>566</v>
      </c>
      <c r="C523" s="48" t="s">
        <v>16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 x14ac:dyDescent="0.3">
      <c r="B524" s="47" t="s">
        <v>567</v>
      </c>
      <c r="C524" s="48" t="s">
        <v>16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 x14ac:dyDescent="0.3">
      <c r="B525" s="47" t="s">
        <v>568</v>
      </c>
      <c r="C525" s="48" t="s">
        <v>16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 x14ac:dyDescent="0.3">
      <c r="B526" s="47" t="s">
        <v>569</v>
      </c>
      <c r="C526" s="48" t="s">
        <v>16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 x14ac:dyDescent="0.3">
      <c r="B527" s="47" t="s">
        <v>570</v>
      </c>
      <c r="C527" s="48" t="s">
        <v>16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 x14ac:dyDescent="0.3">
      <c r="B528" s="47" t="s">
        <v>571</v>
      </c>
      <c r="C528" s="48" t="s">
        <v>16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 x14ac:dyDescent="0.3">
      <c r="B529" s="47" t="s">
        <v>572</v>
      </c>
      <c r="C529" s="48" t="s">
        <v>16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 x14ac:dyDescent="0.3">
      <c r="B530" s="47" t="s">
        <v>573</v>
      </c>
      <c r="C530" s="48" t="s">
        <v>16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 x14ac:dyDescent="0.3">
      <c r="B531" s="47" t="s">
        <v>574</v>
      </c>
      <c r="C531" s="48" t="s">
        <v>16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 x14ac:dyDescent="0.3">
      <c r="B532" s="47" t="s">
        <v>575</v>
      </c>
      <c r="C532" s="48" t="s">
        <v>16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 x14ac:dyDescent="0.3">
      <c r="B533" s="47" t="s">
        <v>576</v>
      </c>
      <c r="C533" s="48" t="s">
        <v>16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 x14ac:dyDescent="0.3">
      <c r="B534" s="47" t="s">
        <v>577</v>
      </c>
      <c r="C534" s="48" t="s">
        <v>16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 x14ac:dyDescent="0.3">
      <c r="B535" s="47" t="s">
        <v>578</v>
      </c>
      <c r="C535" s="48" t="s">
        <v>579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 x14ac:dyDescent="0.3">
      <c r="B536" s="47" t="s">
        <v>580</v>
      </c>
      <c r="C536" s="48" t="s">
        <v>579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 x14ac:dyDescent="0.3">
      <c r="B537" s="47" t="s">
        <v>581</v>
      </c>
      <c r="C537" s="48" t="s">
        <v>579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 x14ac:dyDescent="0.3">
      <c r="B538" s="47" t="s">
        <v>582</v>
      </c>
      <c r="C538" s="48" t="s">
        <v>579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 x14ac:dyDescent="0.3">
      <c r="B539" s="47" t="s">
        <v>583</v>
      </c>
      <c r="C539" s="48" t="s">
        <v>579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 x14ac:dyDescent="0.3">
      <c r="B540" s="47" t="s">
        <v>584</v>
      </c>
      <c r="C540" s="48" t="s">
        <v>579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 x14ac:dyDescent="0.3">
      <c r="B541" s="47" t="s">
        <v>585</v>
      </c>
      <c r="C541" s="48" t="s">
        <v>579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 x14ac:dyDescent="0.3">
      <c r="B542" s="47" t="s">
        <v>586</v>
      </c>
      <c r="C542" s="48" t="s">
        <v>579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 x14ac:dyDescent="0.3">
      <c r="B543" s="47" t="s">
        <v>587</v>
      </c>
      <c r="C543" s="48" t="s">
        <v>579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 x14ac:dyDescent="0.3">
      <c r="B544" s="47" t="s">
        <v>588</v>
      </c>
      <c r="C544" s="48" t="s">
        <v>579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 x14ac:dyDescent="0.3">
      <c r="B545" s="47" t="s">
        <v>589</v>
      </c>
      <c r="C545" s="48" t="s">
        <v>579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 x14ac:dyDescent="0.3">
      <c r="B546" s="47" t="s">
        <v>590</v>
      </c>
      <c r="C546" s="48" t="s">
        <v>579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 x14ac:dyDescent="0.3">
      <c r="B547" s="47" t="s">
        <v>591</v>
      </c>
      <c r="C547" s="48" t="s">
        <v>579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 x14ac:dyDescent="0.3">
      <c r="B548" s="47" t="s">
        <v>592</v>
      </c>
      <c r="C548" s="48" t="s">
        <v>579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 x14ac:dyDescent="0.3">
      <c r="B549" s="47" t="s">
        <v>593</v>
      </c>
      <c r="C549" s="48" t="s">
        <v>579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 x14ac:dyDescent="0.3">
      <c r="B550" s="47" t="s">
        <v>594</v>
      </c>
      <c r="C550" s="48" t="s">
        <v>579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 x14ac:dyDescent="0.3">
      <c r="B551" s="47" t="s">
        <v>595</v>
      </c>
      <c r="C551" s="48" t="s">
        <v>579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 x14ac:dyDescent="0.3">
      <c r="B552" s="47" t="s">
        <v>596</v>
      </c>
      <c r="C552" s="48" t="s">
        <v>579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 x14ac:dyDescent="0.3">
      <c r="B553" s="47" t="s">
        <v>597</v>
      </c>
      <c r="C553" s="48" t="s">
        <v>579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 x14ac:dyDescent="0.3">
      <c r="B554" s="47" t="s">
        <v>598</v>
      </c>
      <c r="C554" s="48" t="s">
        <v>579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 x14ac:dyDescent="0.3">
      <c r="B555" s="47" t="s">
        <v>599</v>
      </c>
      <c r="C555" s="48" t="s">
        <v>579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 x14ac:dyDescent="0.3">
      <c r="B556" s="47" t="s">
        <v>600</v>
      </c>
      <c r="C556" s="48" t="s">
        <v>579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 x14ac:dyDescent="0.3">
      <c r="B557" s="47" t="s">
        <v>601</v>
      </c>
      <c r="C557" s="48" t="s">
        <v>579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 x14ac:dyDescent="0.3">
      <c r="B558" s="47" t="s">
        <v>602</v>
      </c>
      <c r="C558" s="48" t="s">
        <v>579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 x14ac:dyDescent="0.3">
      <c r="B559" s="47" t="s">
        <v>603</v>
      </c>
      <c r="C559" s="48" t="s">
        <v>579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 x14ac:dyDescent="0.3">
      <c r="B560" s="47" t="s">
        <v>604</v>
      </c>
      <c r="C560" s="48" t="s">
        <v>25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 x14ac:dyDescent="0.3">
      <c r="B561" s="47" t="s">
        <v>605</v>
      </c>
      <c r="C561" s="48" t="s">
        <v>25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 x14ac:dyDescent="0.3">
      <c r="B562" s="47" t="s">
        <v>606</v>
      </c>
      <c r="C562" s="48" t="s">
        <v>25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 x14ac:dyDescent="0.3">
      <c r="B563" s="47" t="s">
        <v>607</v>
      </c>
      <c r="C563" s="48" t="s">
        <v>25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 x14ac:dyDescent="0.3">
      <c r="B564" s="47" t="s">
        <v>608</v>
      </c>
      <c r="C564" s="48" t="s">
        <v>25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 x14ac:dyDescent="0.3">
      <c r="B565" s="47" t="s">
        <v>609</v>
      </c>
      <c r="C565" s="48" t="s">
        <v>25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 x14ac:dyDescent="0.3">
      <c r="B566" s="47" t="s">
        <v>610</v>
      </c>
      <c r="C566" s="48" t="s">
        <v>25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 x14ac:dyDescent="0.3">
      <c r="B567" s="47" t="s">
        <v>611</v>
      </c>
      <c r="C567" s="48" t="s">
        <v>25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 x14ac:dyDescent="0.3">
      <c r="B568" s="47" t="s">
        <v>612</v>
      </c>
      <c r="C568" s="48" t="s">
        <v>25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 x14ac:dyDescent="0.3">
      <c r="B569" s="47" t="s">
        <v>613</v>
      </c>
      <c r="C569" s="48" t="s">
        <v>25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 x14ac:dyDescent="0.3">
      <c r="B570" s="47" t="s">
        <v>614</v>
      </c>
      <c r="C570" s="48" t="s">
        <v>25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 x14ac:dyDescent="0.3">
      <c r="B571" s="47" t="s">
        <v>615</v>
      </c>
      <c r="C571" s="48" t="s">
        <v>25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 x14ac:dyDescent="0.3">
      <c r="B572" s="47" t="s">
        <v>616</v>
      </c>
      <c r="C572" s="48" t="s">
        <v>25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 x14ac:dyDescent="0.3">
      <c r="B573" s="47" t="s">
        <v>617</v>
      </c>
      <c r="C573" s="48" t="s">
        <v>25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 x14ac:dyDescent="0.3">
      <c r="B574" s="47" t="s">
        <v>618</v>
      </c>
      <c r="C574" s="48" t="s">
        <v>25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 x14ac:dyDescent="0.3">
      <c r="B575" s="47" t="s">
        <v>619</v>
      </c>
      <c r="C575" s="48" t="s">
        <v>25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 x14ac:dyDescent="0.3">
      <c r="B576" s="47" t="s">
        <v>620</v>
      </c>
      <c r="C576" s="48" t="s">
        <v>25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 x14ac:dyDescent="0.3">
      <c r="B577" s="47" t="s">
        <v>621</v>
      </c>
      <c r="C577" s="48" t="s">
        <v>25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 x14ac:dyDescent="0.3">
      <c r="B578" s="47" t="s">
        <v>622</v>
      </c>
      <c r="C578" s="48" t="s">
        <v>25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 x14ac:dyDescent="0.3">
      <c r="B579" s="47" t="s">
        <v>623</v>
      </c>
      <c r="C579" s="48" t="s">
        <v>25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 x14ac:dyDescent="0.3">
      <c r="B580" s="47" t="s">
        <v>624</v>
      </c>
      <c r="C580" s="48" t="s">
        <v>25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 x14ac:dyDescent="0.3">
      <c r="B581" s="47" t="s">
        <v>625</v>
      </c>
      <c r="C581" s="48" t="s">
        <v>25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 x14ac:dyDescent="0.3">
      <c r="B582" s="47" t="s">
        <v>626</v>
      </c>
      <c r="C582" s="48" t="s">
        <v>25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 x14ac:dyDescent="0.3">
      <c r="B583" s="47" t="s">
        <v>627</v>
      </c>
      <c r="C583" s="48" t="s">
        <v>25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 x14ac:dyDescent="0.3">
      <c r="B584" s="47" t="s">
        <v>628</v>
      </c>
      <c r="C584" s="48" t="s">
        <v>25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 x14ac:dyDescent="0.3">
      <c r="B585" s="47" t="s">
        <v>629</v>
      </c>
      <c r="C585" s="48" t="s">
        <v>630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 x14ac:dyDescent="0.3">
      <c r="B586" s="47" t="s">
        <v>631</v>
      </c>
      <c r="C586" s="48" t="s">
        <v>630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 x14ac:dyDescent="0.3">
      <c r="B587" s="47" t="s">
        <v>632</v>
      </c>
      <c r="C587" s="48" t="s">
        <v>630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 x14ac:dyDescent="0.3">
      <c r="B588" s="47" t="s">
        <v>633</v>
      </c>
      <c r="C588" s="48" t="s">
        <v>630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 x14ac:dyDescent="0.3">
      <c r="B589" s="47" t="s">
        <v>634</v>
      </c>
      <c r="C589" s="48" t="s">
        <v>630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 x14ac:dyDescent="0.3">
      <c r="B590" s="47" t="s">
        <v>635</v>
      </c>
      <c r="C590" s="48" t="s">
        <v>21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 x14ac:dyDescent="0.3">
      <c r="B591" s="47" t="s">
        <v>636</v>
      </c>
      <c r="C591" s="48" t="s">
        <v>21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 x14ac:dyDescent="0.3">
      <c r="B592" s="47" t="s">
        <v>637</v>
      </c>
      <c r="C592" s="48" t="s">
        <v>21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 x14ac:dyDescent="0.3">
      <c r="B593" s="47" t="s">
        <v>638</v>
      </c>
      <c r="C593" s="48" t="s">
        <v>21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 x14ac:dyDescent="0.3">
      <c r="B594" s="47" t="s">
        <v>639</v>
      </c>
      <c r="C594" s="48" t="s">
        <v>21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 x14ac:dyDescent="0.3">
      <c r="B595" s="47" t="s">
        <v>640</v>
      </c>
      <c r="C595" s="48" t="s">
        <v>21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 x14ac:dyDescent="0.3">
      <c r="B596" s="47" t="s">
        <v>641</v>
      </c>
      <c r="C596" s="48" t="s">
        <v>21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 x14ac:dyDescent="0.3">
      <c r="B597" s="47" t="s">
        <v>642</v>
      </c>
      <c r="C597" s="48" t="s">
        <v>21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 x14ac:dyDescent="0.3">
      <c r="B598" s="47" t="s">
        <v>643</v>
      </c>
      <c r="C598" s="48" t="s">
        <v>21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 x14ac:dyDescent="0.3">
      <c r="B599" s="47" t="s">
        <v>644</v>
      </c>
      <c r="C599" s="48" t="s">
        <v>21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 x14ac:dyDescent="0.3">
      <c r="B600" s="47" t="s">
        <v>645</v>
      </c>
      <c r="C600" s="48" t="s">
        <v>21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 x14ac:dyDescent="0.3">
      <c r="B601" s="47" t="s">
        <v>646</v>
      </c>
      <c r="C601" s="48" t="s">
        <v>21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 x14ac:dyDescent="0.3">
      <c r="B602" s="47" t="s">
        <v>647</v>
      </c>
      <c r="C602" s="48" t="s">
        <v>21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 x14ac:dyDescent="0.3">
      <c r="B603" s="47" t="s">
        <v>648</v>
      </c>
      <c r="C603" s="48" t="s">
        <v>21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 x14ac:dyDescent="0.3">
      <c r="B604" s="47" t="s">
        <v>649</v>
      </c>
      <c r="C604" s="48" t="s">
        <v>21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 x14ac:dyDescent="0.3">
      <c r="B605" s="47" t="s">
        <v>650</v>
      </c>
      <c r="C605" s="48" t="s">
        <v>21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 x14ac:dyDescent="0.3">
      <c r="B606" s="47" t="s">
        <v>651</v>
      </c>
      <c r="C606" s="48" t="s">
        <v>21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 x14ac:dyDescent="0.3">
      <c r="B607" s="47" t="s">
        <v>652</v>
      </c>
      <c r="C607" s="48" t="s">
        <v>21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 x14ac:dyDescent="0.3">
      <c r="B608" s="47" t="s">
        <v>653</v>
      </c>
      <c r="C608" s="48" t="s">
        <v>21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 x14ac:dyDescent="0.3">
      <c r="B609" s="47" t="s">
        <v>654</v>
      </c>
      <c r="C609" s="48" t="s">
        <v>655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 x14ac:dyDescent="0.3">
      <c r="B610" s="47" t="s">
        <v>656</v>
      </c>
      <c r="C610" s="48" t="s">
        <v>657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 x14ac:dyDescent="0.3">
      <c r="B611" s="47" t="s">
        <v>658</v>
      </c>
      <c r="C611" s="48" t="s">
        <v>21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 x14ac:dyDescent="0.3">
      <c r="B612" s="47" t="s">
        <v>659</v>
      </c>
      <c r="C612" s="48" t="s">
        <v>21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 x14ac:dyDescent="0.3">
      <c r="B613" s="47" t="s">
        <v>660</v>
      </c>
      <c r="C613" s="48" t="s">
        <v>21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 x14ac:dyDescent="0.3">
      <c r="B614" s="47" t="s">
        <v>661</v>
      </c>
      <c r="C614" s="48" t="s">
        <v>655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 x14ac:dyDescent="0.3">
      <c r="B615" s="47" t="s">
        <v>662</v>
      </c>
      <c r="C615" s="48" t="s">
        <v>657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 x14ac:dyDescent="0.3">
      <c r="B616" s="47" t="s">
        <v>663</v>
      </c>
      <c r="C616" s="48" t="s">
        <v>21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 x14ac:dyDescent="0.3">
      <c r="B617" s="47" t="s">
        <v>664</v>
      </c>
      <c r="C617" s="48" t="s">
        <v>21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 x14ac:dyDescent="0.3">
      <c r="B618" s="47" t="s">
        <v>665</v>
      </c>
      <c r="C618" s="48" t="s">
        <v>21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 x14ac:dyDescent="0.3">
      <c r="B619" s="47" t="s">
        <v>666</v>
      </c>
      <c r="C619" s="48" t="s">
        <v>655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 x14ac:dyDescent="0.3">
      <c r="B620" s="47" t="s">
        <v>667</v>
      </c>
      <c r="C620" s="48" t="s">
        <v>657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 x14ac:dyDescent="0.3">
      <c r="B621" s="47" t="s">
        <v>668</v>
      </c>
      <c r="C621" s="48" t="s">
        <v>21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 x14ac:dyDescent="0.3">
      <c r="B622" s="47" t="s">
        <v>669</v>
      </c>
      <c r="C622" s="48" t="s">
        <v>21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 x14ac:dyDescent="0.3">
      <c r="B623" s="47" t="s">
        <v>670</v>
      </c>
      <c r="C623" s="48" t="s">
        <v>21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 x14ac:dyDescent="0.3">
      <c r="B624" s="47" t="s">
        <v>671</v>
      </c>
      <c r="C624" s="48" t="s">
        <v>655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 x14ac:dyDescent="0.3">
      <c r="B625" s="47" t="s">
        <v>672</v>
      </c>
      <c r="C625" s="48" t="s">
        <v>657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 x14ac:dyDescent="0.3">
      <c r="B626" s="47" t="s">
        <v>673</v>
      </c>
      <c r="C626" s="48" t="s">
        <v>21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 x14ac:dyDescent="0.3">
      <c r="B627" s="47" t="s">
        <v>674</v>
      </c>
      <c r="C627" s="48" t="s">
        <v>21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 x14ac:dyDescent="0.3">
      <c r="B628" s="47" t="s">
        <v>675</v>
      </c>
      <c r="C628" s="48" t="s">
        <v>21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 x14ac:dyDescent="0.3">
      <c r="B629" s="47" t="s">
        <v>676</v>
      </c>
      <c r="C629" s="48" t="s">
        <v>655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 x14ac:dyDescent="0.3">
      <c r="B630" s="47" t="s">
        <v>677</v>
      </c>
      <c r="C630" s="48" t="s">
        <v>657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 x14ac:dyDescent="0.3">
      <c r="B631" s="47" t="s">
        <v>678</v>
      </c>
      <c r="C631" s="48" t="s">
        <v>21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 x14ac:dyDescent="0.3">
      <c r="B632" s="47" t="s">
        <v>679</v>
      </c>
      <c r="C632" s="48" t="s">
        <v>21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 x14ac:dyDescent="0.3">
      <c r="B633" s="47" t="s">
        <v>680</v>
      </c>
      <c r="C633" s="48" t="s">
        <v>21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 x14ac:dyDescent="0.3">
      <c r="B634" s="47" t="s">
        <v>681</v>
      </c>
      <c r="C634" s="48" t="s">
        <v>655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 x14ac:dyDescent="0.3">
      <c r="B635" s="47" t="s">
        <v>682</v>
      </c>
      <c r="C635" s="48" t="s">
        <v>657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 x14ac:dyDescent="0.3">
      <c r="B636" s="47" t="s">
        <v>683</v>
      </c>
      <c r="C636" s="48" t="s">
        <v>21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 x14ac:dyDescent="0.3">
      <c r="B637" s="47" t="s">
        <v>684</v>
      </c>
      <c r="C637" s="48" t="s">
        <v>21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 x14ac:dyDescent="0.3">
      <c r="B638" s="47" t="s">
        <v>685</v>
      </c>
      <c r="C638" s="48" t="s">
        <v>21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 x14ac:dyDescent="0.3">
      <c r="B639" s="47" t="s">
        <v>686</v>
      </c>
      <c r="C639" s="48" t="s">
        <v>655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 x14ac:dyDescent="0.3">
      <c r="B640" s="47" t="s">
        <v>687</v>
      </c>
      <c r="C640" s="48" t="s">
        <v>657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 x14ac:dyDescent="0.3">
      <c r="B641" s="47" t="s">
        <v>688</v>
      </c>
      <c r="C641" s="48" t="s">
        <v>21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 x14ac:dyDescent="0.3">
      <c r="B642" s="47" t="s">
        <v>689</v>
      </c>
      <c r="C642" s="48" t="s">
        <v>21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 x14ac:dyDescent="0.3">
      <c r="B643" s="47" t="s">
        <v>690</v>
      </c>
      <c r="C643" s="48" t="s">
        <v>21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 x14ac:dyDescent="0.3">
      <c r="B644" s="47" t="s">
        <v>691</v>
      </c>
      <c r="C644" s="48" t="s">
        <v>655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 x14ac:dyDescent="0.3">
      <c r="B645" s="47" t="s">
        <v>692</v>
      </c>
      <c r="C645" s="48" t="s">
        <v>657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 x14ac:dyDescent="0.3">
      <c r="B646" s="47" t="s">
        <v>693</v>
      </c>
      <c r="C646" s="48" t="s">
        <v>21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 x14ac:dyDescent="0.3">
      <c r="B647" s="47" t="s">
        <v>694</v>
      </c>
      <c r="C647" s="48" t="s">
        <v>21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 x14ac:dyDescent="0.3">
      <c r="B648" s="47" t="s">
        <v>695</v>
      </c>
      <c r="C648" s="48" t="s">
        <v>21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 x14ac:dyDescent="0.3">
      <c r="B649" s="47" t="s">
        <v>696</v>
      </c>
      <c r="C649" s="48" t="s">
        <v>655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 x14ac:dyDescent="0.3">
      <c r="B650" s="47" t="s">
        <v>697</v>
      </c>
      <c r="C650" s="48" t="s">
        <v>657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 x14ac:dyDescent="0.3">
      <c r="B651" s="47" t="s">
        <v>698</v>
      </c>
      <c r="C651" s="48" t="s">
        <v>21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 x14ac:dyDescent="0.3">
      <c r="B652" s="47" t="s">
        <v>699</v>
      </c>
      <c r="C652" s="48" t="s">
        <v>21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 x14ac:dyDescent="0.3">
      <c r="B653" s="47" t="s">
        <v>700</v>
      </c>
      <c r="C653" s="48" t="s">
        <v>21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 x14ac:dyDescent="0.3">
      <c r="B654" s="47" t="s">
        <v>701</v>
      </c>
      <c r="C654" s="48" t="s">
        <v>655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 x14ac:dyDescent="0.3">
      <c r="B655" s="47" t="s">
        <v>702</v>
      </c>
      <c r="C655" s="48" t="s">
        <v>657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 x14ac:dyDescent="0.3">
      <c r="B656" s="47" t="s">
        <v>703</v>
      </c>
      <c r="C656" s="48" t="s">
        <v>21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 x14ac:dyDescent="0.3">
      <c r="B657" s="47" t="s">
        <v>704</v>
      </c>
      <c r="C657" s="48" t="s">
        <v>21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 x14ac:dyDescent="0.3">
      <c r="B658" s="47" t="s">
        <v>705</v>
      </c>
      <c r="C658" s="48" t="s">
        <v>21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 x14ac:dyDescent="0.3">
      <c r="B659" s="47" t="s">
        <v>706</v>
      </c>
      <c r="C659" s="48" t="s">
        <v>655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 x14ac:dyDescent="0.3">
      <c r="B660" s="47" t="s">
        <v>707</v>
      </c>
      <c r="C660" s="48" t="s">
        <v>657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 x14ac:dyDescent="0.3">
      <c r="B661" s="47" t="s">
        <v>708</v>
      </c>
      <c r="C661" s="48" t="s">
        <v>21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 x14ac:dyDescent="0.3">
      <c r="B662" s="47" t="s">
        <v>709</v>
      </c>
      <c r="C662" s="48" t="s">
        <v>21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 x14ac:dyDescent="0.3">
      <c r="B663" s="47" t="s">
        <v>710</v>
      </c>
      <c r="C663" s="48" t="s">
        <v>21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 x14ac:dyDescent="0.3">
      <c r="B664" s="47" t="s">
        <v>711</v>
      </c>
      <c r="C664" s="48" t="s">
        <v>655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 x14ac:dyDescent="0.3">
      <c r="B665" s="47" t="s">
        <v>712</v>
      </c>
      <c r="C665" s="48" t="s">
        <v>657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 x14ac:dyDescent="0.3">
      <c r="B666" s="47" t="s">
        <v>713</v>
      </c>
      <c r="C666" s="48" t="s">
        <v>21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 x14ac:dyDescent="0.3">
      <c r="B667" s="47" t="s">
        <v>714</v>
      </c>
      <c r="C667" s="48" t="s">
        <v>21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 x14ac:dyDescent="0.3">
      <c r="B668" s="47" t="s">
        <v>715</v>
      </c>
      <c r="C668" s="48" t="s">
        <v>21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 x14ac:dyDescent="0.3">
      <c r="B669" s="47" t="s">
        <v>716</v>
      </c>
      <c r="C669" s="48" t="s">
        <v>655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 x14ac:dyDescent="0.3">
      <c r="B670" s="47" t="s">
        <v>717</v>
      </c>
      <c r="C670" s="48" t="s">
        <v>657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 x14ac:dyDescent="0.3">
      <c r="B671" s="47" t="s">
        <v>718</v>
      </c>
      <c r="C671" s="48" t="s">
        <v>21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 x14ac:dyDescent="0.3">
      <c r="B672" s="47" t="s">
        <v>719</v>
      </c>
      <c r="C672" s="48" t="s">
        <v>21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 x14ac:dyDescent="0.3">
      <c r="B673" s="47" t="s">
        <v>720</v>
      </c>
      <c r="C673" s="48" t="s">
        <v>21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 x14ac:dyDescent="0.3">
      <c r="B674" s="47" t="s">
        <v>721</v>
      </c>
      <c r="C674" s="48" t="s">
        <v>655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 x14ac:dyDescent="0.3">
      <c r="B675" s="47" t="s">
        <v>722</v>
      </c>
      <c r="C675" s="48" t="s">
        <v>657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 x14ac:dyDescent="0.3">
      <c r="B676" s="47" t="s">
        <v>723</v>
      </c>
      <c r="C676" s="48" t="s">
        <v>21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 x14ac:dyDescent="0.3">
      <c r="B677" s="47" t="s">
        <v>724</v>
      </c>
      <c r="C677" s="48" t="s">
        <v>21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 x14ac:dyDescent="0.3">
      <c r="B678" s="47" t="s">
        <v>725</v>
      </c>
      <c r="C678" s="48" t="s">
        <v>21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 x14ac:dyDescent="0.3">
      <c r="B679" s="47" t="s">
        <v>726</v>
      </c>
      <c r="C679" s="48" t="s">
        <v>655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 x14ac:dyDescent="0.3">
      <c r="B680" s="47" t="s">
        <v>727</v>
      </c>
      <c r="C680" s="48" t="s">
        <v>657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 x14ac:dyDescent="0.3">
      <c r="B681" s="47" t="s">
        <v>728</v>
      </c>
      <c r="C681" s="48" t="s">
        <v>21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 x14ac:dyDescent="0.3">
      <c r="B682" s="47" t="s">
        <v>729</v>
      </c>
      <c r="C682" s="48" t="s">
        <v>21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 x14ac:dyDescent="0.3">
      <c r="B683" s="47" t="s">
        <v>730</v>
      </c>
      <c r="C683" s="48" t="s">
        <v>21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 x14ac:dyDescent="0.3">
      <c r="B684" s="47" t="s">
        <v>731</v>
      </c>
      <c r="C684" s="48" t="s">
        <v>655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 x14ac:dyDescent="0.3">
      <c r="B685" s="47" t="s">
        <v>732</v>
      </c>
      <c r="C685" s="48" t="s">
        <v>657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 x14ac:dyDescent="0.3">
      <c r="B686" s="47" t="s">
        <v>733</v>
      </c>
      <c r="C686" s="48" t="s">
        <v>21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 x14ac:dyDescent="0.3">
      <c r="B687" s="47" t="s">
        <v>734</v>
      </c>
      <c r="C687" s="48" t="s">
        <v>21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 x14ac:dyDescent="0.3">
      <c r="B688" s="47" t="s">
        <v>735</v>
      </c>
      <c r="C688" s="48" t="s">
        <v>21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 x14ac:dyDescent="0.3">
      <c r="B689" s="47" t="s">
        <v>736</v>
      </c>
      <c r="C689" s="48" t="s">
        <v>655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 x14ac:dyDescent="0.3">
      <c r="B690" s="47" t="s">
        <v>737</v>
      </c>
      <c r="C690" s="48" t="s">
        <v>657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 x14ac:dyDescent="0.3">
      <c r="B691" s="47" t="s">
        <v>738</v>
      </c>
      <c r="C691" s="48" t="s">
        <v>21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 x14ac:dyDescent="0.3">
      <c r="B692" s="47" t="s">
        <v>739</v>
      </c>
      <c r="C692" s="48" t="s">
        <v>21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 x14ac:dyDescent="0.3">
      <c r="B693" s="47" t="s">
        <v>740</v>
      </c>
      <c r="C693" s="48" t="s">
        <v>21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 x14ac:dyDescent="0.3">
      <c r="B694" s="47" t="s">
        <v>741</v>
      </c>
      <c r="C694" s="48" t="s">
        <v>655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 x14ac:dyDescent="0.3">
      <c r="B695" s="47" t="s">
        <v>742</v>
      </c>
      <c r="C695" s="48" t="s">
        <v>657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 x14ac:dyDescent="0.3">
      <c r="B696" s="47" t="s">
        <v>743</v>
      </c>
      <c r="C696" s="48" t="s">
        <v>21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 x14ac:dyDescent="0.3">
      <c r="B697" s="47" t="s">
        <v>744</v>
      </c>
      <c r="C697" s="48" t="s">
        <v>21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 x14ac:dyDescent="0.3">
      <c r="B698" s="47" t="s">
        <v>745</v>
      </c>
      <c r="C698" s="48" t="s">
        <v>21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 x14ac:dyDescent="0.3">
      <c r="B699" s="47" t="s">
        <v>746</v>
      </c>
      <c r="C699" s="48" t="s">
        <v>655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 x14ac:dyDescent="0.3">
      <c r="B700" s="47" t="s">
        <v>747</v>
      </c>
      <c r="C700" s="48" t="s">
        <v>657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 x14ac:dyDescent="0.3">
      <c r="B701" s="47" t="s">
        <v>748</v>
      </c>
      <c r="C701" s="48" t="s">
        <v>21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 x14ac:dyDescent="0.3">
      <c r="B702" s="47" t="s">
        <v>749</v>
      </c>
      <c r="C702" s="48" t="s">
        <v>21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 x14ac:dyDescent="0.3">
      <c r="B703" s="47" t="s">
        <v>750</v>
      </c>
      <c r="C703" s="48" t="s">
        <v>21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 x14ac:dyDescent="0.3">
      <c r="B704" s="47" t="s">
        <v>751</v>
      </c>
      <c r="C704" s="48" t="s">
        <v>655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 x14ac:dyDescent="0.3">
      <c r="B705" s="47" t="s">
        <v>752</v>
      </c>
      <c r="C705" s="48" t="s">
        <v>657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 x14ac:dyDescent="0.3">
      <c r="B706" s="47" t="s">
        <v>753</v>
      </c>
      <c r="C706" s="48" t="s">
        <v>21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 x14ac:dyDescent="0.3">
      <c r="B707" s="47" t="s">
        <v>754</v>
      </c>
      <c r="C707" s="48" t="s">
        <v>21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 x14ac:dyDescent="0.3">
      <c r="B708" s="47" t="s">
        <v>755</v>
      </c>
      <c r="C708" s="48" t="s">
        <v>21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 x14ac:dyDescent="0.3">
      <c r="B709" s="47" t="s">
        <v>756</v>
      </c>
      <c r="C709" s="48" t="s">
        <v>655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 x14ac:dyDescent="0.3">
      <c r="B710" s="47" t="s">
        <v>757</v>
      </c>
      <c r="C710" s="48" t="s">
        <v>657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 x14ac:dyDescent="0.3">
      <c r="B711" s="47" t="s">
        <v>758</v>
      </c>
      <c r="C711" s="48" t="s">
        <v>21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 x14ac:dyDescent="0.3">
      <c r="B712" s="47" t="s">
        <v>759</v>
      </c>
      <c r="C712" s="48" t="s">
        <v>21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 x14ac:dyDescent="0.3">
      <c r="B713" s="47" t="s">
        <v>760</v>
      </c>
      <c r="C713" s="48" t="s">
        <v>21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 x14ac:dyDescent="0.3">
      <c r="B714" s="47" t="s">
        <v>761</v>
      </c>
      <c r="C714" s="48" t="s">
        <v>655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 x14ac:dyDescent="0.3">
      <c r="B715" s="47" t="s">
        <v>762</v>
      </c>
      <c r="C715" s="48" t="s">
        <v>657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 x14ac:dyDescent="0.3">
      <c r="B716" s="47" t="s">
        <v>763</v>
      </c>
      <c r="C716" s="48" t="s">
        <v>21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 x14ac:dyDescent="0.3">
      <c r="B717" s="47" t="s">
        <v>764</v>
      </c>
      <c r="C717" s="48" t="s">
        <v>21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 x14ac:dyDescent="0.3">
      <c r="B718" s="47" t="s">
        <v>765</v>
      </c>
      <c r="C718" s="48" t="s">
        <v>21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 x14ac:dyDescent="0.3">
      <c r="B719" s="47" t="s">
        <v>766</v>
      </c>
      <c r="C719" s="48" t="s">
        <v>655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 x14ac:dyDescent="0.3">
      <c r="B720" s="47" t="s">
        <v>767</v>
      </c>
      <c r="C720" s="48" t="s">
        <v>657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 x14ac:dyDescent="0.3">
      <c r="B721" s="47" t="s">
        <v>768</v>
      </c>
      <c r="C721" s="48" t="s">
        <v>21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 x14ac:dyDescent="0.3">
      <c r="B722" s="47" t="s">
        <v>769</v>
      </c>
      <c r="C722" s="48" t="s">
        <v>21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 x14ac:dyDescent="0.3">
      <c r="B723" s="47" t="s">
        <v>770</v>
      </c>
      <c r="C723" s="48" t="s">
        <v>21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 x14ac:dyDescent="0.3">
      <c r="B724" s="47" t="s">
        <v>771</v>
      </c>
      <c r="C724" s="48" t="s">
        <v>655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 x14ac:dyDescent="0.3">
      <c r="B725" s="47" t="s">
        <v>772</v>
      </c>
      <c r="C725" s="48" t="s">
        <v>657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 x14ac:dyDescent="0.3">
      <c r="B726" s="47" t="s">
        <v>773</v>
      </c>
      <c r="C726" s="48" t="s">
        <v>21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 x14ac:dyDescent="0.3">
      <c r="B727" s="47" t="s">
        <v>774</v>
      </c>
      <c r="C727" s="48" t="s">
        <v>21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 x14ac:dyDescent="0.3">
      <c r="B728" s="47" t="s">
        <v>775</v>
      </c>
      <c r="C728" s="48" t="s">
        <v>21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 x14ac:dyDescent="0.3">
      <c r="B729" s="47" t="s">
        <v>776</v>
      </c>
      <c r="C729" s="48" t="s">
        <v>655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 x14ac:dyDescent="0.3">
      <c r="B730" s="47" t="s">
        <v>777</v>
      </c>
      <c r="C730" s="48" t="s">
        <v>657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 x14ac:dyDescent="0.3">
      <c r="B731" s="47" t="s">
        <v>778</v>
      </c>
      <c r="C731" s="48" t="s">
        <v>21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 x14ac:dyDescent="0.3">
      <c r="B732" s="47" t="s">
        <v>779</v>
      </c>
      <c r="C732" s="48" t="s">
        <v>21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 x14ac:dyDescent="0.3">
      <c r="B733" s="47" t="s">
        <v>780</v>
      </c>
      <c r="C733" s="48" t="s">
        <v>21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 x14ac:dyDescent="0.3">
      <c r="B734" s="47" t="s">
        <v>781</v>
      </c>
      <c r="C734" s="48" t="s">
        <v>782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 x14ac:dyDescent="0.3">
      <c r="B735" s="47" t="s">
        <v>783</v>
      </c>
      <c r="C735" s="48" t="s">
        <v>784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 x14ac:dyDescent="0.3">
      <c r="B736" s="47" t="s">
        <v>785</v>
      </c>
      <c r="C736" s="48" t="s">
        <v>21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 x14ac:dyDescent="0.3">
      <c r="B737" s="47" t="s">
        <v>786</v>
      </c>
      <c r="C737" s="48" t="s">
        <v>21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 x14ac:dyDescent="0.3">
      <c r="B738" s="47" t="s">
        <v>787</v>
      </c>
      <c r="C738" s="48" t="s">
        <v>21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 x14ac:dyDescent="0.3">
      <c r="B739" s="47" t="s">
        <v>788</v>
      </c>
      <c r="C739" s="48" t="s">
        <v>782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 x14ac:dyDescent="0.3">
      <c r="B740" s="47" t="s">
        <v>789</v>
      </c>
      <c r="C740" s="48" t="s">
        <v>784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 x14ac:dyDescent="0.3">
      <c r="B741" s="47" t="s">
        <v>790</v>
      </c>
      <c r="C741" s="48" t="s">
        <v>21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 x14ac:dyDescent="0.3">
      <c r="B742" s="47" t="s">
        <v>791</v>
      </c>
      <c r="C742" s="48" t="s">
        <v>21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 x14ac:dyDescent="0.3">
      <c r="B743" s="47" t="s">
        <v>792</v>
      </c>
      <c r="C743" s="48" t="s">
        <v>21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 x14ac:dyDescent="0.3">
      <c r="B744" s="47" t="s">
        <v>793</v>
      </c>
      <c r="C744" s="48" t="s">
        <v>782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 x14ac:dyDescent="0.3">
      <c r="B745" s="47" t="s">
        <v>794</v>
      </c>
      <c r="C745" s="48" t="s">
        <v>784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 x14ac:dyDescent="0.3">
      <c r="B746" s="47" t="s">
        <v>795</v>
      </c>
      <c r="C746" s="48" t="s">
        <v>21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 x14ac:dyDescent="0.3">
      <c r="B747" s="47" t="s">
        <v>796</v>
      </c>
      <c r="C747" s="48" t="s">
        <v>21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 x14ac:dyDescent="0.3">
      <c r="B748" s="47" t="s">
        <v>797</v>
      </c>
      <c r="C748" s="48" t="s">
        <v>21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 x14ac:dyDescent="0.3">
      <c r="B749" s="47" t="s">
        <v>798</v>
      </c>
      <c r="C749" s="48" t="s">
        <v>782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 x14ac:dyDescent="0.3">
      <c r="B750" s="47" t="s">
        <v>799</v>
      </c>
      <c r="C750" s="48" t="s">
        <v>784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 x14ac:dyDescent="0.3">
      <c r="B751" s="47" t="s">
        <v>800</v>
      </c>
      <c r="C751" s="48" t="s">
        <v>21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 x14ac:dyDescent="0.3">
      <c r="B752" s="47" t="s">
        <v>801</v>
      </c>
      <c r="C752" s="48" t="s">
        <v>21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 x14ac:dyDescent="0.3">
      <c r="B753" s="47" t="s">
        <v>802</v>
      </c>
      <c r="C753" s="48" t="s">
        <v>21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 x14ac:dyDescent="0.3">
      <c r="B754" s="47" t="s">
        <v>803</v>
      </c>
      <c r="C754" s="48" t="s">
        <v>782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 x14ac:dyDescent="0.3">
      <c r="B755" s="47" t="s">
        <v>804</v>
      </c>
      <c r="C755" s="48" t="s">
        <v>784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 x14ac:dyDescent="0.3">
      <c r="B756" s="47" t="s">
        <v>805</v>
      </c>
      <c r="C756" s="48" t="s">
        <v>21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 x14ac:dyDescent="0.3">
      <c r="B757" s="47" t="s">
        <v>806</v>
      </c>
      <c r="C757" s="48" t="s">
        <v>21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 x14ac:dyDescent="0.3">
      <c r="B758" s="47" t="s">
        <v>807</v>
      </c>
      <c r="C758" s="48" t="s">
        <v>21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 x14ac:dyDescent="0.3">
      <c r="B759" s="47" t="s">
        <v>808</v>
      </c>
      <c r="C759" s="48" t="s">
        <v>782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 x14ac:dyDescent="0.3">
      <c r="B760" s="47" t="s">
        <v>809</v>
      </c>
      <c r="C760" s="48" t="s">
        <v>784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 x14ac:dyDescent="0.3">
      <c r="B761" s="47" t="s">
        <v>810</v>
      </c>
      <c r="C761" s="48" t="s">
        <v>21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 x14ac:dyDescent="0.3">
      <c r="B762" s="47" t="s">
        <v>811</v>
      </c>
      <c r="C762" s="48" t="s">
        <v>21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 x14ac:dyDescent="0.3">
      <c r="B763" s="47" t="s">
        <v>812</v>
      </c>
      <c r="C763" s="48" t="s">
        <v>21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 x14ac:dyDescent="0.3">
      <c r="B764" s="47" t="s">
        <v>813</v>
      </c>
      <c r="C764" s="48" t="s">
        <v>782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 x14ac:dyDescent="0.3">
      <c r="B765" s="47" t="s">
        <v>814</v>
      </c>
      <c r="C765" s="48" t="s">
        <v>784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 x14ac:dyDescent="0.3">
      <c r="B766" s="47" t="s">
        <v>815</v>
      </c>
      <c r="C766" s="48" t="s">
        <v>21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 x14ac:dyDescent="0.3">
      <c r="B767" s="47" t="s">
        <v>816</v>
      </c>
      <c r="C767" s="48" t="s">
        <v>21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 x14ac:dyDescent="0.3">
      <c r="B768" s="47" t="s">
        <v>817</v>
      </c>
      <c r="C768" s="48" t="s">
        <v>21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 x14ac:dyDescent="0.3">
      <c r="B769" s="47" t="s">
        <v>818</v>
      </c>
      <c r="C769" s="48" t="s">
        <v>782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 x14ac:dyDescent="0.3">
      <c r="B770" s="47" t="s">
        <v>819</v>
      </c>
      <c r="C770" s="48" t="s">
        <v>784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 x14ac:dyDescent="0.3">
      <c r="B771" s="47" t="s">
        <v>820</v>
      </c>
      <c r="C771" s="48" t="s">
        <v>21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 x14ac:dyDescent="0.3">
      <c r="B772" s="47" t="s">
        <v>821</v>
      </c>
      <c r="C772" s="48" t="s">
        <v>21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 x14ac:dyDescent="0.3">
      <c r="B773" s="47" t="s">
        <v>822</v>
      </c>
      <c r="C773" s="48" t="s">
        <v>21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 x14ac:dyDescent="0.3">
      <c r="B774" s="47" t="s">
        <v>823</v>
      </c>
      <c r="C774" s="48" t="s">
        <v>782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 x14ac:dyDescent="0.3">
      <c r="B775" s="47" t="s">
        <v>824</v>
      </c>
      <c r="C775" s="48" t="s">
        <v>784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 x14ac:dyDescent="0.3">
      <c r="B776" s="47" t="s">
        <v>825</v>
      </c>
      <c r="C776" s="48" t="s">
        <v>21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 x14ac:dyDescent="0.3">
      <c r="B777" s="47" t="s">
        <v>826</v>
      </c>
      <c r="C777" s="48" t="s">
        <v>21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 x14ac:dyDescent="0.3">
      <c r="B778" s="47" t="s">
        <v>827</v>
      </c>
      <c r="C778" s="48" t="s">
        <v>21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 x14ac:dyDescent="0.3">
      <c r="B779" s="47" t="s">
        <v>828</v>
      </c>
      <c r="C779" s="48" t="s">
        <v>782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 x14ac:dyDescent="0.3">
      <c r="B780" s="47" t="s">
        <v>829</v>
      </c>
      <c r="C780" s="48" t="s">
        <v>784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 x14ac:dyDescent="0.3">
      <c r="B781" s="47" t="s">
        <v>830</v>
      </c>
      <c r="C781" s="48" t="s">
        <v>21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 x14ac:dyDescent="0.3">
      <c r="B782" s="47" t="s">
        <v>831</v>
      </c>
      <c r="C782" s="48" t="s">
        <v>21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 x14ac:dyDescent="0.3">
      <c r="B783" s="47" t="s">
        <v>832</v>
      </c>
      <c r="C783" s="48" t="s">
        <v>21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 x14ac:dyDescent="0.3">
      <c r="B784" s="47" t="s">
        <v>833</v>
      </c>
      <c r="C784" s="48" t="s">
        <v>782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 x14ac:dyDescent="0.3">
      <c r="B785" s="47" t="s">
        <v>834</v>
      </c>
      <c r="C785" s="48" t="s">
        <v>784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 x14ac:dyDescent="0.3">
      <c r="B786" s="47" t="s">
        <v>835</v>
      </c>
      <c r="C786" s="48" t="s">
        <v>21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 x14ac:dyDescent="0.3">
      <c r="B787" s="47" t="s">
        <v>836</v>
      </c>
      <c r="C787" s="48" t="s">
        <v>21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 x14ac:dyDescent="0.3">
      <c r="B788" s="47" t="s">
        <v>837</v>
      </c>
      <c r="C788" s="48" t="s">
        <v>21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 x14ac:dyDescent="0.3">
      <c r="B789" s="47" t="s">
        <v>838</v>
      </c>
      <c r="C789" s="48" t="s">
        <v>782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 x14ac:dyDescent="0.3">
      <c r="B790" s="47" t="s">
        <v>839</v>
      </c>
      <c r="C790" s="48" t="s">
        <v>784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 x14ac:dyDescent="0.3">
      <c r="B791" s="47" t="s">
        <v>840</v>
      </c>
      <c r="C791" s="48" t="s">
        <v>21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 x14ac:dyDescent="0.3">
      <c r="B792" s="47" t="s">
        <v>841</v>
      </c>
      <c r="C792" s="48" t="s">
        <v>21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 x14ac:dyDescent="0.3">
      <c r="B793" s="47" t="s">
        <v>842</v>
      </c>
      <c r="C793" s="48" t="s">
        <v>21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 x14ac:dyDescent="0.3">
      <c r="B794" s="47" t="s">
        <v>843</v>
      </c>
      <c r="C794" s="48" t="s">
        <v>782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 x14ac:dyDescent="0.3">
      <c r="B795" s="47" t="s">
        <v>844</v>
      </c>
      <c r="C795" s="48" t="s">
        <v>784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 x14ac:dyDescent="0.3">
      <c r="B796" s="47" t="s">
        <v>845</v>
      </c>
      <c r="C796" s="48" t="s">
        <v>21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 x14ac:dyDescent="0.3">
      <c r="B797" s="47" t="s">
        <v>846</v>
      </c>
      <c r="C797" s="48" t="s">
        <v>21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 x14ac:dyDescent="0.3">
      <c r="B798" s="47" t="s">
        <v>847</v>
      </c>
      <c r="C798" s="48" t="s">
        <v>21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 x14ac:dyDescent="0.3">
      <c r="B799" s="47" t="s">
        <v>848</v>
      </c>
      <c r="C799" s="48" t="s">
        <v>782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 x14ac:dyDescent="0.3">
      <c r="B800" s="47" t="s">
        <v>849</v>
      </c>
      <c r="C800" s="48" t="s">
        <v>784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 x14ac:dyDescent="0.3">
      <c r="B801" s="47" t="s">
        <v>850</v>
      </c>
      <c r="C801" s="48" t="s">
        <v>21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 x14ac:dyDescent="0.3">
      <c r="B802" s="47" t="s">
        <v>851</v>
      </c>
      <c r="C802" s="48" t="s">
        <v>21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 x14ac:dyDescent="0.3">
      <c r="B803" s="47" t="s">
        <v>852</v>
      </c>
      <c r="C803" s="48" t="s">
        <v>21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 x14ac:dyDescent="0.3">
      <c r="B804" s="47" t="s">
        <v>853</v>
      </c>
      <c r="C804" s="48" t="s">
        <v>782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 x14ac:dyDescent="0.3">
      <c r="B805" s="47" t="s">
        <v>854</v>
      </c>
      <c r="C805" s="48" t="s">
        <v>784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 x14ac:dyDescent="0.3">
      <c r="B806" s="47" t="s">
        <v>855</v>
      </c>
      <c r="C806" s="48" t="s">
        <v>21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 x14ac:dyDescent="0.3">
      <c r="B807" s="47" t="s">
        <v>856</v>
      </c>
      <c r="C807" s="48" t="s">
        <v>21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 x14ac:dyDescent="0.3">
      <c r="B808" s="47" t="s">
        <v>857</v>
      </c>
      <c r="C808" s="48" t="s">
        <v>21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 x14ac:dyDescent="0.3">
      <c r="B809" s="47" t="s">
        <v>858</v>
      </c>
      <c r="C809" s="48" t="s">
        <v>782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 x14ac:dyDescent="0.3">
      <c r="B810" s="47" t="s">
        <v>859</v>
      </c>
      <c r="C810" s="48" t="s">
        <v>784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 x14ac:dyDescent="0.3">
      <c r="B811" s="47" t="s">
        <v>860</v>
      </c>
      <c r="C811" s="48" t="s">
        <v>21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 x14ac:dyDescent="0.3">
      <c r="B812" s="47" t="s">
        <v>861</v>
      </c>
      <c r="C812" s="48" t="s">
        <v>21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 x14ac:dyDescent="0.3">
      <c r="B813" s="47" t="s">
        <v>862</v>
      </c>
      <c r="C813" s="48" t="s">
        <v>21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 x14ac:dyDescent="0.3">
      <c r="B814" s="47" t="s">
        <v>863</v>
      </c>
      <c r="C814" s="48" t="s">
        <v>782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 x14ac:dyDescent="0.3">
      <c r="B815" s="47" t="s">
        <v>864</v>
      </c>
      <c r="C815" s="48" t="s">
        <v>784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 x14ac:dyDescent="0.3">
      <c r="B816" s="47" t="s">
        <v>865</v>
      </c>
      <c r="C816" s="48" t="s">
        <v>21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 x14ac:dyDescent="0.3">
      <c r="B817" s="47" t="s">
        <v>866</v>
      </c>
      <c r="C817" s="48" t="s">
        <v>21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 x14ac:dyDescent="0.3">
      <c r="B818" s="47" t="s">
        <v>867</v>
      </c>
      <c r="C818" s="48" t="s">
        <v>21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 x14ac:dyDescent="0.3">
      <c r="B819" s="47" t="s">
        <v>868</v>
      </c>
      <c r="C819" s="48" t="s">
        <v>782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 x14ac:dyDescent="0.3">
      <c r="B820" s="47" t="s">
        <v>869</v>
      </c>
      <c r="C820" s="48" t="s">
        <v>784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 x14ac:dyDescent="0.3">
      <c r="B821" s="47" t="s">
        <v>870</v>
      </c>
      <c r="C821" s="48" t="s">
        <v>21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 x14ac:dyDescent="0.3">
      <c r="B822" s="47" t="s">
        <v>871</v>
      </c>
      <c r="C822" s="48" t="s">
        <v>21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 x14ac:dyDescent="0.3">
      <c r="B823" s="47" t="s">
        <v>872</v>
      </c>
      <c r="C823" s="48" t="s">
        <v>21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 x14ac:dyDescent="0.3">
      <c r="B824" s="47" t="s">
        <v>873</v>
      </c>
      <c r="C824" s="48" t="s">
        <v>782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 x14ac:dyDescent="0.3">
      <c r="B825" s="47" t="s">
        <v>874</v>
      </c>
      <c r="C825" s="48" t="s">
        <v>784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 x14ac:dyDescent="0.3">
      <c r="B826" s="47" t="s">
        <v>875</v>
      </c>
      <c r="C826" s="48" t="s">
        <v>21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 x14ac:dyDescent="0.3">
      <c r="B827" s="47" t="s">
        <v>876</v>
      </c>
      <c r="C827" s="48" t="s">
        <v>21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 x14ac:dyDescent="0.3">
      <c r="B828" s="47" t="s">
        <v>877</v>
      </c>
      <c r="C828" s="48" t="s">
        <v>21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 x14ac:dyDescent="0.3">
      <c r="B829" s="47" t="s">
        <v>878</v>
      </c>
      <c r="C829" s="48" t="s">
        <v>782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 x14ac:dyDescent="0.3">
      <c r="B830" s="47" t="s">
        <v>879</v>
      </c>
      <c r="C830" s="48" t="s">
        <v>784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 x14ac:dyDescent="0.3">
      <c r="B831" s="47" t="s">
        <v>880</v>
      </c>
      <c r="C831" s="48" t="s">
        <v>21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 x14ac:dyDescent="0.3">
      <c r="B832" s="47" t="s">
        <v>881</v>
      </c>
      <c r="C832" s="48" t="s">
        <v>21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 x14ac:dyDescent="0.3">
      <c r="B833" s="47" t="s">
        <v>882</v>
      </c>
      <c r="C833" s="48" t="s">
        <v>21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 x14ac:dyDescent="0.3">
      <c r="B834" s="47" t="s">
        <v>883</v>
      </c>
      <c r="C834" s="48" t="s">
        <v>782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 x14ac:dyDescent="0.3">
      <c r="B835" s="47" t="s">
        <v>884</v>
      </c>
      <c r="C835" s="48" t="s">
        <v>784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 x14ac:dyDescent="0.3">
      <c r="B836" s="47" t="s">
        <v>885</v>
      </c>
      <c r="C836" s="48" t="s">
        <v>21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 x14ac:dyDescent="0.3">
      <c r="B837" s="47" t="s">
        <v>886</v>
      </c>
      <c r="C837" s="48" t="s">
        <v>21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 x14ac:dyDescent="0.3">
      <c r="B838" s="47" t="s">
        <v>887</v>
      </c>
      <c r="C838" s="48" t="s">
        <v>21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 x14ac:dyDescent="0.3">
      <c r="B839" s="47" t="s">
        <v>888</v>
      </c>
      <c r="C839" s="48" t="s">
        <v>782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 x14ac:dyDescent="0.3">
      <c r="B840" s="47" t="s">
        <v>889</v>
      </c>
      <c r="C840" s="48" t="s">
        <v>784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 x14ac:dyDescent="0.3">
      <c r="B841" s="47" t="s">
        <v>890</v>
      </c>
      <c r="C841" s="48" t="s">
        <v>21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 x14ac:dyDescent="0.3">
      <c r="B842" s="47" t="s">
        <v>891</v>
      </c>
      <c r="C842" s="48" t="s">
        <v>21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 x14ac:dyDescent="0.3">
      <c r="B843" s="47" t="s">
        <v>892</v>
      </c>
      <c r="C843" s="48" t="s">
        <v>21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 x14ac:dyDescent="0.3">
      <c r="B844" s="47" t="s">
        <v>893</v>
      </c>
      <c r="C844" s="48" t="s">
        <v>782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 x14ac:dyDescent="0.3">
      <c r="B845" s="47" t="s">
        <v>894</v>
      </c>
      <c r="C845" s="48" t="s">
        <v>784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 x14ac:dyDescent="0.3">
      <c r="B846" s="47" t="s">
        <v>895</v>
      </c>
      <c r="C846" s="48" t="s">
        <v>21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 x14ac:dyDescent="0.3">
      <c r="B847" s="47" t="s">
        <v>896</v>
      </c>
      <c r="C847" s="48" t="s">
        <v>21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 x14ac:dyDescent="0.3">
      <c r="B848" s="47" t="s">
        <v>897</v>
      </c>
      <c r="C848" s="48" t="s">
        <v>21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 x14ac:dyDescent="0.3">
      <c r="B849" s="47" t="s">
        <v>898</v>
      </c>
      <c r="C849" s="48" t="s">
        <v>782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 x14ac:dyDescent="0.3">
      <c r="B850" s="47" t="s">
        <v>899</v>
      </c>
      <c r="C850" s="48" t="s">
        <v>784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 x14ac:dyDescent="0.3">
      <c r="B851" s="47" t="s">
        <v>900</v>
      </c>
      <c r="C851" s="48" t="s">
        <v>21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 x14ac:dyDescent="0.3">
      <c r="B852" s="47" t="s">
        <v>901</v>
      </c>
      <c r="C852" s="48" t="s">
        <v>21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 x14ac:dyDescent="0.3">
      <c r="B853" s="47" t="s">
        <v>902</v>
      </c>
      <c r="C853" s="48" t="s">
        <v>21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 x14ac:dyDescent="0.3">
      <c r="B854" s="47" t="s">
        <v>903</v>
      </c>
      <c r="C854" s="48" t="s">
        <v>782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 x14ac:dyDescent="0.3">
      <c r="B855" s="47" t="s">
        <v>904</v>
      </c>
      <c r="C855" s="48" t="s">
        <v>784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 x14ac:dyDescent="0.3">
      <c r="B856" s="47" t="s">
        <v>905</v>
      </c>
      <c r="C856" s="48" t="s">
        <v>21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 x14ac:dyDescent="0.3">
      <c r="B857" s="47" t="s">
        <v>906</v>
      </c>
      <c r="C857" s="48" t="s">
        <v>21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 x14ac:dyDescent="0.3">
      <c r="B858" s="47" t="s">
        <v>907</v>
      </c>
      <c r="C858" s="48" t="s">
        <v>21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 x14ac:dyDescent="0.3">
      <c r="B859" s="47" t="s">
        <v>908</v>
      </c>
      <c r="C859" s="48" t="s">
        <v>21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 x14ac:dyDescent="0.3">
      <c r="B860" s="47" t="s">
        <v>909</v>
      </c>
      <c r="C860" s="48" t="s">
        <v>910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 x14ac:dyDescent="0.3">
      <c r="B861" s="47" t="s">
        <v>911</v>
      </c>
      <c r="C861" s="48" t="s">
        <v>655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 x14ac:dyDescent="0.3">
      <c r="B862" s="47" t="s">
        <v>912</v>
      </c>
      <c r="C862" s="48" t="s">
        <v>21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 x14ac:dyDescent="0.3">
      <c r="B863" s="47" t="s">
        <v>913</v>
      </c>
      <c r="C863" s="48" t="s">
        <v>21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 x14ac:dyDescent="0.3">
      <c r="B864" s="47" t="s">
        <v>914</v>
      </c>
      <c r="C864" s="48" t="s">
        <v>21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 x14ac:dyDescent="0.3">
      <c r="B865" s="47" t="s">
        <v>915</v>
      </c>
      <c r="C865" s="48" t="s">
        <v>910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 x14ac:dyDescent="0.3">
      <c r="B866" s="47" t="s">
        <v>916</v>
      </c>
      <c r="C866" s="48" t="s">
        <v>655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 x14ac:dyDescent="0.3">
      <c r="B867" s="47" t="s">
        <v>917</v>
      </c>
      <c r="C867" s="48" t="s">
        <v>21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 x14ac:dyDescent="0.3">
      <c r="B868" s="47" t="s">
        <v>918</v>
      </c>
      <c r="C868" s="48" t="s">
        <v>21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 x14ac:dyDescent="0.3">
      <c r="B869" s="47" t="s">
        <v>919</v>
      </c>
      <c r="C869" s="48" t="s">
        <v>21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 x14ac:dyDescent="0.3">
      <c r="B870" s="47" t="s">
        <v>920</v>
      </c>
      <c r="C870" s="48" t="s">
        <v>910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 x14ac:dyDescent="0.3">
      <c r="B871" s="47" t="s">
        <v>921</v>
      </c>
      <c r="C871" s="48" t="s">
        <v>655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 x14ac:dyDescent="0.3">
      <c r="B872" s="47" t="s">
        <v>922</v>
      </c>
      <c r="C872" s="48" t="s">
        <v>21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 x14ac:dyDescent="0.3">
      <c r="B873" s="47" t="s">
        <v>923</v>
      </c>
      <c r="C873" s="48" t="s">
        <v>21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 x14ac:dyDescent="0.3">
      <c r="B874" s="47" t="s">
        <v>924</v>
      </c>
      <c r="C874" s="48" t="s">
        <v>21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 x14ac:dyDescent="0.3">
      <c r="B875" s="47" t="s">
        <v>925</v>
      </c>
      <c r="C875" s="48" t="s">
        <v>910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 x14ac:dyDescent="0.3">
      <c r="B876" s="47" t="s">
        <v>926</v>
      </c>
      <c r="C876" s="48" t="s">
        <v>655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 x14ac:dyDescent="0.3">
      <c r="B877" s="47" t="s">
        <v>927</v>
      </c>
      <c r="C877" s="48" t="s">
        <v>21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 x14ac:dyDescent="0.3">
      <c r="B878" s="47" t="s">
        <v>928</v>
      </c>
      <c r="C878" s="48" t="s">
        <v>21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 x14ac:dyDescent="0.3">
      <c r="B879" s="47" t="s">
        <v>929</v>
      </c>
      <c r="C879" s="48" t="s">
        <v>21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 x14ac:dyDescent="0.3">
      <c r="B880" s="47" t="s">
        <v>930</v>
      </c>
      <c r="C880" s="48" t="s">
        <v>910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 x14ac:dyDescent="0.3">
      <c r="B881" s="47" t="s">
        <v>931</v>
      </c>
      <c r="C881" s="48" t="s">
        <v>655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 x14ac:dyDescent="0.3">
      <c r="B882" s="47" t="s">
        <v>932</v>
      </c>
      <c r="C882" s="48" t="s">
        <v>21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 x14ac:dyDescent="0.3">
      <c r="B883" s="47" t="s">
        <v>933</v>
      </c>
      <c r="C883" s="48" t="s">
        <v>21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 x14ac:dyDescent="0.3">
      <c r="B884" s="47" t="s">
        <v>934</v>
      </c>
      <c r="C884" s="48" t="s">
        <v>21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 x14ac:dyDescent="0.3">
      <c r="B885" s="47" t="s">
        <v>935</v>
      </c>
      <c r="C885" s="48" t="s">
        <v>910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 x14ac:dyDescent="0.3">
      <c r="B886" s="47" t="s">
        <v>936</v>
      </c>
      <c r="C886" s="48" t="s">
        <v>655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 x14ac:dyDescent="0.3">
      <c r="B887" s="47" t="s">
        <v>937</v>
      </c>
      <c r="C887" s="48" t="s">
        <v>21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 x14ac:dyDescent="0.3">
      <c r="B888" s="47" t="s">
        <v>938</v>
      </c>
      <c r="C888" s="48" t="s">
        <v>21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 x14ac:dyDescent="0.3">
      <c r="B889" s="47" t="s">
        <v>939</v>
      </c>
      <c r="C889" s="48" t="s">
        <v>21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 x14ac:dyDescent="0.3">
      <c r="B890" s="47" t="s">
        <v>940</v>
      </c>
      <c r="C890" s="48" t="s">
        <v>910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 x14ac:dyDescent="0.3">
      <c r="B891" s="47" t="s">
        <v>941</v>
      </c>
      <c r="C891" s="48" t="s">
        <v>655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 x14ac:dyDescent="0.3">
      <c r="B892" s="47" t="s">
        <v>942</v>
      </c>
      <c r="C892" s="48" t="s">
        <v>21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 x14ac:dyDescent="0.3">
      <c r="B893" s="47" t="s">
        <v>943</v>
      </c>
      <c r="C893" s="48" t="s">
        <v>21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 x14ac:dyDescent="0.3">
      <c r="B894" s="47" t="s">
        <v>944</v>
      </c>
      <c r="C894" s="48" t="s">
        <v>21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 x14ac:dyDescent="0.3">
      <c r="B895" s="47" t="s">
        <v>945</v>
      </c>
      <c r="C895" s="48" t="s">
        <v>910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 x14ac:dyDescent="0.3">
      <c r="B896" s="47" t="s">
        <v>946</v>
      </c>
      <c r="C896" s="48" t="s">
        <v>655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 x14ac:dyDescent="0.3">
      <c r="B897" s="47" t="s">
        <v>947</v>
      </c>
      <c r="C897" s="48" t="s">
        <v>21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 x14ac:dyDescent="0.3">
      <c r="B898" s="47" t="s">
        <v>948</v>
      </c>
      <c r="C898" s="48" t="s">
        <v>21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 x14ac:dyDescent="0.3">
      <c r="B899" s="47" t="s">
        <v>949</v>
      </c>
      <c r="C899" s="48" t="s">
        <v>21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 x14ac:dyDescent="0.3">
      <c r="B900" s="47" t="s">
        <v>950</v>
      </c>
      <c r="C900" s="48" t="s">
        <v>910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 x14ac:dyDescent="0.3">
      <c r="B901" s="47" t="s">
        <v>951</v>
      </c>
      <c r="C901" s="48" t="s">
        <v>655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 x14ac:dyDescent="0.3">
      <c r="B902" s="47" t="s">
        <v>952</v>
      </c>
      <c r="C902" s="48" t="s">
        <v>21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 x14ac:dyDescent="0.3">
      <c r="B903" s="47" t="s">
        <v>953</v>
      </c>
      <c r="C903" s="48" t="s">
        <v>21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 x14ac:dyDescent="0.3">
      <c r="B904" s="47" t="s">
        <v>954</v>
      </c>
      <c r="C904" s="48" t="s">
        <v>21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 x14ac:dyDescent="0.3">
      <c r="B905" s="47" t="s">
        <v>955</v>
      </c>
      <c r="C905" s="48" t="s">
        <v>910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 x14ac:dyDescent="0.3">
      <c r="B906" s="47" t="s">
        <v>956</v>
      </c>
      <c r="C906" s="48" t="s">
        <v>655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 x14ac:dyDescent="0.3">
      <c r="B907" s="47" t="s">
        <v>957</v>
      </c>
      <c r="C907" s="48" t="s">
        <v>21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 x14ac:dyDescent="0.3">
      <c r="B908" s="47" t="s">
        <v>958</v>
      </c>
      <c r="C908" s="48" t="s">
        <v>21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 x14ac:dyDescent="0.3">
      <c r="B909" s="47" t="s">
        <v>959</v>
      </c>
      <c r="C909" s="48" t="s">
        <v>21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 x14ac:dyDescent="0.3">
      <c r="B910" s="47" t="s">
        <v>960</v>
      </c>
      <c r="C910" s="48" t="s">
        <v>910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 x14ac:dyDescent="0.3">
      <c r="B911" s="47" t="s">
        <v>961</v>
      </c>
      <c r="C911" s="48" t="s">
        <v>655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 x14ac:dyDescent="0.3">
      <c r="B912" s="47" t="s">
        <v>962</v>
      </c>
      <c r="C912" s="48" t="s">
        <v>21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 x14ac:dyDescent="0.3">
      <c r="B913" s="47" t="s">
        <v>963</v>
      </c>
      <c r="C913" s="48" t="s">
        <v>21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 x14ac:dyDescent="0.3">
      <c r="B914" s="47" t="s">
        <v>964</v>
      </c>
      <c r="C914" s="48" t="s">
        <v>21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 x14ac:dyDescent="0.3">
      <c r="B915" s="47" t="s">
        <v>965</v>
      </c>
      <c r="C915" s="48" t="s">
        <v>910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 x14ac:dyDescent="0.3">
      <c r="B916" s="47" t="s">
        <v>966</v>
      </c>
      <c r="C916" s="48" t="s">
        <v>655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 x14ac:dyDescent="0.3">
      <c r="B917" s="47" t="s">
        <v>967</v>
      </c>
      <c r="C917" s="48" t="s">
        <v>21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 x14ac:dyDescent="0.3">
      <c r="B918" s="47" t="s">
        <v>968</v>
      </c>
      <c r="C918" s="48" t="s">
        <v>21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 x14ac:dyDescent="0.3">
      <c r="B919" s="47" t="s">
        <v>969</v>
      </c>
      <c r="C919" s="48" t="s">
        <v>21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 x14ac:dyDescent="0.3">
      <c r="B920" s="47" t="s">
        <v>970</v>
      </c>
      <c r="C920" s="48" t="s">
        <v>910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 x14ac:dyDescent="0.3">
      <c r="B921" s="47" t="s">
        <v>971</v>
      </c>
      <c r="C921" s="48" t="s">
        <v>655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 x14ac:dyDescent="0.3">
      <c r="B922" s="47" t="s">
        <v>972</v>
      </c>
      <c r="C922" s="48" t="s">
        <v>21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 x14ac:dyDescent="0.3">
      <c r="B923" s="47" t="s">
        <v>973</v>
      </c>
      <c r="C923" s="48" t="s">
        <v>21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 x14ac:dyDescent="0.3">
      <c r="B924" s="47" t="s">
        <v>974</v>
      </c>
      <c r="C924" s="48" t="s">
        <v>21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 x14ac:dyDescent="0.3">
      <c r="B925" s="47" t="s">
        <v>975</v>
      </c>
      <c r="C925" s="48" t="s">
        <v>910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 x14ac:dyDescent="0.3">
      <c r="B926" s="47" t="s">
        <v>976</v>
      </c>
      <c r="C926" s="48" t="s">
        <v>655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 x14ac:dyDescent="0.3">
      <c r="B927" s="47" t="s">
        <v>977</v>
      </c>
      <c r="C927" s="48" t="s">
        <v>21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 x14ac:dyDescent="0.3">
      <c r="B928" s="47" t="s">
        <v>978</v>
      </c>
      <c r="C928" s="48" t="s">
        <v>21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 x14ac:dyDescent="0.3">
      <c r="B929" s="47" t="s">
        <v>979</v>
      </c>
      <c r="C929" s="48" t="s">
        <v>21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 x14ac:dyDescent="0.3">
      <c r="B930" s="47" t="s">
        <v>980</v>
      </c>
      <c r="C930" s="48" t="s">
        <v>910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 x14ac:dyDescent="0.3">
      <c r="B931" s="47" t="s">
        <v>981</v>
      </c>
      <c r="C931" s="48" t="s">
        <v>655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 x14ac:dyDescent="0.3">
      <c r="B932" s="47" t="s">
        <v>982</v>
      </c>
      <c r="C932" s="48" t="s">
        <v>21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 x14ac:dyDescent="0.3">
      <c r="B933" s="47" t="s">
        <v>983</v>
      </c>
      <c r="C933" s="48" t="s">
        <v>21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 x14ac:dyDescent="0.3">
      <c r="B934" s="47" t="s">
        <v>984</v>
      </c>
      <c r="C934" s="48" t="s">
        <v>21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 x14ac:dyDescent="0.3">
      <c r="B935" s="47" t="s">
        <v>985</v>
      </c>
      <c r="C935" s="48" t="s">
        <v>910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 x14ac:dyDescent="0.3">
      <c r="B936" s="47" t="s">
        <v>986</v>
      </c>
      <c r="C936" s="48" t="s">
        <v>655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 x14ac:dyDescent="0.3">
      <c r="B937" s="47" t="s">
        <v>987</v>
      </c>
      <c r="C937" s="48" t="s">
        <v>21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 x14ac:dyDescent="0.3">
      <c r="B938" s="47" t="s">
        <v>988</v>
      </c>
      <c r="C938" s="48" t="s">
        <v>21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 x14ac:dyDescent="0.3">
      <c r="B939" s="47" t="s">
        <v>989</v>
      </c>
      <c r="C939" s="48" t="s">
        <v>21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 x14ac:dyDescent="0.3">
      <c r="B940" s="47" t="s">
        <v>990</v>
      </c>
      <c r="C940" s="48" t="s">
        <v>910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 x14ac:dyDescent="0.3">
      <c r="B941" s="47" t="s">
        <v>991</v>
      </c>
      <c r="C941" s="48" t="s">
        <v>655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 x14ac:dyDescent="0.3">
      <c r="B942" s="47" t="s">
        <v>992</v>
      </c>
      <c r="C942" s="48" t="s">
        <v>21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 x14ac:dyDescent="0.3">
      <c r="B943" s="47" t="s">
        <v>993</v>
      </c>
      <c r="C943" s="48" t="s">
        <v>21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 x14ac:dyDescent="0.3">
      <c r="B944" s="47" t="s">
        <v>994</v>
      </c>
      <c r="C944" s="48" t="s">
        <v>21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 x14ac:dyDescent="0.3">
      <c r="B945" s="47" t="s">
        <v>995</v>
      </c>
      <c r="C945" s="48" t="s">
        <v>910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 x14ac:dyDescent="0.3">
      <c r="B946" s="47" t="s">
        <v>996</v>
      </c>
      <c r="C946" s="48" t="s">
        <v>655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 x14ac:dyDescent="0.3">
      <c r="B947" s="47" t="s">
        <v>997</v>
      </c>
      <c r="C947" s="48" t="s">
        <v>21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 x14ac:dyDescent="0.3">
      <c r="B948" s="47" t="s">
        <v>998</v>
      </c>
      <c r="C948" s="48" t="s">
        <v>21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 x14ac:dyDescent="0.3">
      <c r="B949" s="47" t="s">
        <v>999</v>
      </c>
      <c r="C949" s="48" t="s">
        <v>21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 x14ac:dyDescent="0.3">
      <c r="B950" s="47" t="s">
        <v>1000</v>
      </c>
      <c r="C950" s="48" t="s">
        <v>910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 x14ac:dyDescent="0.3">
      <c r="B951" s="47" t="s">
        <v>1001</v>
      </c>
      <c r="C951" s="48" t="s">
        <v>655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 x14ac:dyDescent="0.3">
      <c r="B952" s="47" t="s">
        <v>1002</v>
      </c>
      <c r="C952" s="48" t="s">
        <v>21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 x14ac:dyDescent="0.3">
      <c r="B953" s="47" t="s">
        <v>1003</v>
      </c>
      <c r="C953" s="48" t="s">
        <v>21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 x14ac:dyDescent="0.3">
      <c r="B954" s="47" t="s">
        <v>1004</v>
      </c>
      <c r="C954" s="48" t="s">
        <v>21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 x14ac:dyDescent="0.3">
      <c r="B955" s="47" t="s">
        <v>1005</v>
      </c>
      <c r="C955" s="48" t="s">
        <v>910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 x14ac:dyDescent="0.3">
      <c r="B956" s="47" t="s">
        <v>1006</v>
      </c>
      <c r="C956" s="48" t="s">
        <v>655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 x14ac:dyDescent="0.3">
      <c r="B957" s="47" t="s">
        <v>1007</v>
      </c>
      <c r="C957" s="48" t="s">
        <v>21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 x14ac:dyDescent="0.3">
      <c r="B958" s="47" t="s">
        <v>1008</v>
      </c>
      <c r="C958" s="48" t="s">
        <v>21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 x14ac:dyDescent="0.3">
      <c r="B959" s="47" t="s">
        <v>1009</v>
      </c>
      <c r="C959" s="48" t="s">
        <v>21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 x14ac:dyDescent="0.3">
      <c r="B960" s="47" t="s">
        <v>1010</v>
      </c>
      <c r="C960" s="48" t="s">
        <v>910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 x14ac:dyDescent="0.3">
      <c r="B961" s="47" t="s">
        <v>1011</v>
      </c>
      <c r="C961" s="48" t="s">
        <v>655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 x14ac:dyDescent="0.3">
      <c r="B962" s="47" t="s">
        <v>1012</v>
      </c>
      <c r="C962" s="48" t="s">
        <v>21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 x14ac:dyDescent="0.3">
      <c r="B963" s="47" t="s">
        <v>1013</v>
      </c>
      <c r="C963" s="48" t="s">
        <v>21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 x14ac:dyDescent="0.3">
      <c r="B964" s="47" t="s">
        <v>1014</v>
      </c>
      <c r="C964" s="48" t="s">
        <v>21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 x14ac:dyDescent="0.3">
      <c r="B965" s="47" t="s">
        <v>1015</v>
      </c>
      <c r="C965" s="48" t="s">
        <v>910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 x14ac:dyDescent="0.3">
      <c r="B966" s="47" t="s">
        <v>1016</v>
      </c>
      <c r="C966" s="48" t="s">
        <v>655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 x14ac:dyDescent="0.3">
      <c r="B967" s="47" t="s">
        <v>1017</v>
      </c>
      <c r="C967" s="48" t="s">
        <v>21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 x14ac:dyDescent="0.3">
      <c r="B968" s="47" t="s">
        <v>1018</v>
      </c>
      <c r="C968" s="48" t="s">
        <v>21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 x14ac:dyDescent="0.3">
      <c r="B969" s="47" t="s">
        <v>1019</v>
      </c>
      <c r="C969" s="48" t="s">
        <v>21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 x14ac:dyDescent="0.3">
      <c r="B970" s="47" t="s">
        <v>1020</v>
      </c>
      <c r="C970" s="48" t="s">
        <v>910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 x14ac:dyDescent="0.3">
      <c r="B971" s="47" t="s">
        <v>1021</v>
      </c>
      <c r="C971" s="48" t="s">
        <v>655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 x14ac:dyDescent="0.3">
      <c r="B972" s="47" t="s">
        <v>1022</v>
      </c>
      <c r="C972" s="48" t="s">
        <v>21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 x14ac:dyDescent="0.3">
      <c r="B973" s="47" t="s">
        <v>1023</v>
      </c>
      <c r="C973" s="48" t="s">
        <v>21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 x14ac:dyDescent="0.3">
      <c r="B974" s="47" t="s">
        <v>1024</v>
      </c>
      <c r="C974" s="48" t="s">
        <v>21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 x14ac:dyDescent="0.3">
      <c r="B975" s="47" t="s">
        <v>1025</v>
      </c>
      <c r="C975" s="48" t="s">
        <v>910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 x14ac:dyDescent="0.3">
      <c r="B976" s="47" t="s">
        <v>1026</v>
      </c>
      <c r="C976" s="48" t="s">
        <v>655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 x14ac:dyDescent="0.3">
      <c r="B977" s="47" t="s">
        <v>1027</v>
      </c>
      <c r="C977" s="48" t="s">
        <v>21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 x14ac:dyDescent="0.3">
      <c r="B978" s="47" t="s">
        <v>1028</v>
      </c>
      <c r="C978" s="48" t="s">
        <v>21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 x14ac:dyDescent="0.3">
      <c r="B979" s="47" t="s">
        <v>1029</v>
      </c>
      <c r="C979" s="48" t="s">
        <v>21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 x14ac:dyDescent="0.3">
      <c r="B980" s="47" t="s">
        <v>1030</v>
      </c>
      <c r="C980" s="48" t="s">
        <v>910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 x14ac:dyDescent="0.3">
      <c r="B981" s="47" t="s">
        <v>1031</v>
      </c>
      <c r="C981" s="48" t="s">
        <v>655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 x14ac:dyDescent="0.3">
      <c r="B982" s="47" t="s">
        <v>1032</v>
      </c>
      <c r="C982" s="48" t="s">
        <v>21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 x14ac:dyDescent="0.3">
      <c r="B983" s="47" t="s">
        <v>1033</v>
      </c>
      <c r="C983" s="48" t="s">
        <v>21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 x14ac:dyDescent="0.3">
      <c r="B984" s="47" t="s">
        <v>1034</v>
      </c>
      <c r="C984" s="48" t="s">
        <v>21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 x14ac:dyDescent="0.3">
      <c r="B985" s="47" t="s">
        <v>1035</v>
      </c>
      <c r="C985" s="48" t="s">
        <v>1036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 x14ac:dyDescent="0.3">
      <c r="B986" s="47" t="s">
        <v>1037</v>
      </c>
      <c r="C986" s="48" t="s">
        <v>21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 x14ac:dyDescent="0.3">
      <c r="B987" s="47" t="s">
        <v>1038</v>
      </c>
      <c r="C987" s="48" t="s">
        <v>21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 x14ac:dyDescent="0.3">
      <c r="B988" s="47" t="s">
        <v>1039</v>
      </c>
      <c r="C988" s="48" t="s">
        <v>21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 x14ac:dyDescent="0.3">
      <c r="B989" s="47" t="s">
        <v>1040</v>
      </c>
      <c r="C989" s="48" t="s">
        <v>21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 x14ac:dyDescent="0.3">
      <c r="B990" s="47" t="s">
        <v>1041</v>
      </c>
      <c r="C990" s="48" t="s">
        <v>1036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 x14ac:dyDescent="0.3">
      <c r="B991" s="47" t="s">
        <v>1042</v>
      </c>
      <c r="C991" s="48" t="s">
        <v>21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 x14ac:dyDescent="0.3">
      <c r="B992" s="47" t="s">
        <v>1043</v>
      </c>
      <c r="C992" s="48" t="s">
        <v>21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 x14ac:dyDescent="0.3">
      <c r="B993" s="47" t="s">
        <v>1044</v>
      </c>
      <c r="C993" s="48" t="s">
        <v>21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 x14ac:dyDescent="0.3">
      <c r="B994" s="47" t="s">
        <v>1045</v>
      </c>
      <c r="C994" s="48" t="s">
        <v>21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 x14ac:dyDescent="0.3">
      <c r="B995" s="47" t="s">
        <v>1046</v>
      </c>
      <c r="C995" s="48" t="s">
        <v>1036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 x14ac:dyDescent="0.3">
      <c r="B996" s="47" t="s">
        <v>1047</v>
      </c>
      <c r="C996" s="48" t="s">
        <v>21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 x14ac:dyDescent="0.3">
      <c r="B997" s="47" t="s">
        <v>1048</v>
      </c>
      <c r="C997" s="48" t="s">
        <v>21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 x14ac:dyDescent="0.3">
      <c r="B998" s="47" t="s">
        <v>1049</v>
      </c>
      <c r="C998" s="48" t="s">
        <v>21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 x14ac:dyDescent="0.3">
      <c r="B999" s="47" t="s">
        <v>1050</v>
      </c>
      <c r="C999" s="48" t="s">
        <v>21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 x14ac:dyDescent="0.3">
      <c r="B1000" s="47" t="s">
        <v>1051</v>
      </c>
      <c r="C1000" s="48" t="s">
        <v>1036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 x14ac:dyDescent="0.3">
      <c r="B1001" s="47" t="s">
        <v>1052</v>
      </c>
      <c r="C1001" s="48" t="s">
        <v>21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 x14ac:dyDescent="0.3">
      <c r="B1002" s="47" t="s">
        <v>1053</v>
      </c>
      <c r="C1002" s="48" t="s">
        <v>21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 x14ac:dyDescent="0.3">
      <c r="B1003" s="47" t="s">
        <v>1054</v>
      </c>
      <c r="C1003" s="48" t="s">
        <v>21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 x14ac:dyDescent="0.3">
      <c r="B1004" s="47" t="s">
        <v>1055</v>
      </c>
      <c r="C1004" s="48" t="s">
        <v>21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 x14ac:dyDescent="0.3">
      <c r="B1005" s="47" t="s">
        <v>1056</v>
      </c>
      <c r="C1005" s="48" t="s">
        <v>1036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 x14ac:dyDescent="0.3">
      <c r="B1006" s="47" t="s">
        <v>1057</v>
      </c>
      <c r="C1006" s="48" t="s">
        <v>21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 x14ac:dyDescent="0.3">
      <c r="B1007" s="47" t="s">
        <v>1058</v>
      </c>
      <c r="C1007" s="48" t="s">
        <v>21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 x14ac:dyDescent="0.3">
      <c r="B1008" s="47" t="s">
        <v>1059</v>
      </c>
      <c r="C1008" s="48" t="s">
        <v>21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 x14ac:dyDescent="0.3">
      <c r="B1009" s="47" t="s">
        <v>1060</v>
      </c>
      <c r="C1009" s="48" t="s">
        <v>21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 x14ac:dyDescent="0.3">
      <c r="B1010" s="47" t="s">
        <v>1061</v>
      </c>
      <c r="C1010" s="48" t="s">
        <v>1036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 x14ac:dyDescent="0.3">
      <c r="B1011" s="47" t="s">
        <v>1062</v>
      </c>
      <c r="C1011" s="48" t="s">
        <v>21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 x14ac:dyDescent="0.3">
      <c r="B1012" s="47" t="s">
        <v>1063</v>
      </c>
      <c r="C1012" s="48" t="s">
        <v>21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 x14ac:dyDescent="0.3">
      <c r="B1013" s="47" t="s">
        <v>1064</v>
      </c>
      <c r="C1013" s="48" t="s">
        <v>21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 x14ac:dyDescent="0.3">
      <c r="B1014" s="47" t="s">
        <v>1065</v>
      </c>
      <c r="C1014" s="48" t="s">
        <v>21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 x14ac:dyDescent="0.3">
      <c r="B1015" s="47" t="s">
        <v>1066</v>
      </c>
      <c r="C1015" s="48" t="s">
        <v>1036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 x14ac:dyDescent="0.3">
      <c r="B1016" s="47" t="s">
        <v>1067</v>
      </c>
      <c r="C1016" s="48" t="s">
        <v>21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 x14ac:dyDescent="0.3">
      <c r="B1017" s="47" t="s">
        <v>1068</v>
      </c>
      <c r="C1017" s="48" t="s">
        <v>21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 x14ac:dyDescent="0.3">
      <c r="B1018" s="47" t="s">
        <v>1069</v>
      </c>
      <c r="C1018" s="48" t="s">
        <v>21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 x14ac:dyDescent="0.3">
      <c r="B1019" s="47" t="s">
        <v>1070</v>
      </c>
      <c r="C1019" s="48" t="s">
        <v>21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 x14ac:dyDescent="0.3">
      <c r="B1020" s="47" t="s">
        <v>1071</v>
      </c>
      <c r="C1020" s="48" t="s">
        <v>1036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 x14ac:dyDescent="0.3">
      <c r="B1021" s="47" t="s">
        <v>1072</v>
      </c>
      <c r="C1021" s="48" t="s">
        <v>21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 x14ac:dyDescent="0.3">
      <c r="B1022" s="47" t="s">
        <v>1073</v>
      </c>
      <c r="C1022" s="48" t="s">
        <v>21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 x14ac:dyDescent="0.3">
      <c r="B1023" s="47" t="s">
        <v>1074</v>
      </c>
      <c r="C1023" s="48" t="s">
        <v>21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 x14ac:dyDescent="0.3">
      <c r="B1024" s="47" t="s">
        <v>1075</v>
      </c>
      <c r="C1024" s="48" t="s">
        <v>21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 x14ac:dyDescent="0.3">
      <c r="B1025" s="47" t="s">
        <v>1076</v>
      </c>
      <c r="C1025" s="48" t="s">
        <v>1036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 x14ac:dyDescent="0.3">
      <c r="B1026" s="47" t="s">
        <v>1077</v>
      </c>
      <c r="C1026" s="48" t="s">
        <v>21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 x14ac:dyDescent="0.3">
      <c r="B1027" s="47" t="s">
        <v>1078</v>
      </c>
      <c r="C1027" s="48" t="s">
        <v>21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 x14ac:dyDescent="0.3">
      <c r="B1028" s="47" t="s">
        <v>1079</v>
      </c>
      <c r="C1028" s="48" t="s">
        <v>21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 x14ac:dyDescent="0.3">
      <c r="B1029" s="47" t="s">
        <v>1080</v>
      </c>
      <c r="C1029" s="48" t="s">
        <v>21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 x14ac:dyDescent="0.3">
      <c r="B1030" s="47" t="s">
        <v>1081</v>
      </c>
      <c r="C1030" s="48" t="s">
        <v>1036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 x14ac:dyDescent="0.3">
      <c r="B1031" s="47" t="s">
        <v>1082</v>
      </c>
      <c r="C1031" s="48" t="s">
        <v>21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 x14ac:dyDescent="0.3">
      <c r="B1032" s="47" t="s">
        <v>1083</v>
      </c>
      <c r="C1032" s="48" t="s">
        <v>21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 x14ac:dyDescent="0.3">
      <c r="B1033" s="47" t="s">
        <v>1084</v>
      </c>
      <c r="C1033" s="48" t="s">
        <v>21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 x14ac:dyDescent="0.3">
      <c r="B1034" s="47" t="s">
        <v>1085</v>
      </c>
      <c r="C1034" s="48" t="s">
        <v>21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 x14ac:dyDescent="0.3">
      <c r="B1035" s="47" t="s">
        <v>1086</v>
      </c>
      <c r="C1035" s="48" t="s">
        <v>1036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 x14ac:dyDescent="0.3">
      <c r="B1036" s="47" t="s">
        <v>1087</v>
      </c>
      <c r="C1036" s="48" t="s">
        <v>21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 x14ac:dyDescent="0.3">
      <c r="B1037" s="47" t="s">
        <v>1088</v>
      </c>
      <c r="C1037" s="48" t="s">
        <v>21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 x14ac:dyDescent="0.3">
      <c r="B1038" s="47" t="s">
        <v>1089</v>
      </c>
      <c r="C1038" s="48" t="s">
        <v>21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 x14ac:dyDescent="0.3">
      <c r="B1039" s="47" t="s">
        <v>1090</v>
      </c>
      <c r="C1039" s="48" t="s">
        <v>21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 x14ac:dyDescent="0.3">
      <c r="B1040" s="47" t="s">
        <v>1091</v>
      </c>
      <c r="C1040" s="48" t="s">
        <v>1036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 x14ac:dyDescent="0.3">
      <c r="B1041" s="47" t="s">
        <v>1092</v>
      </c>
      <c r="C1041" s="48" t="s">
        <v>21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 x14ac:dyDescent="0.3">
      <c r="B1042" s="47" t="s">
        <v>1093</v>
      </c>
      <c r="C1042" s="48" t="s">
        <v>21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 x14ac:dyDescent="0.3">
      <c r="B1043" s="47" t="s">
        <v>1094</v>
      </c>
      <c r="C1043" s="48" t="s">
        <v>21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 x14ac:dyDescent="0.3">
      <c r="B1044" s="47" t="s">
        <v>1095</v>
      </c>
      <c r="C1044" s="48" t="s">
        <v>21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 x14ac:dyDescent="0.3">
      <c r="B1045" s="47" t="s">
        <v>1096</v>
      </c>
      <c r="C1045" s="48" t="s">
        <v>1036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 x14ac:dyDescent="0.3">
      <c r="B1046" s="47" t="s">
        <v>1097</v>
      </c>
      <c r="C1046" s="48" t="s">
        <v>21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 x14ac:dyDescent="0.3">
      <c r="B1047" s="47" t="s">
        <v>1098</v>
      </c>
      <c r="C1047" s="48" t="s">
        <v>21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 x14ac:dyDescent="0.3">
      <c r="B1048" s="47" t="s">
        <v>1099</v>
      </c>
      <c r="C1048" s="48" t="s">
        <v>21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 x14ac:dyDescent="0.3">
      <c r="B1049" s="47" t="s">
        <v>1100</v>
      </c>
      <c r="C1049" s="48" t="s">
        <v>21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 x14ac:dyDescent="0.3">
      <c r="B1050" s="47" t="s">
        <v>1101</v>
      </c>
      <c r="C1050" s="48" t="s">
        <v>1036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 x14ac:dyDescent="0.3">
      <c r="B1051" s="47" t="s">
        <v>1102</v>
      </c>
      <c r="C1051" s="48" t="s">
        <v>21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 x14ac:dyDescent="0.3">
      <c r="B1052" s="47" t="s">
        <v>1103</v>
      </c>
      <c r="C1052" s="48" t="s">
        <v>21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 x14ac:dyDescent="0.3">
      <c r="B1053" s="47" t="s">
        <v>1104</v>
      </c>
      <c r="C1053" s="48" t="s">
        <v>21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 x14ac:dyDescent="0.3">
      <c r="B1054" s="47" t="s">
        <v>1105</v>
      </c>
      <c r="C1054" s="48" t="s">
        <v>21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 x14ac:dyDescent="0.3">
      <c r="B1055" s="47" t="s">
        <v>1106</v>
      </c>
      <c r="C1055" s="48" t="s">
        <v>1036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 x14ac:dyDescent="0.3">
      <c r="B1056" s="47" t="s">
        <v>1107</v>
      </c>
      <c r="C1056" s="48" t="s">
        <v>21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 x14ac:dyDescent="0.3">
      <c r="B1057" s="47" t="s">
        <v>1108</v>
      </c>
      <c r="C1057" s="48" t="s">
        <v>21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 x14ac:dyDescent="0.3">
      <c r="B1058" s="47" t="s">
        <v>1109</v>
      </c>
      <c r="C1058" s="48" t="s">
        <v>21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 x14ac:dyDescent="0.3">
      <c r="B1059" s="47" t="s">
        <v>1110</v>
      </c>
      <c r="C1059" s="48" t="s">
        <v>21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 x14ac:dyDescent="0.3">
      <c r="B1060" s="47" t="s">
        <v>1111</v>
      </c>
      <c r="C1060" s="48" t="s">
        <v>1036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 x14ac:dyDescent="0.3">
      <c r="B1061" s="47" t="s">
        <v>1112</v>
      </c>
      <c r="C1061" s="48" t="s">
        <v>21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 x14ac:dyDescent="0.3">
      <c r="B1062" s="47" t="s">
        <v>1113</v>
      </c>
      <c r="C1062" s="48" t="s">
        <v>21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 x14ac:dyDescent="0.3">
      <c r="B1063" s="47" t="s">
        <v>1114</v>
      </c>
      <c r="C1063" s="48" t="s">
        <v>21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 x14ac:dyDescent="0.3">
      <c r="B1064" s="47" t="s">
        <v>1115</v>
      </c>
      <c r="C1064" s="48" t="s">
        <v>21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 x14ac:dyDescent="0.3">
      <c r="B1065" s="47" t="s">
        <v>1116</v>
      </c>
      <c r="C1065" s="48" t="s">
        <v>1036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 x14ac:dyDescent="0.3">
      <c r="B1066" s="47" t="s">
        <v>1117</v>
      </c>
      <c r="C1066" s="48" t="s">
        <v>21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 x14ac:dyDescent="0.3">
      <c r="B1067" s="47" t="s">
        <v>1118</v>
      </c>
      <c r="C1067" s="48" t="s">
        <v>21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 x14ac:dyDescent="0.3">
      <c r="B1068" s="47" t="s">
        <v>1119</v>
      </c>
      <c r="C1068" s="48" t="s">
        <v>21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 x14ac:dyDescent="0.3">
      <c r="B1069" s="47" t="s">
        <v>1120</v>
      </c>
      <c r="C1069" s="48" t="s">
        <v>21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 x14ac:dyDescent="0.3">
      <c r="B1070" s="47" t="s">
        <v>1121</v>
      </c>
      <c r="C1070" s="48" t="s">
        <v>1036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 x14ac:dyDescent="0.3">
      <c r="B1071" s="47" t="s">
        <v>1122</v>
      </c>
      <c r="C1071" s="48" t="s">
        <v>21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 x14ac:dyDescent="0.3">
      <c r="B1072" s="47" t="s">
        <v>1123</v>
      </c>
      <c r="C1072" s="48" t="s">
        <v>21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 x14ac:dyDescent="0.3">
      <c r="B1073" s="47" t="s">
        <v>1124</v>
      </c>
      <c r="C1073" s="48" t="s">
        <v>21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 x14ac:dyDescent="0.3">
      <c r="B1074" s="47" t="s">
        <v>1125</v>
      </c>
      <c r="C1074" s="48" t="s">
        <v>21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 x14ac:dyDescent="0.3">
      <c r="B1075" s="47" t="s">
        <v>1126</v>
      </c>
      <c r="C1075" s="48" t="s">
        <v>1036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 x14ac:dyDescent="0.3">
      <c r="B1076" s="47" t="s">
        <v>1127</v>
      </c>
      <c r="C1076" s="48" t="s">
        <v>21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 x14ac:dyDescent="0.3">
      <c r="B1077" s="47" t="s">
        <v>1128</v>
      </c>
      <c r="C1077" s="48" t="s">
        <v>21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 x14ac:dyDescent="0.3">
      <c r="B1078" s="47" t="s">
        <v>1129</v>
      </c>
      <c r="C1078" s="48" t="s">
        <v>21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 x14ac:dyDescent="0.3">
      <c r="B1079" s="47" t="s">
        <v>1130</v>
      </c>
      <c r="C1079" s="48" t="s">
        <v>21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 x14ac:dyDescent="0.3">
      <c r="B1080" s="47" t="s">
        <v>1131</v>
      </c>
      <c r="C1080" s="48" t="s">
        <v>1036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 x14ac:dyDescent="0.3">
      <c r="B1081" s="47" t="s">
        <v>1132</v>
      </c>
      <c r="C1081" s="48" t="s">
        <v>21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 x14ac:dyDescent="0.3">
      <c r="B1082" s="47" t="s">
        <v>1133</v>
      </c>
      <c r="C1082" s="48" t="s">
        <v>21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 x14ac:dyDescent="0.3">
      <c r="B1083" s="47" t="s">
        <v>1134</v>
      </c>
      <c r="C1083" s="48" t="s">
        <v>21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 x14ac:dyDescent="0.3">
      <c r="B1084" s="47" t="s">
        <v>1135</v>
      </c>
      <c r="C1084" s="48" t="s">
        <v>21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 x14ac:dyDescent="0.3">
      <c r="B1085" s="47" t="s">
        <v>1136</v>
      </c>
      <c r="C1085" s="48" t="s">
        <v>1036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 x14ac:dyDescent="0.3">
      <c r="B1086" s="47" t="s">
        <v>1137</v>
      </c>
      <c r="C1086" s="48" t="s">
        <v>21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 x14ac:dyDescent="0.3">
      <c r="B1087" s="47" t="s">
        <v>1138</v>
      </c>
      <c r="C1087" s="48" t="s">
        <v>21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 x14ac:dyDescent="0.3">
      <c r="B1088" s="47" t="s">
        <v>1139</v>
      </c>
      <c r="C1088" s="48" t="s">
        <v>21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 x14ac:dyDescent="0.3">
      <c r="B1089" s="47" t="s">
        <v>1140</v>
      </c>
      <c r="C1089" s="48" t="s">
        <v>21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 x14ac:dyDescent="0.3">
      <c r="B1090" s="47" t="s">
        <v>1141</v>
      </c>
      <c r="C1090" s="48" t="s">
        <v>1036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 x14ac:dyDescent="0.3">
      <c r="B1091" s="47" t="s">
        <v>1142</v>
      </c>
      <c r="C1091" s="48" t="s">
        <v>21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 x14ac:dyDescent="0.3">
      <c r="B1092" s="47" t="s">
        <v>1143</v>
      </c>
      <c r="C1092" s="48" t="s">
        <v>21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 x14ac:dyDescent="0.3">
      <c r="B1093" s="47" t="s">
        <v>1144</v>
      </c>
      <c r="C1093" s="48" t="s">
        <v>21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 x14ac:dyDescent="0.3">
      <c r="B1094" s="47" t="s">
        <v>1145</v>
      </c>
      <c r="C1094" s="48" t="s">
        <v>21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 x14ac:dyDescent="0.3">
      <c r="B1095" s="47" t="s">
        <v>1146</v>
      </c>
      <c r="C1095" s="48" t="s">
        <v>1036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 x14ac:dyDescent="0.3">
      <c r="B1096" s="47" t="s">
        <v>1147</v>
      </c>
      <c r="C1096" s="48" t="s">
        <v>21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 x14ac:dyDescent="0.3">
      <c r="B1097" s="47" t="s">
        <v>1148</v>
      </c>
      <c r="C1097" s="48" t="s">
        <v>21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 x14ac:dyDescent="0.3">
      <c r="B1098" s="47" t="s">
        <v>1149</v>
      </c>
      <c r="C1098" s="48" t="s">
        <v>21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 x14ac:dyDescent="0.3">
      <c r="B1099" s="47" t="s">
        <v>1150</v>
      </c>
      <c r="C1099" s="48" t="s">
        <v>21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 x14ac:dyDescent="0.3">
      <c r="B1100" s="47" t="s">
        <v>1151</v>
      </c>
      <c r="C1100" s="48" t="s">
        <v>1036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 x14ac:dyDescent="0.3">
      <c r="B1101" s="47" t="s">
        <v>1152</v>
      </c>
      <c r="C1101" s="48" t="s">
        <v>21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 x14ac:dyDescent="0.3">
      <c r="B1102" s="47" t="s">
        <v>1153</v>
      </c>
      <c r="C1102" s="48" t="s">
        <v>21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 x14ac:dyDescent="0.3">
      <c r="B1103" s="47" t="s">
        <v>1154</v>
      </c>
      <c r="C1103" s="48" t="s">
        <v>21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 x14ac:dyDescent="0.3">
      <c r="B1104" s="47" t="s">
        <v>1155</v>
      </c>
      <c r="C1104" s="48" t="s">
        <v>21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 x14ac:dyDescent="0.3">
      <c r="B1105" s="47" t="s">
        <v>1156</v>
      </c>
      <c r="C1105" s="48" t="s">
        <v>1036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 x14ac:dyDescent="0.3">
      <c r="B1106" s="47" t="s">
        <v>1157</v>
      </c>
      <c r="C1106" s="48" t="s">
        <v>21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 x14ac:dyDescent="0.3">
      <c r="B1107" s="47" t="s">
        <v>1158</v>
      </c>
      <c r="C1107" s="48" t="s">
        <v>21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" thickBot="1" x14ac:dyDescent="0.35">
      <c r="B1108" s="50" t="s">
        <v>1159</v>
      </c>
      <c r="C1108" s="51" t="s">
        <v>21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 x14ac:dyDescent="0.3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37" zoomScale="55" zoomScaleNormal="55" workbookViewId="0">
      <selection activeCell="S53" sqref="S53"/>
    </sheetView>
  </sheetViews>
  <sheetFormatPr defaultRowHeight="15.6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9.88671875" style="1" bestFit="1" customWidth="1"/>
    <col min="63" max="68" width="8.88671875" style="1"/>
    <col min="69" max="69" width="9.88671875" style="1" bestFit="1" customWidth="1"/>
    <col min="70" max="16384" width="8.88671875" style="1"/>
  </cols>
  <sheetData>
    <row r="1" spans="2:81" ht="16.350000000000001" thickBot="1" x14ac:dyDescent="0.35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1" ht="15.75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 ht="15.75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1164</v>
      </c>
      <c r="BR3" s="8"/>
      <c r="BS3" s="8"/>
      <c r="BT3" s="8"/>
      <c r="BU3" s="8"/>
      <c r="BV3" s="8"/>
      <c r="BW3" s="8"/>
      <c r="BX3" s="8" t="s">
        <v>1165</v>
      </c>
      <c r="BY3" s="8"/>
      <c r="BZ3" s="8"/>
      <c r="CA3" s="8"/>
      <c r="CB3" s="8"/>
      <c r="CC3" s="9"/>
    </row>
    <row r="4" spans="2:81" ht="15.75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36</v>
      </c>
      <c r="BK4" s="8"/>
      <c r="BL4" s="8"/>
      <c r="BM4" s="8"/>
      <c r="BN4" s="8"/>
      <c r="BO4" s="8"/>
      <c r="BP4" s="8"/>
      <c r="BQ4" s="8" t="s">
        <v>1163</v>
      </c>
      <c r="BR4" s="8"/>
      <c r="BS4" s="8"/>
      <c r="BT4" s="8"/>
      <c r="BU4" s="8"/>
      <c r="BV4" s="58"/>
      <c r="BW4" s="8"/>
      <c r="BX4" s="8" t="s">
        <v>1162</v>
      </c>
      <c r="BY4" s="8"/>
      <c r="BZ4" s="8"/>
      <c r="CA4" s="8"/>
      <c r="CB4" s="8"/>
      <c r="CC4" s="9"/>
    </row>
    <row r="5" spans="2:81" ht="15.75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0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45" t="s">
        <v>7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8"/>
      <c r="AV5" s="45" t="s">
        <v>7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8"/>
      <c r="BC5" s="45" t="s">
        <v>7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8"/>
      <c r="BQ5" s="45" t="s">
        <v>7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8"/>
      <c r="BX5" s="45" t="s">
        <v>7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 ht="15.75" x14ac:dyDescent="0.3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8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6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P6" s="8"/>
      <c r="BQ6" s="23">
        <v>1</v>
      </c>
      <c r="BR6" s="16">
        <f>AI6+AP6*2+AW6*3+BD6*4</f>
        <v>0</v>
      </c>
      <c r="BS6" s="16">
        <f t="shared" ref="BS6:BV6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W6" s="8"/>
      <c r="BX6" s="23">
        <v>1</v>
      </c>
      <c r="BY6" s="16">
        <f>AI6+AP6*POWER(2,$O6)+AW6*POWER(3,$O6)+BD6*POWER(4,$O6)</f>
        <v>0</v>
      </c>
      <c r="BZ6" s="16">
        <f t="shared" ref="BZ6:CC6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 ht="15.75" x14ac:dyDescent="0.3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1</v>
      </c>
      <c r="AJ7" s="16">
        <v>0</v>
      </c>
      <c r="AK7" s="16">
        <v>0</v>
      </c>
      <c r="AL7" s="16">
        <v>0</v>
      </c>
      <c r="AM7" s="16">
        <v>0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8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K30" si="8">AI7+AP7+AW7+BD7</f>
        <v>1</v>
      </c>
      <c r="BL7" s="16">
        <f t="shared" ref="BL7:BL30" si="9">AJ7+AQ7+AX7+BE7</f>
        <v>0</v>
      </c>
      <c r="BM7" s="16">
        <f t="shared" ref="BM7:BM30" si="10">AK7+AR7+AY7+BF7</f>
        <v>0</v>
      </c>
      <c r="BN7" s="16">
        <f t="shared" ref="BN7:BN30" si="11">AL7+AS7+AZ7+BG7</f>
        <v>0</v>
      </c>
      <c r="BO7" s="16">
        <f t="shared" ref="BO7:BO30" si="12">AM7+AT7+BA7+BH7</f>
        <v>0</v>
      </c>
      <c r="BP7" s="8"/>
      <c r="BQ7" s="23">
        <v>2</v>
      </c>
      <c r="BR7" s="16">
        <f t="shared" ref="BR7:BR30" si="13">AI7+AP7*2+AW7*3+BD7*4</f>
        <v>1</v>
      </c>
      <c r="BS7" s="16">
        <f t="shared" ref="BS7:BS30" si="14">AJ7+AQ7*2+AX7*3+BE7*4</f>
        <v>0</v>
      </c>
      <c r="BT7" s="16">
        <f t="shared" ref="BT7:BT30" si="15">AK7+AR7*2+AY7*3+BF7*4</f>
        <v>0</v>
      </c>
      <c r="BU7" s="16">
        <f t="shared" ref="BU7:BU30" si="16">AL7+AS7*2+AZ7*3+BG7*4</f>
        <v>0</v>
      </c>
      <c r="BV7" s="16">
        <f t="shared" ref="BV7:BV30" si="17">AM7+AT7*2+BA7*3+BH7*4</f>
        <v>0</v>
      </c>
      <c r="BW7" s="8"/>
      <c r="BX7" s="23">
        <v>2</v>
      </c>
      <c r="BY7" s="16">
        <f t="shared" ref="BY7:BY30" si="18">AI7+AP7*POWER(2,$O7)+AW7*POWER(3,$O7)+BD7*POWER(4,$O7)</f>
        <v>1</v>
      </c>
      <c r="BZ7" s="16">
        <f t="shared" ref="BZ7:BZ30" si="19">AJ7+AQ7*POWER(2,$O7)+AX7*POWER(3,$O7)+BE7*POWER(4,$O7)</f>
        <v>0</v>
      </c>
      <c r="CA7" s="16">
        <f t="shared" ref="CA7:CA30" si="20">AK7+AR7*POWER(2,$O7)+AY7*POWER(3,$O7)+BF7*POWER(4,$O7)</f>
        <v>0</v>
      </c>
      <c r="CB7" s="16">
        <f t="shared" ref="CB7:CB30" si="21">AL7+AS7*POWER(2,$O7)+AZ7*POWER(3,$O7)+BG7*POWER(4,$O7)</f>
        <v>0</v>
      </c>
      <c r="CC7" s="19">
        <f t="shared" ref="CC7:CC30" si="22">AM7+AT7*POWER(2,$O7)+BA7*POWER(3,$O7)+BH7*POWER(4,$O7)</f>
        <v>0</v>
      </c>
    </row>
    <row r="8" spans="2:81" ht="15.75" x14ac:dyDescent="0.3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8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8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9"/>
        <v>0</v>
      </c>
      <c r="BM8" s="16">
        <f t="shared" si="10"/>
        <v>1</v>
      </c>
      <c r="BN8" s="16">
        <f t="shared" si="11"/>
        <v>0</v>
      </c>
      <c r="BO8" s="16">
        <f t="shared" si="12"/>
        <v>0</v>
      </c>
      <c r="BP8" s="8"/>
      <c r="BQ8" s="23">
        <v>3</v>
      </c>
      <c r="BR8" s="16">
        <f t="shared" si="13"/>
        <v>0</v>
      </c>
      <c r="BS8" s="16">
        <f t="shared" si="14"/>
        <v>0</v>
      </c>
      <c r="BT8" s="16">
        <f t="shared" si="15"/>
        <v>1</v>
      </c>
      <c r="BU8" s="16">
        <f t="shared" si="16"/>
        <v>0</v>
      </c>
      <c r="BV8" s="16">
        <f t="shared" si="17"/>
        <v>0</v>
      </c>
      <c r="BW8" s="8"/>
      <c r="BX8" s="23">
        <v>3</v>
      </c>
      <c r="BY8" s="16">
        <f t="shared" si="18"/>
        <v>0</v>
      </c>
      <c r="BZ8" s="16">
        <f t="shared" si="19"/>
        <v>0</v>
      </c>
      <c r="CA8" s="16">
        <f t="shared" si="20"/>
        <v>1</v>
      </c>
      <c r="CB8" s="16">
        <f t="shared" si="21"/>
        <v>0</v>
      </c>
      <c r="CC8" s="19">
        <f t="shared" si="22"/>
        <v>0</v>
      </c>
    </row>
    <row r="9" spans="2:81" ht="15.75" x14ac:dyDescent="0.3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0</v>
      </c>
      <c r="AL9" s="16">
        <v>0</v>
      </c>
      <c r="AM9" s="16">
        <v>1</v>
      </c>
      <c r="AN9" s="8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9"/>
        <v>0</v>
      </c>
      <c r="BM9" s="16">
        <f t="shared" si="10"/>
        <v>0</v>
      </c>
      <c r="BN9" s="16">
        <f t="shared" si="11"/>
        <v>0</v>
      </c>
      <c r="BO9" s="16">
        <f t="shared" si="12"/>
        <v>1</v>
      </c>
      <c r="BP9" s="8"/>
      <c r="BQ9" s="23">
        <v>4</v>
      </c>
      <c r="BR9" s="16">
        <f t="shared" si="13"/>
        <v>0</v>
      </c>
      <c r="BS9" s="16">
        <f t="shared" si="14"/>
        <v>0</v>
      </c>
      <c r="BT9" s="16">
        <f t="shared" si="15"/>
        <v>0</v>
      </c>
      <c r="BU9" s="16">
        <f t="shared" si="16"/>
        <v>0</v>
      </c>
      <c r="BV9" s="16">
        <f t="shared" si="17"/>
        <v>1</v>
      </c>
      <c r="BW9" s="8"/>
      <c r="BX9" s="23">
        <v>4</v>
      </c>
      <c r="BY9" s="16">
        <f t="shared" si="18"/>
        <v>0</v>
      </c>
      <c r="BZ9" s="16">
        <f t="shared" si="19"/>
        <v>0</v>
      </c>
      <c r="CA9" s="16">
        <f t="shared" si="20"/>
        <v>0</v>
      </c>
      <c r="CB9" s="16">
        <f t="shared" si="21"/>
        <v>0</v>
      </c>
      <c r="CC9" s="19">
        <f t="shared" si="22"/>
        <v>1</v>
      </c>
    </row>
    <row r="10" spans="2:81" ht="15.75" x14ac:dyDescent="0.3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8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8"/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9"/>
        <v>0</v>
      </c>
      <c r="BM10" s="16">
        <f t="shared" si="10"/>
        <v>1</v>
      </c>
      <c r="BN10" s="16">
        <f t="shared" si="11"/>
        <v>0</v>
      </c>
      <c r="BO10" s="16">
        <f t="shared" si="12"/>
        <v>0</v>
      </c>
      <c r="BP10" s="8"/>
      <c r="BQ10" s="23">
        <v>5</v>
      </c>
      <c r="BR10" s="16">
        <f t="shared" si="13"/>
        <v>0</v>
      </c>
      <c r="BS10" s="16">
        <f t="shared" si="14"/>
        <v>0</v>
      </c>
      <c r="BT10" s="16">
        <f t="shared" si="15"/>
        <v>4</v>
      </c>
      <c r="BU10" s="16">
        <f t="shared" si="16"/>
        <v>0</v>
      </c>
      <c r="BV10" s="16">
        <f t="shared" si="17"/>
        <v>0</v>
      </c>
      <c r="BW10" s="8"/>
      <c r="BX10" s="23">
        <v>5</v>
      </c>
      <c r="BY10" s="16">
        <f t="shared" si="18"/>
        <v>0</v>
      </c>
      <c r="BZ10" s="16">
        <f t="shared" si="19"/>
        <v>0</v>
      </c>
      <c r="CA10" s="16">
        <f t="shared" si="20"/>
        <v>3.4822022531844965</v>
      </c>
      <c r="CB10" s="16">
        <f t="shared" si="21"/>
        <v>0</v>
      </c>
      <c r="CC10" s="19">
        <f t="shared" si="22"/>
        <v>0</v>
      </c>
    </row>
    <row r="11" spans="2:81" ht="15.75" x14ac:dyDescent="0.3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1</v>
      </c>
      <c r="AJ11" s="16">
        <v>0</v>
      </c>
      <c r="AK11" s="16">
        <v>0</v>
      </c>
      <c r="AL11" s="16">
        <v>0</v>
      </c>
      <c r="AM11" s="16">
        <v>0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8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1</v>
      </c>
      <c r="BL11" s="16">
        <f t="shared" si="9"/>
        <v>0</v>
      </c>
      <c r="BM11" s="16">
        <f t="shared" si="10"/>
        <v>0</v>
      </c>
      <c r="BN11" s="16">
        <f t="shared" si="11"/>
        <v>0</v>
      </c>
      <c r="BO11" s="16">
        <f t="shared" si="12"/>
        <v>0</v>
      </c>
      <c r="BP11" s="8"/>
      <c r="BQ11" s="23">
        <v>6</v>
      </c>
      <c r="BR11" s="16">
        <f t="shared" si="13"/>
        <v>1</v>
      </c>
      <c r="BS11" s="16">
        <f t="shared" si="14"/>
        <v>0</v>
      </c>
      <c r="BT11" s="16">
        <f t="shared" si="15"/>
        <v>0</v>
      </c>
      <c r="BU11" s="16">
        <f t="shared" si="16"/>
        <v>0</v>
      </c>
      <c r="BV11" s="16">
        <f t="shared" si="17"/>
        <v>0</v>
      </c>
      <c r="BW11" s="8"/>
      <c r="BX11" s="23">
        <v>6</v>
      </c>
      <c r="BY11" s="16">
        <f t="shared" si="18"/>
        <v>1</v>
      </c>
      <c r="BZ11" s="16">
        <f t="shared" si="19"/>
        <v>0</v>
      </c>
      <c r="CA11" s="16">
        <f t="shared" si="20"/>
        <v>0</v>
      </c>
      <c r="CB11" s="16">
        <f t="shared" si="21"/>
        <v>0</v>
      </c>
      <c r="CC11" s="19">
        <f t="shared" si="22"/>
        <v>0</v>
      </c>
    </row>
    <row r="12" spans="2:81" ht="15.75" x14ac:dyDescent="0.3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8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9"/>
        <v>0</v>
      </c>
      <c r="BM12" s="16">
        <f t="shared" si="10"/>
        <v>0</v>
      </c>
      <c r="BN12" s="16">
        <f t="shared" si="11"/>
        <v>0</v>
      </c>
      <c r="BO12" s="16">
        <f t="shared" si="12"/>
        <v>0</v>
      </c>
      <c r="BP12" s="8"/>
      <c r="BQ12" s="23">
        <v>7</v>
      </c>
      <c r="BR12" s="16">
        <f t="shared" si="13"/>
        <v>0</v>
      </c>
      <c r="BS12" s="16">
        <f t="shared" si="14"/>
        <v>0</v>
      </c>
      <c r="BT12" s="16">
        <f t="shared" si="15"/>
        <v>0</v>
      </c>
      <c r="BU12" s="16">
        <f t="shared" si="16"/>
        <v>0</v>
      </c>
      <c r="BV12" s="16">
        <f t="shared" si="17"/>
        <v>0</v>
      </c>
      <c r="BW12" s="8"/>
      <c r="BX12" s="23">
        <v>7</v>
      </c>
      <c r="BY12" s="16">
        <f t="shared" si="18"/>
        <v>0</v>
      </c>
      <c r="BZ12" s="16">
        <f t="shared" si="19"/>
        <v>0</v>
      </c>
      <c r="CA12" s="16">
        <f t="shared" si="20"/>
        <v>0</v>
      </c>
      <c r="CB12" s="16">
        <f t="shared" si="21"/>
        <v>0</v>
      </c>
      <c r="CC12" s="19">
        <f t="shared" si="22"/>
        <v>0</v>
      </c>
    </row>
    <row r="13" spans="2:81" ht="15.75" x14ac:dyDescent="0.3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0</v>
      </c>
      <c r="AJ13" s="16">
        <v>0</v>
      </c>
      <c r="AK13" s="16">
        <v>1</v>
      </c>
      <c r="AL13" s="16">
        <v>0</v>
      </c>
      <c r="AM13" s="16">
        <v>0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8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0</v>
      </c>
      <c r="BL13" s="16">
        <f t="shared" si="9"/>
        <v>0</v>
      </c>
      <c r="BM13" s="16">
        <f t="shared" si="10"/>
        <v>1</v>
      </c>
      <c r="BN13" s="16">
        <f t="shared" si="11"/>
        <v>0</v>
      </c>
      <c r="BO13" s="16">
        <f t="shared" si="12"/>
        <v>0</v>
      </c>
      <c r="BP13" s="8"/>
      <c r="BQ13" s="23">
        <v>8</v>
      </c>
      <c r="BR13" s="16">
        <f t="shared" si="13"/>
        <v>0</v>
      </c>
      <c r="BS13" s="16">
        <f t="shared" si="14"/>
        <v>0</v>
      </c>
      <c r="BT13" s="16">
        <f t="shared" si="15"/>
        <v>1</v>
      </c>
      <c r="BU13" s="16">
        <f t="shared" si="16"/>
        <v>0</v>
      </c>
      <c r="BV13" s="16">
        <f t="shared" si="17"/>
        <v>0</v>
      </c>
      <c r="BW13" s="8"/>
      <c r="BX13" s="23">
        <v>8</v>
      </c>
      <c r="BY13" s="16">
        <f t="shared" si="18"/>
        <v>0</v>
      </c>
      <c r="BZ13" s="16">
        <f t="shared" si="19"/>
        <v>0</v>
      </c>
      <c r="CA13" s="16">
        <f t="shared" si="20"/>
        <v>1</v>
      </c>
      <c r="CB13" s="16">
        <f t="shared" si="21"/>
        <v>0</v>
      </c>
      <c r="CC13" s="19">
        <f t="shared" si="22"/>
        <v>0</v>
      </c>
    </row>
    <row r="14" spans="2:81" ht="15.75" x14ac:dyDescent="0.3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8"/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9"/>
        <v>0</v>
      </c>
      <c r="BM14" s="16">
        <f t="shared" si="10"/>
        <v>0</v>
      </c>
      <c r="BN14" s="16">
        <f t="shared" si="11"/>
        <v>1</v>
      </c>
      <c r="BO14" s="16">
        <f t="shared" si="12"/>
        <v>0</v>
      </c>
      <c r="BP14" s="8"/>
      <c r="BQ14" s="23">
        <v>9</v>
      </c>
      <c r="BR14" s="16">
        <f t="shared" si="13"/>
        <v>0</v>
      </c>
      <c r="BS14" s="16">
        <f t="shared" si="14"/>
        <v>0</v>
      </c>
      <c r="BT14" s="16">
        <f t="shared" si="15"/>
        <v>0</v>
      </c>
      <c r="BU14" s="16">
        <f t="shared" si="16"/>
        <v>3</v>
      </c>
      <c r="BV14" s="16">
        <f t="shared" si="17"/>
        <v>0</v>
      </c>
      <c r="BW14" s="8"/>
      <c r="BX14" s="23">
        <v>9</v>
      </c>
      <c r="BY14" s="16">
        <f t="shared" si="18"/>
        <v>0</v>
      </c>
      <c r="BZ14" s="16">
        <f t="shared" si="19"/>
        <v>0</v>
      </c>
      <c r="CA14" s="16">
        <f t="shared" si="20"/>
        <v>0</v>
      </c>
      <c r="CB14" s="16">
        <f t="shared" si="21"/>
        <v>2.4082246852806923</v>
      </c>
      <c r="CC14" s="19">
        <f t="shared" si="22"/>
        <v>0</v>
      </c>
    </row>
    <row r="15" spans="2:81" ht="15.75" x14ac:dyDescent="0.3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8"/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1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0</v>
      </c>
      <c r="BL15" s="16">
        <f t="shared" si="9"/>
        <v>0</v>
      </c>
      <c r="BM15" s="16">
        <f t="shared" si="10"/>
        <v>0</v>
      </c>
      <c r="BN15" s="16">
        <f t="shared" si="11"/>
        <v>0</v>
      </c>
      <c r="BO15" s="16">
        <f t="shared" si="12"/>
        <v>1</v>
      </c>
      <c r="BP15" s="8"/>
      <c r="BQ15" s="23">
        <v>10</v>
      </c>
      <c r="BR15" s="16">
        <f t="shared" si="13"/>
        <v>0</v>
      </c>
      <c r="BS15" s="16">
        <f t="shared" si="14"/>
        <v>0</v>
      </c>
      <c r="BT15" s="16">
        <f t="shared" si="15"/>
        <v>0</v>
      </c>
      <c r="BU15" s="16">
        <f t="shared" si="16"/>
        <v>0</v>
      </c>
      <c r="BV15" s="16">
        <f t="shared" si="17"/>
        <v>3</v>
      </c>
      <c r="BW15" s="8"/>
      <c r="BX15" s="23">
        <v>10</v>
      </c>
      <c r="BY15" s="16">
        <f t="shared" si="18"/>
        <v>0</v>
      </c>
      <c r="BZ15" s="16">
        <f t="shared" si="19"/>
        <v>0</v>
      </c>
      <c r="CA15" s="16">
        <f t="shared" si="20"/>
        <v>0</v>
      </c>
      <c r="CB15" s="16">
        <f t="shared" si="21"/>
        <v>0</v>
      </c>
      <c r="CC15" s="19">
        <f t="shared" si="22"/>
        <v>2.4082246852806923</v>
      </c>
    </row>
    <row r="16" spans="2:81" ht="15.75" x14ac:dyDescent="0.3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1</v>
      </c>
      <c r="AJ16" s="16">
        <v>0</v>
      </c>
      <c r="AK16" s="16">
        <v>0</v>
      </c>
      <c r="AL16" s="16">
        <v>0</v>
      </c>
      <c r="AM16" s="16">
        <v>0</v>
      </c>
      <c r="AN16" s="8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1</v>
      </c>
      <c r="BL16" s="16">
        <f t="shared" si="9"/>
        <v>0</v>
      </c>
      <c r="BM16" s="16">
        <f t="shared" si="10"/>
        <v>0</v>
      </c>
      <c r="BN16" s="16">
        <f t="shared" si="11"/>
        <v>0</v>
      </c>
      <c r="BO16" s="16">
        <f t="shared" si="12"/>
        <v>0</v>
      </c>
      <c r="BP16" s="8"/>
      <c r="BQ16" s="23">
        <v>11</v>
      </c>
      <c r="BR16" s="16">
        <f t="shared" si="13"/>
        <v>1</v>
      </c>
      <c r="BS16" s="16">
        <f t="shared" si="14"/>
        <v>0</v>
      </c>
      <c r="BT16" s="16">
        <f t="shared" si="15"/>
        <v>0</v>
      </c>
      <c r="BU16" s="16">
        <f t="shared" si="16"/>
        <v>0</v>
      </c>
      <c r="BV16" s="16">
        <f t="shared" si="17"/>
        <v>0</v>
      </c>
      <c r="BW16" s="8"/>
      <c r="BX16" s="23">
        <v>11</v>
      </c>
      <c r="BY16" s="16">
        <f t="shared" si="18"/>
        <v>1</v>
      </c>
      <c r="BZ16" s="16">
        <f t="shared" si="19"/>
        <v>0</v>
      </c>
      <c r="CA16" s="16">
        <f t="shared" si="20"/>
        <v>0</v>
      </c>
      <c r="CB16" s="16">
        <f t="shared" si="21"/>
        <v>0</v>
      </c>
      <c r="CC16" s="19">
        <f t="shared" si="22"/>
        <v>0</v>
      </c>
    </row>
    <row r="17" spans="2:81" ht="15.75" x14ac:dyDescent="0.3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8"/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9"/>
        <v>0</v>
      </c>
      <c r="BM17" s="16">
        <f t="shared" si="10"/>
        <v>0</v>
      </c>
      <c r="BN17" s="16">
        <f t="shared" si="11"/>
        <v>1</v>
      </c>
      <c r="BO17" s="16">
        <f t="shared" si="12"/>
        <v>0</v>
      </c>
      <c r="BP17" s="8"/>
      <c r="BQ17" s="23">
        <v>12</v>
      </c>
      <c r="BR17" s="16">
        <f t="shared" si="13"/>
        <v>0</v>
      </c>
      <c r="BS17" s="16">
        <f t="shared" si="14"/>
        <v>0</v>
      </c>
      <c r="BT17" s="16">
        <f t="shared" si="15"/>
        <v>0</v>
      </c>
      <c r="BU17" s="16">
        <f t="shared" si="16"/>
        <v>4</v>
      </c>
      <c r="BV17" s="16">
        <f t="shared" si="17"/>
        <v>0</v>
      </c>
      <c r="BW17" s="8"/>
      <c r="BX17" s="23">
        <v>12</v>
      </c>
      <c r="BY17" s="16">
        <f t="shared" si="18"/>
        <v>0</v>
      </c>
      <c r="BZ17" s="16">
        <f t="shared" si="19"/>
        <v>0</v>
      </c>
      <c r="CA17" s="16">
        <f t="shared" si="20"/>
        <v>0</v>
      </c>
      <c r="CB17" s="16">
        <f t="shared" si="21"/>
        <v>3.031433133020796</v>
      </c>
      <c r="CC17" s="19">
        <f t="shared" si="22"/>
        <v>0</v>
      </c>
    </row>
    <row r="18" spans="2:81" ht="15.75" x14ac:dyDescent="0.3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8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9"/>
        <v>0</v>
      </c>
      <c r="BM18" s="16">
        <f t="shared" si="10"/>
        <v>0</v>
      </c>
      <c r="BN18" s="16">
        <f t="shared" si="11"/>
        <v>0</v>
      </c>
      <c r="BO18" s="16">
        <f t="shared" si="12"/>
        <v>0</v>
      </c>
      <c r="BP18" s="8"/>
      <c r="BQ18" s="23">
        <v>13</v>
      </c>
      <c r="BR18" s="16">
        <f t="shared" si="13"/>
        <v>0</v>
      </c>
      <c r="BS18" s="16">
        <f t="shared" si="14"/>
        <v>0</v>
      </c>
      <c r="BT18" s="16">
        <f t="shared" si="15"/>
        <v>0</v>
      </c>
      <c r="BU18" s="16">
        <f t="shared" si="16"/>
        <v>0</v>
      </c>
      <c r="BV18" s="16">
        <f t="shared" si="17"/>
        <v>0</v>
      </c>
      <c r="BW18" s="8"/>
      <c r="BX18" s="23">
        <v>13</v>
      </c>
      <c r="BY18" s="16">
        <f t="shared" si="18"/>
        <v>0</v>
      </c>
      <c r="BZ18" s="16">
        <f t="shared" si="19"/>
        <v>0</v>
      </c>
      <c r="CA18" s="16">
        <f t="shared" si="20"/>
        <v>0</v>
      </c>
      <c r="CB18" s="16">
        <f t="shared" si="21"/>
        <v>0</v>
      </c>
      <c r="CC18" s="19">
        <f t="shared" si="22"/>
        <v>0</v>
      </c>
    </row>
    <row r="19" spans="2:81" ht="15.75" x14ac:dyDescent="0.3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8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9"/>
        <v>0</v>
      </c>
      <c r="BM19" s="16">
        <f t="shared" si="10"/>
        <v>1</v>
      </c>
      <c r="BN19" s="16">
        <f t="shared" si="11"/>
        <v>0</v>
      </c>
      <c r="BO19" s="16">
        <f t="shared" si="12"/>
        <v>0</v>
      </c>
      <c r="BP19" s="8"/>
      <c r="BQ19" s="23">
        <v>14</v>
      </c>
      <c r="BR19" s="16">
        <f t="shared" si="13"/>
        <v>0</v>
      </c>
      <c r="BS19" s="16">
        <f t="shared" si="14"/>
        <v>0</v>
      </c>
      <c r="BT19" s="16">
        <f t="shared" si="15"/>
        <v>4</v>
      </c>
      <c r="BU19" s="16">
        <f t="shared" si="16"/>
        <v>0</v>
      </c>
      <c r="BV19" s="16">
        <f t="shared" si="17"/>
        <v>0</v>
      </c>
      <c r="BW19" s="8"/>
      <c r="BX19" s="23">
        <v>14</v>
      </c>
      <c r="BY19" s="16">
        <f t="shared" si="18"/>
        <v>0</v>
      </c>
      <c r="BZ19" s="16">
        <f t="shared" si="19"/>
        <v>0</v>
      </c>
      <c r="CA19" s="16">
        <f t="shared" si="20"/>
        <v>3.031433133020796</v>
      </c>
      <c r="CB19" s="16">
        <f t="shared" si="21"/>
        <v>0</v>
      </c>
      <c r="CC19" s="19">
        <f t="shared" si="22"/>
        <v>0</v>
      </c>
    </row>
    <row r="20" spans="2:81" ht="15.75" x14ac:dyDescent="0.3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8"/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J20" s="22">
        <v>15</v>
      </c>
      <c r="BK20" s="16">
        <f t="shared" si="8"/>
        <v>0</v>
      </c>
      <c r="BL20" s="16">
        <f t="shared" si="9"/>
        <v>0</v>
      </c>
      <c r="BM20" s="16">
        <f t="shared" si="10"/>
        <v>0</v>
      </c>
      <c r="BN20" s="16">
        <f t="shared" si="11"/>
        <v>1</v>
      </c>
      <c r="BO20" s="16">
        <f t="shared" si="12"/>
        <v>0</v>
      </c>
      <c r="BP20" s="8"/>
      <c r="BQ20" s="23">
        <v>15</v>
      </c>
      <c r="BR20" s="16">
        <f t="shared" si="13"/>
        <v>0</v>
      </c>
      <c r="BS20" s="16">
        <f t="shared" si="14"/>
        <v>0</v>
      </c>
      <c r="BT20" s="16">
        <f t="shared" si="15"/>
        <v>0</v>
      </c>
      <c r="BU20" s="16">
        <f t="shared" si="16"/>
        <v>4</v>
      </c>
      <c r="BV20" s="16">
        <f t="shared" si="17"/>
        <v>0</v>
      </c>
      <c r="BW20" s="8"/>
      <c r="BX20" s="23">
        <v>15</v>
      </c>
      <c r="BY20" s="16">
        <f t="shared" si="18"/>
        <v>0</v>
      </c>
      <c r="BZ20" s="16">
        <f t="shared" si="19"/>
        <v>0</v>
      </c>
      <c r="CA20" s="16">
        <f t="shared" si="20"/>
        <v>0</v>
      </c>
      <c r="CB20" s="16">
        <f t="shared" si="21"/>
        <v>3.031433133020796</v>
      </c>
      <c r="CC20" s="19">
        <f t="shared" si="22"/>
        <v>0</v>
      </c>
    </row>
    <row r="21" spans="2:81" ht="15.75" x14ac:dyDescent="0.3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9"/>
        <v>0</v>
      </c>
      <c r="BM21" s="16">
        <f t="shared" si="10"/>
        <v>0</v>
      </c>
      <c r="BN21" s="16">
        <f t="shared" si="11"/>
        <v>0</v>
      </c>
      <c r="BO21" s="16">
        <f t="shared" si="12"/>
        <v>0</v>
      </c>
      <c r="BP21" s="8"/>
      <c r="BQ21" s="23">
        <v>16</v>
      </c>
      <c r="BR21" s="16">
        <f t="shared" si="13"/>
        <v>0</v>
      </c>
      <c r="BS21" s="16">
        <f t="shared" si="14"/>
        <v>0</v>
      </c>
      <c r="BT21" s="16">
        <f t="shared" si="15"/>
        <v>0</v>
      </c>
      <c r="BU21" s="16">
        <f t="shared" si="16"/>
        <v>0</v>
      </c>
      <c r="BV21" s="16">
        <f t="shared" si="17"/>
        <v>0</v>
      </c>
      <c r="BW21" s="8"/>
      <c r="BX21" s="23">
        <v>16</v>
      </c>
      <c r="BY21" s="16">
        <f t="shared" si="18"/>
        <v>0</v>
      </c>
      <c r="BZ21" s="16">
        <f t="shared" si="19"/>
        <v>0</v>
      </c>
      <c r="CA21" s="16">
        <f t="shared" si="20"/>
        <v>0</v>
      </c>
      <c r="CB21" s="16">
        <f t="shared" si="21"/>
        <v>0</v>
      </c>
      <c r="CC21" s="19">
        <f t="shared" si="22"/>
        <v>0</v>
      </c>
    </row>
    <row r="22" spans="2:81" ht="15.75" x14ac:dyDescent="0.3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8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9"/>
        <v>0</v>
      </c>
      <c r="BM22" s="16">
        <f t="shared" si="10"/>
        <v>0</v>
      </c>
      <c r="BN22" s="16">
        <f t="shared" si="11"/>
        <v>0</v>
      </c>
      <c r="BO22" s="16">
        <f t="shared" si="12"/>
        <v>0</v>
      </c>
      <c r="BP22" s="8"/>
      <c r="BQ22" s="23">
        <v>17</v>
      </c>
      <c r="BR22" s="16">
        <f t="shared" si="13"/>
        <v>0</v>
      </c>
      <c r="BS22" s="16">
        <f t="shared" si="14"/>
        <v>0</v>
      </c>
      <c r="BT22" s="16">
        <f t="shared" si="15"/>
        <v>0</v>
      </c>
      <c r="BU22" s="16">
        <f t="shared" si="16"/>
        <v>0</v>
      </c>
      <c r="BV22" s="16">
        <f t="shared" si="17"/>
        <v>0</v>
      </c>
      <c r="BW22" s="8"/>
      <c r="BX22" s="23">
        <v>17</v>
      </c>
      <c r="BY22" s="16">
        <f t="shared" si="18"/>
        <v>0</v>
      </c>
      <c r="BZ22" s="16">
        <f t="shared" si="19"/>
        <v>0</v>
      </c>
      <c r="CA22" s="16">
        <f t="shared" si="20"/>
        <v>0</v>
      </c>
      <c r="CB22" s="16">
        <f t="shared" si="21"/>
        <v>0</v>
      </c>
      <c r="CC22" s="19">
        <f t="shared" si="22"/>
        <v>0</v>
      </c>
    </row>
    <row r="23" spans="2:81" ht="15.75" x14ac:dyDescent="0.3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8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9"/>
        <v>0</v>
      </c>
      <c r="BM23" s="16">
        <f t="shared" si="10"/>
        <v>0</v>
      </c>
      <c r="BN23" s="16">
        <f t="shared" si="11"/>
        <v>0</v>
      </c>
      <c r="BO23" s="16">
        <f t="shared" si="12"/>
        <v>0</v>
      </c>
      <c r="BP23" s="8"/>
      <c r="BQ23" s="23">
        <v>18</v>
      </c>
      <c r="BR23" s="16">
        <f t="shared" si="13"/>
        <v>0</v>
      </c>
      <c r="BS23" s="16">
        <f t="shared" si="14"/>
        <v>0</v>
      </c>
      <c r="BT23" s="16">
        <f t="shared" si="15"/>
        <v>0</v>
      </c>
      <c r="BU23" s="16">
        <f t="shared" si="16"/>
        <v>0</v>
      </c>
      <c r="BV23" s="16">
        <f t="shared" si="17"/>
        <v>0</v>
      </c>
      <c r="BW23" s="8"/>
      <c r="BX23" s="23">
        <v>18</v>
      </c>
      <c r="BY23" s="16">
        <f t="shared" si="18"/>
        <v>0</v>
      </c>
      <c r="BZ23" s="16">
        <f t="shared" si="19"/>
        <v>0</v>
      </c>
      <c r="CA23" s="16">
        <f t="shared" si="20"/>
        <v>0</v>
      </c>
      <c r="CB23" s="16">
        <f t="shared" si="21"/>
        <v>0</v>
      </c>
      <c r="CC23" s="19">
        <f t="shared" si="22"/>
        <v>0</v>
      </c>
    </row>
    <row r="24" spans="2:81" ht="15.75" x14ac:dyDescent="0.3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8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9"/>
        <v>0</v>
      </c>
      <c r="BM24" s="16">
        <f t="shared" si="10"/>
        <v>0</v>
      </c>
      <c r="BN24" s="16">
        <f t="shared" si="11"/>
        <v>0</v>
      </c>
      <c r="BO24" s="16">
        <f t="shared" si="12"/>
        <v>0</v>
      </c>
      <c r="BP24" s="8"/>
      <c r="BQ24" s="23">
        <v>19</v>
      </c>
      <c r="BR24" s="16">
        <f t="shared" si="13"/>
        <v>0</v>
      </c>
      <c r="BS24" s="16">
        <f t="shared" si="14"/>
        <v>0</v>
      </c>
      <c r="BT24" s="16">
        <f t="shared" si="15"/>
        <v>0</v>
      </c>
      <c r="BU24" s="16">
        <f t="shared" si="16"/>
        <v>0</v>
      </c>
      <c r="BV24" s="16">
        <f t="shared" si="17"/>
        <v>0</v>
      </c>
      <c r="BW24" s="8"/>
      <c r="BX24" s="23">
        <v>19</v>
      </c>
      <c r="BY24" s="16">
        <f t="shared" si="18"/>
        <v>0</v>
      </c>
      <c r="BZ24" s="16">
        <f t="shared" si="19"/>
        <v>0</v>
      </c>
      <c r="CA24" s="16">
        <f t="shared" si="20"/>
        <v>0</v>
      </c>
      <c r="CB24" s="16">
        <f t="shared" si="21"/>
        <v>0</v>
      </c>
      <c r="CC24" s="19">
        <f t="shared" si="22"/>
        <v>0</v>
      </c>
    </row>
    <row r="25" spans="2:81" ht="15.75" x14ac:dyDescent="0.3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8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9"/>
        <v>0</v>
      </c>
      <c r="BM25" s="16">
        <f t="shared" si="10"/>
        <v>0</v>
      </c>
      <c r="BN25" s="16">
        <f t="shared" si="11"/>
        <v>0</v>
      </c>
      <c r="BO25" s="16">
        <f t="shared" si="12"/>
        <v>0</v>
      </c>
      <c r="BP25" s="8"/>
      <c r="BQ25" s="23">
        <v>20</v>
      </c>
      <c r="BR25" s="16">
        <f t="shared" si="13"/>
        <v>0</v>
      </c>
      <c r="BS25" s="16">
        <f t="shared" si="14"/>
        <v>0</v>
      </c>
      <c r="BT25" s="16">
        <f t="shared" si="15"/>
        <v>0</v>
      </c>
      <c r="BU25" s="16">
        <f t="shared" si="16"/>
        <v>0</v>
      </c>
      <c r="BV25" s="16">
        <f t="shared" si="17"/>
        <v>0</v>
      </c>
      <c r="BW25" s="8"/>
      <c r="BX25" s="23">
        <v>20</v>
      </c>
      <c r="BY25" s="16">
        <f t="shared" si="18"/>
        <v>0</v>
      </c>
      <c r="BZ25" s="16">
        <f t="shared" si="19"/>
        <v>0</v>
      </c>
      <c r="CA25" s="16">
        <f t="shared" si="20"/>
        <v>0</v>
      </c>
      <c r="CB25" s="16">
        <f t="shared" si="21"/>
        <v>0</v>
      </c>
      <c r="CC25" s="19">
        <f t="shared" si="22"/>
        <v>0</v>
      </c>
    </row>
    <row r="26" spans="2:81" ht="15.75" x14ac:dyDescent="0.3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8"/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1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8"/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0</v>
      </c>
      <c r="BL26" s="16">
        <f t="shared" si="9"/>
        <v>0</v>
      </c>
      <c r="BM26" s="16">
        <f t="shared" si="10"/>
        <v>0</v>
      </c>
      <c r="BN26" s="16">
        <f t="shared" si="11"/>
        <v>0</v>
      </c>
      <c r="BO26" s="16">
        <f t="shared" si="12"/>
        <v>1</v>
      </c>
      <c r="BP26" s="8"/>
      <c r="BQ26" s="23">
        <v>21</v>
      </c>
      <c r="BR26" s="16">
        <f t="shared" si="13"/>
        <v>0</v>
      </c>
      <c r="BS26" s="16">
        <f t="shared" si="14"/>
        <v>0</v>
      </c>
      <c r="BT26" s="16">
        <f t="shared" si="15"/>
        <v>0</v>
      </c>
      <c r="BU26" s="16">
        <f t="shared" si="16"/>
        <v>0</v>
      </c>
      <c r="BV26" s="16">
        <f t="shared" si="17"/>
        <v>2</v>
      </c>
      <c r="BW26" s="8"/>
      <c r="BX26" s="23">
        <v>21</v>
      </c>
      <c r="BY26" s="16">
        <f t="shared" si="18"/>
        <v>0</v>
      </c>
      <c r="BZ26" s="16">
        <f t="shared" si="19"/>
        <v>0</v>
      </c>
      <c r="CA26" s="16">
        <f t="shared" si="20"/>
        <v>0</v>
      </c>
      <c r="CB26" s="16">
        <f t="shared" si="21"/>
        <v>0</v>
      </c>
      <c r="CC26" s="19">
        <f t="shared" si="22"/>
        <v>1.515716566510398</v>
      </c>
    </row>
    <row r="27" spans="2:81" ht="15.75" x14ac:dyDescent="0.3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8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0</v>
      </c>
      <c r="BL27" s="16">
        <f t="shared" si="9"/>
        <v>0</v>
      </c>
      <c r="BM27" s="16">
        <f t="shared" si="10"/>
        <v>0</v>
      </c>
      <c r="BN27" s="16">
        <f t="shared" si="11"/>
        <v>0</v>
      </c>
      <c r="BO27" s="16">
        <f t="shared" si="12"/>
        <v>1</v>
      </c>
      <c r="BP27" s="8"/>
      <c r="BQ27" s="23">
        <v>22</v>
      </c>
      <c r="BR27" s="16">
        <f t="shared" si="13"/>
        <v>0</v>
      </c>
      <c r="BS27" s="16">
        <f t="shared" si="14"/>
        <v>0</v>
      </c>
      <c r="BT27" s="16">
        <f t="shared" si="15"/>
        <v>0</v>
      </c>
      <c r="BU27" s="16">
        <f t="shared" si="16"/>
        <v>0</v>
      </c>
      <c r="BV27" s="16">
        <f t="shared" si="17"/>
        <v>1</v>
      </c>
      <c r="BW27" s="8"/>
      <c r="BX27" s="23">
        <v>22</v>
      </c>
      <c r="BY27" s="16">
        <f t="shared" si="18"/>
        <v>0</v>
      </c>
      <c r="BZ27" s="16">
        <f t="shared" si="19"/>
        <v>0</v>
      </c>
      <c r="CA27" s="16">
        <f t="shared" si="20"/>
        <v>0</v>
      </c>
      <c r="CB27" s="16">
        <f t="shared" si="21"/>
        <v>0</v>
      </c>
      <c r="CC27" s="19">
        <f t="shared" si="22"/>
        <v>1</v>
      </c>
    </row>
    <row r="28" spans="2:81" ht="15.75" x14ac:dyDescent="0.3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8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9"/>
        <v>0</v>
      </c>
      <c r="BM28" s="16">
        <f t="shared" si="10"/>
        <v>0</v>
      </c>
      <c r="BN28" s="16">
        <f t="shared" si="11"/>
        <v>0</v>
      </c>
      <c r="BO28" s="16">
        <f t="shared" si="12"/>
        <v>1</v>
      </c>
      <c r="BP28" s="8"/>
      <c r="BQ28" s="23">
        <v>23</v>
      </c>
      <c r="BR28" s="16">
        <f t="shared" si="13"/>
        <v>0</v>
      </c>
      <c r="BS28" s="16">
        <f t="shared" si="14"/>
        <v>0</v>
      </c>
      <c r="BT28" s="16">
        <f t="shared" si="15"/>
        <v>0</v>
      </c>
      <c r="BU28" s="16">
        <f t="shared" si="16"/>
        <v>0</v>
      </c>
      <c r="BV28" s="16">
        <f t="shared" si="17"/>
        <v>1</v>
      </c>
      <c r="BW28" s="8"/>
      <c r="BX28" s="23">
        <v>23</v>
      </c>
      <c r="BY28" s="16">
        <f t="shared" si="18"/>
        <v>0</v>
      </c>
      <c r="BZ28" s="16">
        <f t="shared" si="19"/>
        <v>0</v>
      </c>
      <c r="CA28" s="16">
        <f t="shared" si="20"/>
        <v>0</v>
      </c>
      <c r="CB28" s="16">
        <f t="shared" si="21"/>
        <v>0</v>
      </c>
      <c r="CC28" s="19">
        <f t="shared" si="22"/>
        <v>1</v>
      </c>
    </row>
    <row r="29" spans="2:81" ht="15.75" x14ac:dyDescent="0.3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8"/>
      <c r="AO29" s="23">
        <v>24</v>
      </c>
      <c r="AP29" s="16">
        <v>1</v>
      </c>
      <c r="AQ29" s="16">
        <v>0</v>
      </c>
      <c r="AR29" s="16">
        <v>0</v>
      </c>
      <c r="AS29" s="16">
        <v>0</v>
      </c>
      <c r="AT29" s="16">
        <v>0</v>
      </c>
      <c r="AU29" s="8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1</v>
      </c>
      <c r="BL29" s="16">
        <f t="shared" si="9"/>
        <v>0</v>
      </c>
      <c r="BM29" s="16">
        <f t="shared" si="10"/>
        <v>0</v>
      </c>
      <c r="BN29" s="16">
        <f t="shared" si="11"/>
        <v>0</v>
      </c>
      <c r="BO29" s="16">
        <f t="shared" si="12"/>
        <v>0</v>
      </c>
      <c r="BP29" s="8"/>
      <c r="BQ29" s="23">
        <v>24</v>
      </c>
      <c r="BR29" s="16">
        <f t="shared" si="13"/>
        <v>2</v>
      </c>
      <c r="BS29" s="16">
        <f t="shared" si="14"/>
        <v>0</v>
      </c>
      <c r="BT29" s="16">
        <f t="shared" si="15"/>
        <v>0</v>
      </c>
      <c r="BU29" s="16">
        <f t="shared" si="16"/>
        <v>0</v>
      </c>
      <c r="BV29" s="16">
        <f t="shared" si="17"/>
        <v>0</v>
      </c>
      <c r="BW29" s="8"/>
      <c r="BX29" s="23">
        <v>24</v>
      </c>
      <c r="BY29" s="16">
        <f t="shared" si="18"/>
        <v>1.7411011265922482</v>
      </c>
      <c r="BZ29" s="16">
        <f t="shared" si="19"/>
        <v>0</v>
      </c>
      <c r="CA29" s="16">
        <f t="shared" si="20"/>
        <v>0</v>
      </c>
      <c r="CB29" s="16">
        <f t="shared" si="21"/>
        <v>0</v>
      </c>
      <c r="CC29" s="19">
        <f t="shared" si="22"/>
        <v>0</v>
      </c>
    </row>
    <row r="30" spans="2:81" ht="15.75" x14ac:dyDescent="0.3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8"/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J30" s="22">
        <v>25</v>
      </c>
      <c r="BK30" s="16">
        <f t="shared" si="8"/>
        <v>0</v>
      </c>
      <c r="BL30" s="16">
        <f t="shared" si="9"/>
        <v>1</v>
      </c>
      <c r="BM30" s="16">
        <f t="shared" si="10"/>
        <v>0</v>
      </c>
      <c r="BN30" s="16">
        <f t="shared" si="11"/>
        <v>0</v>
      </c>
      <c r="BO30" s="16">
        <f t="shared" si="12"/>
        <v>0</v>
      </c>
      <c r="BP30" s="8"/>
      <c r="BQ30" s="23">
        <v>25</v>
      </c>
      <c r="BR30" s="16">
        <f t="shared" si="13"/>
        <v>0</v>
      </c>
      <c r="BS30" s="16">
        <f t="shared" si="14"/>
        <v>4</v>
      </c>
      <c r="BT30" s="16">
        <f t="shared" si="15"/>
        <v>0</v>
      </c>
      <c r="BU30" s="16">
        <f t="shared" si="16"/>
        <v>0</v>
      </c>
      <c r="BV30" s="16">
        <f t="shared" si="17"/>
        <v>0</v>
      </c>
      <c r="BW30" s="8"/>
      <c r="BX30" s="23">
        <v>25</v>
      </c>
      <c r="BY30" s="16">
        <f t="shared" si="18"/>
        <v>0</v>
      </c>
      <c r="BZ30" s="16">
        <f t="shared" si="19"/>
        <v>3.4822022531844965</v>
      </c>
      <c r="CA30" s="16">
        <f t="shared" si="20"/>
        <v>0</v>
      </c>
      <c r="CB30" s="16">
        <f t="shared" si="21"/>
        <v>0</v>
      </c>
      <c r="CC30" s="19">
        <f t="shared" si="22"/>
        <v>0</v>
      </c>
    </row>
    <row r="31" spans="2:81" ht="15.75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1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350000000000001" thickBot="1" x14ac:dyDescent="0.35">
      <c r="B33" s="41">
        <v>1</v>
      </c>
      <c r="C33" s="28">
        <v>50</v>
      </c>
      <c r="D33" s="11"/>
      <c r="E33" s="42">
        <v>1</v>
      </c>
      <c r="F33" s="28">
        <v>34</v>
      </c>
      <c r="G33" s="43"/>
      <c r="H33" s="42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 ht="15.75" x14ac:dyDescent="0.3">
      <c r="B34" s="41">
        <v>2</v>
      </c>
      <c r="C34" s="28">
        <v>65</v>
      </c>
      <c r="D34" s="11"/>
      <c r="E34" s="42">
        <v>2</v>
      </c>
      <c r="F34" s="28">
        <v>30</v>
      </c>
      <c r="G34" s="43"/>
      <c r="H34" s="42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81" ht="15.75" x14ac:dyDescent="0.3">
      <c r="B35" s="41">
        <v>3</v>
      </c>
      <c r="C35" s="28">
        <v>80</v>
      </c>
      <c r="D35" s="11"/>
      <c r="E35" s="42">
        <v>3</v>
      </c>
      <c r="F35" s="8">
        <v>26</v>
      </c>
      <c r="G35" s="43"/>
      <c r="H35" s="42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 ht="15.75" x14ac:dyDescent="0.3">
      <c r="B36" s="41">
        <v>4</v>
      </c>
      <c r="C36" s="28">
        <v>95</v>
      </c>
      <c r="D36" s="11"/>
      <c r="E36" s="42">
        <v>4</v>
      </c>
      <c r="F36" s="8">
        <v>27</v>
      </c>
      <c r="G36" s="43"/>
      <c r="H36" s="42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 ht="15.75" x14ac:dyDescent="0.3">
      <c r="B37" s="41">
        <v>5</v>
      </c>
      <c r="C37" s="28">
        <v>110</v>
      </c>
      <c r="D37" s="11"/>
      <c r="E37" s="42">
        <v>5</v>
      </c>
      <c r="F37" s="8">
        <v>29</v>
      </c>
      <c r="G37" s="43"/>
      <c r="H37" s="42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81" ht="15.75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81" ht="15.75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81" ht="15.75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81" ht="15.75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81" ht="15.75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81" ht="15.75" x14ac:dyDescent="0.3">
      <c r="B43" s="7">
        <v>16</v>
      </c>
      <c r="C43" s="8">
        <v>20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81" ht="15.75" x14ac:dyDescent="0.3"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81" ht="15.75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81" ht="15.75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81" ht="15.75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81" ht="15.75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</row>
    <row r="49" spans="1:91" ht="15.75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103</v>
      </c>
    </row>
    <row r="50" spans="1:91" ht="16.350000000000001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99</v>
      </c>
    </row>
    <row r="51" spans="1:91" ht="16.350000000000001" thickBot="1" x14ac:dyDescent="0.35">
      <c r="AH51" s="1">
        <f ca="1">SUM(INDIRECT(ADDRESS(6,26+ROWS($A$1:A3))):INDIRECT(ADDRESS(30,26+ROWS($A$1:A3))))</f>
        <v>78</v>
      </c>
    </row>
    <row r="52" spans="1:91" ht="15.75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85</v>
      </c>
    </row>
    <row r="53" spans="1:91" ht="15.75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88</v>
      </c>
    </row>
    <row r="54" spans="1:91" ht="15.75" x14ac:dyDescent="0.3">
      <c r="B54" s="7"/>
      <c r="C54" s="8"/>
      <c r="D54" s="8"/>
      <c r="E54" s="8"/>
      <c r="F54" s="9"/>
      <c r="H54" s="10" t="s">
        <v>1</v>
      </c>
      <c r="I54" s="11"/>
      <c r="J54" s="34"/>
    </row>
    <row r="55" spans="1:91" ht="16.350000000000001" thickBot="1" x14ac:dyDescent="0.35">
      <c r="B55" s="25" cm="1">
        <f t="array" ref="B55">SUMPRODUCT(MMULT(BY6:CC30*C6:C30*L6:L30*POWER(F6:F30,O6:O30),I33:I37))</f>
        <v>6943.0043927394327</v>
      </c>
      <c r="C55" s="26"/>
      <c r="D55" s="26"/>
      <c r="E55" s="26"/>
      <c r="F55" s="27"/>
      <c r="H55" s="25" t="s">
        <v>1161</v>
      </c>
      <c r="I55" s="26"/>
      <c r="J55" s="27"/>
    </row>
    <row r="56" spans="1:91" ht="16.350000000000001" thickBot="1" x14ac:dyDescent="0.35"/>
    <row r="57" spans="1:91" ht="15.75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ht="15.75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ht="15.75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ht="15.75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ht="15.75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ht="15.75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37</v>
      </c>
      <c r="R62" s="8"/>
      <c r="S62" s="8"/>
      <c r="T62" s="8"/>
      <c r="U62" s="8"/>
      <c r="V62" s="8" t="s">
        <v>38</v>
      </c>
      <c r="W62" s="8"/>
      <c r="X62" s="8"/>
      <c r="Y62" s="8"/>
      <c r="Z62" s="8"/>
      <c r="AA62" s="8" t="s">
        <v>39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ht="15.75" x14ac:dyDescent="0.3">
      <c r="A63" s="8"/>
      <c r="B63" s="7"/>
      <c r="C63" s="8">
        <f>SUM(AI6:AM6,AP6:AT6,AW6:BA6,BD6:BH6)</f>
        <v>1</v>
      </c>
      <c r="D63" s="8" t="s">
        <v>21</v>
      </c>
      <c r="E63" s="8">
        <v>1</v>
      </c>
      <c r="F63" s="8"/>
      <c r="G63" s="8"/>
      <c r="H63" s="8" cm="1">
        <f t="array" ref="H63">SUM(AA6:AE6*BR6:BV6-R6*BK6:BO6)</f>
        <v>1</v>
      </c>
      <c r="I63" s="8" t="s">
        <v>25</v>
      </c>
      <c r="J63" s="8">
        <v>0</v>
      </c>
      <c r="K63" s="8"/>
      <c r="L63" s="8"/>
      <c r="M63" s="8" cm="1">
        <f t="array" ref="M63">SUM(AA6:AE6*BR6:BV6-U6*BK6:BO6)</f>
        <v>-12</v>
      </c>
      <c r="N63" s="8" t="s">
        <v>21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0</v>
      </c>
      <c r="S63" s="8" t="s">
        <v>21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26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1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0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ht="15.75" x14ac:dyDescent="0.3">
      <c r="A64" s="8"/>
      <c r="B64" s="7"/>
      <c r="C64" s="8">
        <f t="shared" ref="C64:C86" si="23">SUM(AI7:AM7,AP7:AT7,AW7:BA7,BD7:BH7)</f>
        <v>1</v>
      </c>
      <c r="D64" s="8" t="s">
        <v>21</v>
      </c>
      <c r="E64" s="8">
        <v>1</v>
      </c>
      <c r="F64" s="8"/>
      <c r="G64" s="8"/>
      <c r="H64" s="8" cm="1">
        <f t="array" ref="H64">SUM(AA7:AE7*BR7:BV7-R7*BK7:BO7)</f>
        <v>4</v>
      </c>
      <c r="I64" s="8" t="s">
        <v>25</v>
      </c>
      <c r="J64" s="8">
        <v>0</v>
      </c>
      <c r="K64" s="8"/>
      <c r="L64" s="8"/>
      <c r="M64" s="8" cm="1">
        <f t="array" ref="M64">SUM(AA7:AE7*BR7:BV7-U7*BK7:BO7)</f>
        <v>-14</v>
      </c>
      <c r="N64" s="8" t="s">
        <v>21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-1</v>
      </c>
      <c r="S64" s="8" t="s">
        <v>21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26</v>
      </c>
      <c r="Y64" s="8">
        <v>0</v>
      </c>
      <c r="Z64" s="8"/>
      <c r="AA64" s="8"/>
      <c r="AB64" s="8"/>
      <c r="AC64" s="8"/>
      <c r="AD64" s="8"/>
      <c r="AE64" s="8"/>
      <c r="AF64" s="8"/>
      <c r="AG64" s="8" t="s">
        <v>21</v>
      </c>
      <c r="AH64" s="8"/>
      <c r="AI64" s="8"/>
      <c r="AJ64" s="8"/>
      <c r="AK64" s="8"/>
      <c r="AL64" s="8"/>
      <c r="AM64" s="9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ht="15.75" x14ac:dyDescent="0.3">
      <c r="A65" s="8"/>
      <c r="B65" s="7"/>
      <c r="C65" s="8">
        <f t="shared" si="23"/>
        <v>1</v>
      </c>
      <c r="D65" s="8" t="s">
        <v>21</v>
      </c>
      <c r="E65" s="8">
        <v>1</v>
      </c>
      <c r="F65" s="8"/>
      <c r="G65" s="8"/>
      <c r="H65" s="8" cm="1">
        <f t="array" ref="H65">SUM(AA8:AE8*BR8:BV8-R8*BK8:BO8)</f>
        <v>1</v>
      </c>
      <c r="I65" s="8" t="s">
        <v>25</v>
      </c>
      <c r="J65" s="8">
        <v>0</v>
      </c>
      <c r="K65" s="8"/>
      <c r="L65" s="8"/>
      <c r="M65" s="8" cm="1">
        <f t="array" ref="M65">SUM(AA8:AE8*BR8:BV8-U8*BK8:BO8)</f>
        <v>-21</v>
      </c>
      <c r="N65" s="8" t="s">
        <v>21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-2</v>
      </c>
      <c r="S65" s="8" t="s">
        <v>21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26</v>
      </c>
      <c r="Y65" s="8">
        <v>0</v>
      </c>
      <c r="Z65" s="8"/>
      <c r="AA65" s="8"/>
      <c r="AB65" s="8" cm="1">
        <f t="array" aca="1" ref="AB65" ca="1">INDIRECT(ADDRESS(5+$B43,62+COLUMNS($A3:A3)))+INDIRECT(ADDRESS(5+$C43,62+COLUMNS($A3:A3)))</f>
        <v>0</v>
      </c>
      <c r="AC65" s="8" cm="1">
        <f t="array" aca="1" ref="AC65" ca="1">INDIRECT(ADDRESS(5+$B43,62+COLUMNS($A3:B3)))+INDIRECT(ADDRESS(5+$C43,62+COLUMNS($A3:B3)))</f>
        <v>0</v>
      </c>
      <c r="AD65" s="8" cm="1">
        <f t="array" aca="1" ref="AD65" ca="1">INDIRECT(ADDRESS(5+$B43,62+COLUMNS($A3:C3)))+INDIRECT(ADDRESS(5+$C43,62+COLUMNS($A3:C3)))</f>
        <v>0</v>
      </c>
      <c r="AE65" s="8" cm="1">
        <f t="array" aca="1" ref="AE65" ca="1">INDIRECT(ADDRESS(5+$B43,62+COLUMNS($A3:D3)))+INDIRECT(ADDRESS(5+$C43,62+COLUMNS($A3:D3)))</f>
        <v>0</v>
      </c>
      <c r="AF65" s="8" cm="1">
        <f t="array" aca="1" ref="AF65" ca="1">INDIRECT(ADDRESS(5+$B43,62+COLUMNS($A3:E3)))+INDIRECT(ADDRESS(5+$C43,62+COLUMNS($A3:E3)))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ht="15.75" x14ac:dyDescent="0.3">
      <c r="A66" s="8"/>
      <c r="B66" s="7"/>
      <c r="C66" s="8">
        <f t="shared" si="23"/>
        <v>1</v>
      </c>
      <c r="D66" s="8" t="s">
        <v>21</v>
      </c>
      <c r="E66" s="8">
        <v>1</v>
      </c>
      <c r="F66" s="8"/>
      <c r="G66" s="8"/>
      <c r="H66" s="8" cm="1">
        <f t="array" ref="H66">SUM(AA9:AE9*BR9:BV9-R9*BK9:BO9)</f>
        <v>3</v>
      </c>
      <c r="I66" s="8" t="s">
        <v>25</v>
      </c>
      <c r="J66" s="8">
        <v>0</v>
      </c>
      <c r="K66" s="8"/>
      <c r="L66" s="8"/>
      <c r="M66" s="8" cm="1">
        <f t="array" ref="M66">SUM(AA9:AE9*BR9:BV9-U9*BK9:BO9)</f>
        <v>-5</v>
      </c>
      <c r="N66" s="8" t="s">
        <v>21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-2</v>
      </c>
      <c r="S66" s="8" t="s">
        <v>21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ht="15.75" x14ac:dyDescent="0.3">
      <c r="A67" s="8"/>
      <c r="B67" s="7"/>
      <c r="C67" s="8">
        <f t="shared" si="23"/>
        <v>1</v>
      </c>
      <c r="D67" s="8" t="s">
        <v>21</v>
      </c>
      <c r="E67" s="8">
        <v>1</v>
      </c>
      <c r="F67" s="11"/>
      <c r="G67" s="8"/>
      <c r="H67" s="8" cm="1">
        <f t="array" ref="H67">SUM(AA10:AE10*BR10:BV10-R10*BK10:BO10)</f>
        <v>7</v>
      </c>
      <c r="I67" s="8" t="s">
        <v>25</v>
      </c>
      <c r="J67" s="8">
        <v>0</v>
      </c>
      <c r="K67" s="8"/>
      <c r="L67" s="8"/>
      <c r="M67" s="8" cm="1">
        <f t="array" ref="M67">SUM(AA10:AE10*BR10:BV10-U10*BK10:BO10)</f>
        <v>-8</v>
      </c>
      <c r="N67" s="8" t="s">
        <v>21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0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ht="15.75" x14ac:dyDescent="0.3">
      <c r="A68" s="8"/>
      <c r="B68" s="10"/>
      <c r="C68" s="8">
        <f t="shared" si="23"/>
        <v>1</v>
      </c>
      <c r="D68" s="8" t="s">
        <v>21</v>
      </c>
      <c r="E68" s="8">
        <v>1</v>
      </c>
      <c r="F68" s="11"/>
      <c r="G68" s="8"/>
      <c r="H68" s="8" cm="1">
        <f t="array" ref="H68">SUM(AA11:AE11*BR11:BV11-R11*BK11:BO11)</f>
        <v>3</v>
      </c>
      <c r="I68" s="8" t="s">
        <v>25</v>
      </c>
      <c r="J68" s="8">
        <v>0</v>
      </c>
      <c r="K68" s="8"/>
      <c r="L68" s="8"/>
      <c r="M68" s="8" cm="1">
        <f t="array" ref="M68">SUM(AA11:AE11*BR11:BV11-U11*BK11:BO11)</f>
        <v>-17</v>
      </c>
      <c r="N68" s="8" t="s">
        <v>21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ht="15.75" x14ac:dyDescent="0.3">
      <c r="A69" s="8"/>
      <c r="B69" s="10"/>
      <c r="C69" s="8">
        <f t="shared" si="23"/>
        <v>0</v>
      </c>
      <c r="D69" s="8" t="s">
        <v>21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25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ht="15.75" x14ac:dyDescent="0.3">
      <c r="A70" s="8"/>
      <c r="B70" s="10"/>
      <c r="C70" s="8">
        <f t="shared" si="23"/>
        <v>1</v>
      </c>
      <c r="D70" s="8" t="s">
        <v>21</v>
      </c>
      <c r="E70" s="8">
        <v>1</v>
      </c>
      <c r="F70" s="11"/>
      <c r="G70" s="8"/>
      <c r="H70" s="8" cm="1">
        <f t="array" ref="H70">SUM(AA13:AE13*BR13:BV13-R13*BK13:BO13)</f>
        <v>1</v>
      </c>
      <c r="I70" s="8" t="s">
        <v>25</v>
      </c>
      <c r="J70" s="8">
        <v>0</v>
      </c>
      <c r="K70" s="8"/>
      <c r="L70" s="8"/>
      <c r="M70" s="8" cm="1">
        <f t="array" ref="M70">SUM(AA13:AE13*BR13:BV13-U13*BK13:BO13)</f>
        <v>-16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ht="15.75" x14ac:dyDescent="0.3">
      <c r="A71" s="8"/>
      <c r="B71" s="10"/>
      <c r="C71" s="8">
        <f t="shared" si="23"/>
        <v>1</v>
      </c>
      <c r="D71" s="8" t="s">
        <v>21</v>
      </c>
      <c r="E71" s="8">
        <v>1</v>
      </c>
      <c r="F71" s="11"/>
      <c r="G71" s="8"/>
      <c r="H71" s="8" cm="1">
        <f t="array" ref="H71">SUM(AA14:AE14*BR14:BV14-R14*BK14:BO14)</f>
        <v>7</v>
      </c>
      <c r="I71" s="8" t="s">
        <v>25</v>
      </c>
      <c r="J71" s="8">
        <v>0</v>
      </c>
      <c r="K71" s="8"/>
      <c r="L71" s="8"/>
      <c r="M71" s="8" cm="1">
        <f t="array" ref="M71">SUM(AA14:AE14*BR14:BV14-U14*BK14:BO14)</f>
        <v>-2</v>
      </c>
      <c r="N71" s="8" t="s">
        <v>21</v>
      </c>
      <c r="O71" s="8">
        <v>0</v>
      </c>
      <c r="P71" s="8"/>
      <c r="Q71" s="8"/>
      <c r="R71" s="8"/>
      <c r="S71" s="8"/>
      <c r="T71" s="8"/>
      <c r="U71" s="8"/>
      <c r="V71" s="8" t="s">
        <v>1166</v>
      </c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ht="15.75" x14ac:dyDescent="0.3">
      <c r="A72" s="8"/>
      <c r="B72" s="10"/>
      <c r="C72" s="8">
        <f t="shared" si="23"/>
        <v>1</v>
      </c>
      <c r="D72" s="8" t="s">
        <v>21</v>
      </c>
      <c r="E72" s="8">
        <v>1</v>
      </c>
      <c r="F72" s="11"/>
      <c r="G72" s="8"/>
      <c r="H72" s="8" cm="1">
        <f t="array" ref="H72">SUM(AA15:AE15*BR15:BV15-R15*BK15:BO15)</f>
        <v>8</v>
      </c>
      <c r="I72" s="8" t="s">
        <v>25</v>
      </c>
      <c r="J72" s="8">
        <v>0</v>
      </c>
      <c r="K72" s="8"/>
      <c r="L72" s="8"/>
      <c r="M72" s="8" cm="1">
        <f t="array" ref="M72">SUM(AA15:AE15*BR15:BV15-U15*BK15:BO15)</f>
        <v>-2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 cm="1">
        <f t="array" aca="1" ref="W72" ca="1">INDIRECT(ADDRESS(8,62+ROWS($A$1:A1)))-INDIRECT(ADDRESS(13,62+ROWS($A$1:A1)))</f>
        <v>0</v>
      </c>
      <c r="X72" s="8" t="s">
        <v>26</v>
      </c>
      <c r="Y72" s="8">
        <v>0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ht="15.75" x14ac:dyDescent="0.3">
      <c r="A73" s="8"/>
      <c r="B73" s="10"/>
      <c r="C73" s="8">
        <f t="shared" si="23"/>
        <v>1</v>
      </c>
      <c r="D73" s="8" t="s">
        <v>21</v>
      </c>
      <c r="E73" s="8">
        <v>1</v>
      </c>
      <c r="F73" s="11"/>
      <c r="G73" s="8"/>
      <c r="H73" s="8" cm="1">
        <f t="array" ref="H73">SUM(AA16:AE16*BR16:BV16-R16*BK16:BO16)</f>
        <v>4</v>
      </c>
      <c r="I73" s="8" t="s">
        <v>25</v>
      </c>
      <c r="J73" s="8">
        <v>0</v>
      </c>
      <c r="K73" s="8"/>
      <c r="L73" s="8"/>
      <c r="M73" s="8" cm="1">
        <f t="array" ref="M73">SUM(AA16:AE16*BR16:BV16-U16*BK16:BO16)</f>
        <v>-11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 cm="1">
        <f t="array" aca="1" ref="W73" ca="1">INDIRECT(ADDRESS(8,62+ROWS($A$1:A2)))-INDIRECT(ADDRESS(13,62+ROWS($A$1:A2)))</f>
        <v>0</v>
      </c>
      <c r="X73" s="8" t="s">
        <v>26</v>
      </c>
      <c r="Y73" s="8">
        <v>0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ht="15.75" x14ac:dyDescent="0.3">
      <c r="A74" s="8"/>
      <c r="B74" s="10"/>
      <c r="C74" s="8">
        <f t="shared" si="23"/>
        <v>1</v>
      </c>
      <c r="D74" s="8" t="s">
        <v>21</v>
      </c>
      <c r="E74" s="8">
        <v>1</v>
      </c>
      <c r="F74" s="11"/>
      <c r="G74" s="8"/>
      <c r="H74" s="8" cm="1">
        <f t="array" ref="H74">SUM(AA17:AE17*BR17:BV17-R17*BK17:BO17)</f>
        <v>14</v>
      </c>
      <c r="I74" s="8" t="s">
        <v>25</v>
      </c>
      <c r="J74" s="8">
        <v>0</v>
      </c>
      <c r="K74" s="8"/>
      <c r="L74" s="8"/>
      <c r="M74" s="8" cm="1">
        <f t="array" ref="M74">SUM(AA17:AE17*BR17:BV17-U17*BK17:BO17)</f>
        <v>-6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 cm="1">
        <f t="array" aca="1" ref="W74" ca="1">INDIRECT(ADDRESS(8,62+ROWS($A$1:A3)))-INDIRECT(ADDRESS(13,62+ROWS($A$1:A3)))</f>
        <v>0</v>
      </c>
      <c r="X74" s="8" t="s">
        <v>26</v>
      </c>
      <c r="Y74" s="8">
        <v>0</v>
      </c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ht="15.75" x14ac:dyDescent="0.3">
      <c r="B75" s="10"/>
      <c r="C75" s="8">
        <f t="shared" si="23"/>
        <v>0</v>
      </c>
      <c r="D75" s="8" t="s">
        <v>21</v>
      </c>
      <c r="E75" s="8">
        <v>1</v>
      </c>
      <c r="F75" s="11"/>
      <c r="G75" s="8"/>
      <c r="H75" s="8" cm="1">
        <f t="array" ref="H75">SUM(AA18:AE18*BR18:BV18-R18*BK18:BO18)</f>
        <v>0</v>
      </c>
      <c r="I75" s="8" t="s">
        <v>25</v>
      </c>
      <c r="J75" s="8">
        <v>0</v>
      </c>
      <c r="K75" s="8"/>
      <c r="L75" s="8"/>
      <c r="M75" s="8" cm="1">
        <f t="array" ref="M75">SUM(AA18:AE18*BR18:BV18-U18*BK18:BO18)</f>
        <v>0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 cm="1">
        <f t="array" aca="1" ref="W75" ca="1">INDIRECT(ADDRESS(8,62+ROWS($A$1:A4)))-INDIRECT(ADDRESS(13,62+ROWS($A$1:A4)))</f>
        <v>0</v>
      </c>
      <c r="X75" s="8" t="s">
        <v>26</v>
      </c>
      <c r="Y75" s="8">
        <v>0</v>
      </c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ht="15.75" x14ac:dyDescent="0.3">
      <c r="B76" s="7"/>
      <c r="C76" s="8">
        <f t="shared" si="23"/>
        <v>1</v>
      </c>
      <c r="D76" s="8" t="s">
        <v>21</v>
      </c>
      <c r="E76" s="8">
        <v>1</v>
      </c>
      <c r="F76" s="8"/>
      <c r="G76" s="8"/>
      <c r="H76" s="8" cm="1">
        <f t="array" ref="H76">SUM(AA19:AE19*BR19:BV19-R19*BK19:BO19)</f>
        <v>5</v>
      </c>
      <c r="I76" s="8" t="s">
        <v>25</v>
      </c>
      <c r="J76" s="8">
        <v>0</v>
      </c>
      <c r="K76" s="8"/>
      <c r="L76" s="8"/>
      <c r="M76" s="8" cm="1">
        <f t="array" ref="M76">SUM(AA19:AE19*BR19:BV19-U19*BK19:BO19)</f>
        <v>-4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 cm="1">
        <f t="array" aca="1" ref="W76" ca="1">INDIRECT(ADDRESS(8,62+ROWS($A$1:A5)))-INDIRECT(ADDRESS(13,62+ROWS($A$1:A5)))</f>
        <v>0</v>
      </c>
      <c r="X76" s="8" t="s">
        <v>26</v>
      </c>
      <c r="Y76" s="8">
        <v>0</v>
      </c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ht="15.75" x14ac:dyDescent="0.3">
      <c r="B77" s="7"/>
      <c r="C77" s="8">
        <f t="shared" si="23"/>
        <v>1</v>
      </c>
      <c r="D77" s="8" t="s">
        <v>21</v>
      </c>
      <c r="E77" s="8">
        <v>1</v>
      </c>
      <c r="F77" s="8"/>
      <c r="G77" s="8"/>
      <c r="H77" s="8" cm="1">
        <f t="array" ref="H77">SUM(AA20:AE20*BR20:BV20-R20*BK20:BO20)</f>
        <v>9</v>
      </c>
      <c r="I77" s="8" t="s">
        <v>25</v>
      </c>
      <c r="J77" s="8">
        <v>0</v>
      </c>
      <c r="K77" s="8"/>
      <c r="L77" s="8"/>
      <c r="M77" s="8" cm="1">
        <f t="array" ref="M77">SUM(AA20:AE20*BR20:BV20-U20*BK20:BO20)</f>
        <v>-7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 t="shared" si="23"/>
        <v>0</v>
      </c>
      <c r="D78" s="8" t="s">
        <v>21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25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 t="shared" si="23"/>
        <v>0</v>
      </c>
      <c r="D79" s="8" t="s">
        <v>21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25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 t="shared" si="23"/>
        <v>0</v>
      </c>
      <c r="D80" s="8" t="s">
        <v>21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25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 t="shared" si="23"/>
        <v>0</v>
      </c>
      <c r="D81" s="8" t="s">
        <v>21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25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 t="shared" si="23"/>
        <v>0</v>
      </c>
      <c r="D82" s="8" t="s">
        <v>21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25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 t="shared" si="23"/>
        <v>1</v>
      </c>
      <c r="D83" s="8" t="s">
        <v>21</v>
      </c>
      <c r="E83" s="8">
        <v>1</v>
      </c>
      <c r="F83" s="8"/>
      <c r="G83" s="8"/>
      <c r="H83" s="8" cm="1">
        <f t="array" ref="H83">SUM(AA26:AE26*BR26:BV26-R26*BK26:BO26)</f>
        <v>4</v>
      </c>
      <c r="I83" s="8" t="s">
        <v>25</v>
      </c>
      <c r="J83" s="8">
        <v>0</v>
      </c>
      <c r="K83" s="8"/>
      <c r="L83" s="8"/>
      <c r="M83" s="8" cm="1">
        <f t="array" ref="M83">SUM(AA26:AE26*BR26:BV26-U26*BK26:BO26)</f>
        <v>-18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 t="shared" si="23"/>
        <v>1</v>
      </c>
      <c r="D84" s="8" t="s">
        <v>21</v>
      </c>
      <c r="E84" s="8">
        <v>1</v>
      </c>
      <c r="F84" s="8"/>
      <c r="G84" s="8"/>
      <c r="H84" s="8" cm="1">
        <f t="array" ref="H84">SUM(AA27:AE27*BR27:BV27-R27*BK27:BO27)</f>
        <v>2</v>
      </c>
      <c r="I84" s="8" t="s">
        <v>25</v>
      </c>
      <c r="J84" s="8">
        <v>0</v>
      </c>
      <c r="K84" s="8"/>
      <c r="L84" s="8"/>
      <c r="M84" s="8" cm="1">
        <f t="array" ref="M84">SUM(AA27:AE27*BR27:BV27-U27*BK27:BO27)</f>
        <v>-13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 t="shared" si="23"/>
        <v>1</v>
      </c>
      <c r="D85" s="8" t="s">
        <v>21</v>
      </c>
      <c r="E85" s="8">
        <v>1</v>
      </c>
      <c r="F85" s="8"/>
      <c r="G85" s="8"/>
      <c r="H85" s="8" cm="1">
        <f t="array" ref="H85">SUM(AA28:AE28*BR28:BV28-R28*BK28:BO28)</f>
        <v>2</v>
      </c>
      <c r="I85" s="8" t="s">
        <v>25</v>
      </c>
      <c r="J85" s="8">
        <v>0</v>
      </c>
      <c r="K85" s="8"/>
      <c r="L85" s="8"/>
      <c r="M85" s="8" cm="1">
        <f t="array" ref="M85">SUM(AA28:AE28*BR28:BV28-U28*BK28:BO28)</f>
        <v>-9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 t="shared" si="23"/>
        <v>1</v>
      </c>
      <c r="D86" s="8" t="s">
        <v>21</v>
      </c>
      <c r="E86" s="8">
        <v>1</v>
      </c>
      <c r="F86" s="8"/>
      <c r="G86" s="8"/>
      <c r="H86" s="8" cm="1">
        <f t="array" ref="H86">SUM(AA29:AE29*BR29:BV29-R29*BK29:BO29)</f>
        <v>11</v>
      </c>
      <c r="I86" s="8" t="s">
        <v>25</v>
      </c>
      <c r="J86" s="8">
        <v>0</v>
      </c>
      <c r="K86" s="8"/>
      <c r="L86" s="8"/>
      <c r="M86" s="8" cm="1">
        <f t="array" ref="M86">SUM(AA29:AE29*BR29:BV29-U29*BK29:BO29)</f>
        <v>-4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>SUM(AI30:AM30,AP30:AT30,AW30:BA30,BD30:BH30)</f>
        <v>1</v>
      </c>
      <c r="D87" s="8" t="s">
        <v>21</v>
      </c>
      <c r="E87" s="8">
        <v>1</v>
      </c>
      <c r="F87" s="8"/>
      <c r="G87" s="8"/>
      <c r="H87" s="8" cm="1">
        <f t="array" ref="H87">SUM(AA30:AE30*BR30:BV30-R30*BK30:BO30)</f>
        <v>10</v>
      </c>
      <c r="I87" s="8" t="s">
        <v>25</v>
      </c>
      <c r="J87" s="8">
        <v>0</v>
      </c>
      <c r="K87" s="8"/>
      <c r="L87" s="8"/>
      <c r="M87" s="8" cm="1">
        <f t="array" ref="M87">SUM(AA30:AE30*BR30:BV30-U30*BK30:BO30)</f>
        <v>-2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4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2" thickBot="1" x14ac:dyDescent="0.35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105EF9-87DC-400D-AF3A-CEFE01235C70}">
  <ds:schemaRefs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b79073fe-1e48-4a97-9229-baaa8603d156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7F82F3A-971A-4E00-BEE7-5E3A8CB8E8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43BDCF-CD65-459D-B3C1-842DFFE4D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ersel hengrmen</cp:lastModifiedBy>
  <dcterms:created xsi:type="dcterms:W3CDTF">2021-01-09T17:11:28Z</dcterms:created>
  <dcterms:modified xsi:type="dcterms:W3CDTF">2021-01-13T19:24:16Z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