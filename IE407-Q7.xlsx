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pErenYılmaz\Downloads\"/>
    </mc:Choice>
  </mc:AlternateContent>
  <xr:revisionPtr revIDLastSave="0" documentId="13_ncr:1_{547F48EC-72F2-40D2-A607-A100032096F5}" xr6:coauthVersionLast="45" xr6:coauthVersionMax="46" xr10:uidLastSave="{00000000-0000-0000-0000-000000000000}"/>
  <bookViews>
    <workbookView xWindow="-118" yWindow="-118" windowWidth="25370" windowHeight="14374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Sayfa1!$AI$6:$AM$30,Sayfa1!$AP$6:$AT$30,Sayfa1!$AW$6:$BA$30,Sayfa1!$BD$6:$BH$30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Sayfa1!$BD$6:$BH$30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Sayfa1!$AI$6:$AM$30</definedName>
    <definedName name="solver_lhs8" localSheetId="1" hidden="1">Sayfa1!$AP$6:$AT$30</definedName>
    <definedName name="solver_lhs9" localSheetId="1" hidden="1">Sayfa1!$AW$6:$BA$30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Sayfa1!$B$55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0.05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7" i="1" l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V6" i="1"/>
  <c r="BR6" i="1"/>
  <c r="BY7" i="1"/>
  <c r="BZ7" i="1"/>
  <c r="CA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C63" i="1"/>
  <c r="BR35" i="1"/>
  <c r="BK35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AB63" i="1" a="1"/>
  <c r="W65" i="1"/>
  <c r="R66" i="1" a="1"/>
  <c r="AD63" i="1" a="1"/>
  <c r="AF65" i="1" a="1"/>
  <c r="R64" i="1" a="1"/>
  <c r="AE65" i="1" a="1"/>
  <c r="R67" i="1" a="1"/>
  <c r="W66" i="1"/>
  <c r="AF63" i="1" a="1"/>
  <c r="W63" i="1"/>
  <c r="AC65" i="1" a="1"/>
  <c r="R65" i="1" a="1"/>
  <c r="AB65" i="1" a="1"/>
  <c r="R63" i="1" a="1"/>
  <c r="AC63" i="1" a="1"/>
  <c r="AD65" i="1" a="1"/>
  <c r="AE63" i="1" a="1"/>
  <c r="W64" i="1"/>
  <c r="AB63" i="1" l="1"/>
  <c r="B55" i="1" a="1"/>
  <c r="B55" i="1" s="1"/>
  <c r="M82" i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C65" i="1"/>
  <c r="AF65" i="1"/>
  <c r="AB65" i="1"/>
  <c r="AD65" i="1"/>
  <c r="AE65" i="1"/>
  <c r="AF63" i="1"/>
  <c r="AE63" i="1"/>
  <c r="AD63" i="1"/>
  <c r="AC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2" i="1"/>
  <c r="AH53" i="1"/>
  <c r="AH50" i="1"/>
  <c r="AH51" i="1"/>
  <c r="AH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<sst xmlns="http://schemas.openxmlformats.org/spreadsheetml/2006/main" count="1862" uniqueCount="1166">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</sst>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BECCAB99-9C4D-424C-9948-849D3B918458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960B0994-F036-4707-8AFF-499FBFC05B33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F396E916-0186-44C3-88AF-33B27241D5B5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26048256-20E1-4C59-8760-BEC3883CF779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F04332CE-B091-4038-80A5-73AC1876CA5E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68D2BAD5-632A-4BDE-8D37-01703A26518A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A20E9D7B-8D59-448C-AED6-241E07420EDF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A2326FCA-2571-4C00-8935-EAF1BAF5EC09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EE3CB8E7-5CD6-4ADC-B56F-7C08FF9D318E}"/>
            </a:ext>
          </a:extLst>
        </xdr:cNvPr>
        <xdr:cNvCxnSpPr>
          <a:stCxn id="8" idx="3"/>
          <a:endCxn id="9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EAFAF528-D3EA-4583-BE24-44E0B28C2A82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EC61168E-A26F-4571-8355-7EC8AF4EA530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7AC7CE0E-792E-4D11-BD88-34EF910388AF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FD4A989D-03B0-40E1-9E26-3D9DC85152CA}"/>
            </a:ext>
          </a:extLst>
        </xdr:cNvPr>
        <xdr:cNvCxnSpPr>
          <a:stCxn id="12" idx="3"/>
          <a:endCxn id="13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116EA6F6-067E-45B5-BC9D-B650EF601F0A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215AAE4F-27A4-440A-8985-45DA37E4AA16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A449F3B6-DC8A-4DD8-A641-E8907449AC5C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FDE5B852-01D7-4D40-A9C0-60734C7A01C7}"/>
            </a:ext>
          </a:extLst>
        </xdr:cNvPr>
        <xdr:cNvCxnSpPr>
          <a:stCxn id="16" idx="3"/>
          <a:endCxn id="17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2F7A74BB-3ED5-47DB-805A-C517A1FAEEC1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1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41F50D52-044B-425E-A106-686EE3A022B9}"/>
            </a:ext>
          </a:extLst>
        </xdr:cNvPr>
        <xdr:cNvSpPr/>
      </xdr:nvSpPr>
      <xdr:spPr>
        <a:xfrm>
          <a:off x="11551920" y="12329160"/>
          <a:ext cx="617219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1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9BBB9194-7FB2-40D7-8485-D34B2AC3418A}"/>
            </a:ext>
          </a:extLst>
        </xdr:cNvPr>
        <xdr:cNvSpPr/>
      </xdr:nvSpPr>
      <xdr:spPr>
        <a:xfrm>
          <a:off x="12778740" y="12329160"/>
          <a:ext cx="617221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99061</xdr:rowOff>
    </xdr:from>
    <xdr:to>
      <xdr:col>19</xdr:col>
      <xdr:colOff>0</xdr:colOff>
      <xdr:row>64</xdr:row>
      <xdr:rowOff>99061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B38BBF25-E786-49C9-B5CD-DA7B88D51C9F}"/>
            </a:ext>
          </a:extLst>
        </xdr:cNvPr>
        <xdr:cNvCxnSpPr>
          <a:stCxn id="20" idx="3"/>
          <a:endCxn id="21" idx="1"/>
        </xdr:cNvCxnSpPr>
      </xdr:nvCxnSpPr>
      <xdr:spPr>
        <a:xfrm>
          <a:off x="12169139" y="12824461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170181</xdr:rowOff>
    </xdr:from>
    <xdr:to>
      <xdr:col>18</xdr:col>
      <xdr:colOff>495300</xdr:colOff>
      <xdr:row>65</xdr:row>
      <xdr:rowOff>27941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36A90B40-9C85-4A28-9860-75128B4E2C62}"/>
            </a:ext>
          </a:extLst>
        </xdr:cNvPr>
        <xdr:cNvSpPr/>
      </xdr:nvSpPr>
      <xdr:spPr>
        <a:xfrm>
          <a:off x="12283440" y="126974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91CBF10F-09FC-4CB4-80A7-12316C64D980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BC2D3FED-376E-40BA-9AFE-B7C95122E34D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7FE66ABD-1C29-4F68-9414-D260530EFFAC}"/>
            </a:ext>
          </a:extLst>
        </xdr:cNvPr>
        <xdr:cNvCxnSpPr>
          <a:stCxn id="24" idx="3"/>
          <a:endCxn id="25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3A6116E2-110A-4285-8ABC-7DF45AF87EC5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11C30E3F-0598-4FCC-BAFC-0BF06945FAA6}"/>
            </a:ext>
          </a:extLst>
        </xdr:cNvPr>
        <xdr:cNvSpPr/>
      </xdr:nvSpPr>
      <xdr:spPr>
        <a:xfrm>
          <a:off x="17777461" y="12329160"/>
          <a:ext cx="313181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E1E25E00-BE42-4D74-B518-94596EFA4AD0}"/>
            </a:ext>
          </a:extLst>
        </xdr:cNvPr>
        <xdr:cNvSpPr/>
      </xdr:nvSpPr>
      <xdr:spPr>
        <a:xfrm>
          <a:off x="21526500" y="12329160"/>
          <a:ext cx="332232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0D209F7A-F1FE-40FA-81A6-9D0BAF32CDB7}"/>
            </a:ext>
          </a:extLst>
        </xdr:cNvPr>
        <xdr:cNvCxnSpPr>
          <a:stCxn id="28" idx="3"/>
          <a:endCxn id="29" idx="1"/>
        </xdr:cNvCxnSpPr>
      </xdr:nvCxnSpPr>
      <xdr:spPr>
        <a:xfrm>
          <a:off x="20909280" y="1262634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25E03FF5-E0D3-4153-AF9F-0401F6165760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5AEE190A-8529-4EFF-A854-23BD6DFDEE08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26C12812-B8F8-4348-946B-41330610C09C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FB455ADE-D2E8-4881-A009-D2C20004E899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62ED9C17-7F4A-4111-BD59-AD7B2890FCF5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99B86859-543E-4C57-A65D-7B2AD3D057F7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ED81621D-C155-40D3-9DEF-826284C42951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939DA02F-DE2C-4A96-8A15-3B45BA732D1D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9B7FCE64-791C-4F55-8AC7-022D38C13F78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5.05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x14ac:dyDescent="0.3">
      <c r="A1" s="56" t="s">
        <v>40</v>
      </c>
    </row>
    <row r="2" spans="1:8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x14ac:dyDescent="0.3">
      <c r="B4" s="46"/>
      <c r="C4" s="46"/>
      <c r="D4" s="46"/>
      <c r="E4" s="46"/>
      <c r="F4" s="46"/>
      <c r="G4" s="46"/>
      <c r="H4" s="46"/>
    </row>
    <row r="5" spans="1:8" ht="15.7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.7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.7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.7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.7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.7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54" zoomScale="112" zoomScaleNormal="55" workbookViewId="0">
      <selection activeCell="AB64" sqref="AB64"/>
    </sheetView>
  </sheetViews>
  <sheetFormatPr defaultRowHeight="15.75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81" ht="16.399999999999999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1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1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5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8"/>
      <c r="BX5" s="45" t="s">
        <v>7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8"/>
      <c r="BQ6" s="23">
        <v>1</v>
      </c>
      <c r="BR6" s="16">
        <f>AI6+AP6*2+AW6*3+BD6*4</f>
        <v>0</v>
      </c>
      <c r="BS6" s="16">
        <f t="shared" ref="BS6:BV6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8"/>
      <c r="BX6" s="23">
        <v>1</v>
      </c>
      <c r="BY6" s="16">
        <f>AI6+AP6*POWER(2,$O6)+AW6*POWER(3,$O6)+BD6*POWER(4,$O6)</f>
        <v>0</v>
      </c>
      <c r="BZ6" s="16">
        <f t="shared" ref="BZ6:CC6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8">AI7+AP7+AW7+BD7</f>
        <v>0</v>
      </c>
      <c r="BL7" s="16">
        <f t="shared" ref="BL7:BL30" si="9">AJ7+AQ7+AX7+BE7</f>
        <v>0</v>
      </c>
      <c r="BM7" s="16">
        <f t="shared" ref="BM7:BM30" si="10">AK7+AR7+AY7+BF7</f>
        <v>0</v>
      </c>
      <c r="BN7" s="16">
        <f t="shared" ref="BN7:BN30" si="11">AL7+AS7+AZ7+BG7</f>
        <v>0</v>
      </c>
      <c r="BO7" s="16">
        <f t="shared" ref="BO7:BO30" si="12">AM7+AT7+BA7+BH7</f>
        <v>1</v>
      </c>
      <c r="BP7" s="8"/>
      <c r="BQ7" s="23">
        <v>2</v>
      </c>
      <c r="BR7" s="16">
        <f t="shared" ref="BR7:BR30" si="13">AI7+AP7*2+AW7*3+BD7*4</f>
        <v>0</v>
      </c>
      <c r="BS7" s="16">
        <f t="shared" ref="BS7:BS30" si="14">AJ7+AQ7*2+AX7*3+BE7*4</f>
        <v>0</v>
      </c>
      <c r="BT7" s="16">
        <f t="shared" ref="BT7:BT30" si="15">AK7+AR7*2+AY7*3+BF7*4</f>
        <v>0</v>
      </c>
      <c r="BU7" s="16">
        <f t="shared" ref="BU7:BU30" si="16">AL7+AS7*2+AZ7*3+BG7*4</f>
        <v>0</v>
      </c>
      <c r="BV7" s="16">
        <f t="shared" ref="BV7:BV30" si="17">AM7+AT7*2+BA7*3+BH7*4</f>
        <v>1</v>
      </c>
      <c r="BW7" s="8"/>
      <c r="BX7" s="23">
        <v>2</v>
      </c>
      <c r="BY7" s="16">
        <f t="shared" ref="BY7:BY30" si="18">AI7+AP7*POWER(2,$O7)+AW7*POWER(3,$O7)+BD7*POWER(4,$O7)</f>
        <v>0</v>
      </c>
      <c r="BZ7" s="16">
        <f t="shared" ref="BZ7:BZ30" si="19">AJ7+AQ7*POWER(2,$O7)+AX7*POWER(3,$O7)+BE7*POWER(4,$O7)</f>
        <v>0</v>
      </c>
      <c r="CA7" s="16">
        <f t="shared" ref="CA7:CA30" si="20"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C30" si="22">AM7+AT7*POWER(2,$O7)+BA7*POWER(3,$O7)+BH7*POWER(4,$O7)</f>
        <v>1</v>
      </c>
    </row>
    <row r="8" spans="2:81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9"/>
        <v>0</v>
      </c>
      <c r="BM8" s="16">
        <f t="shared" si="10"/>
        <v>1</v>
      </c>
      <c r="BN8" s="16">
        <f t="shared" si="11"/>
        <v>0</v>
      </c>
      <c r="BO8" s="16">
        <f t="shared" si="12"/>
        <v>0</v>
      </c>
      <c r="BP8" s="8"/>
      <c r="BQ8" s="23">
        <v>3</v>
      </c>
      <c r="BR8" s="16">
        <f t="shared" si="13"/>
        <v>0</v>
      </c>
      <c r="BS8" s="16">
        <f t="shared" si="14"/>
        <v>0</v>
      </c>
      <c r="BT8" s="16">
        <f t="shared" si="15"/>
        <v>1</v>
      </c>
      <c r="BU8" s="16">
        <f t="shared" si="16"/>
        <v>0</v>
      </c>
      <c r="BV8" s="16">
        <f t="shared" si="17"/>
        <v>0</v>
      </c>
      <c r="BW8" s="8"/>
      <c r="BX8" s="23">
        <v>3</v>
      </c>
      <c r="BY8" s="16">
        <f t="shared" si="18"/>
        <v>0</v>
      </c>
      <c r="BZ8" s="16">
        <f t="shared" si="19"/>
        <v>0</v>
      </c>
      <c r="CA8" s="16">
        <f t="shared" si="20"/>
        <v>1</v>
      </c>
      <c r="CB8" s="16">
        <f t="shared" si="21"/>
        <v>0</v>
      </c>
      <c r="CC8" s="19">
        <f t="shared" si="22"/>
        <v>0</v>
      </c>
    </row>
    <row r="9" spans="2:81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M9" s="16">
        <v>1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9"/>
        <v>0</v>
      </c>
      <c r="BM9" s="16">
        <f t="shared" si="10"/>
        <v>0</v>
      </c>
      <c r="BN9" s="16">
        <f t="shared" si="11"/>
        <v>0</v>
      </c>
      <c r="BO9" s="16">
        <f t="shared" si="12"/>
        <v>1</v>
      </c>
      <c r="BP9" s="8"/>
      <c r="BQ9" s="23">
        <v>4</v>
      </c>
      <c r="BR9" s="16">
        <f t="shared" si="13"/>
        <v>0</v>
      </c>
      <c r="BS9" s="16">
        <f t="shared" si="14"/>
        <v>0</v>
      </c>
      <c r="BT9" s="16">
        <f t="shared" si="15"/>
        <v>0</v>
      </c>
      <c r="BU9" s="16">
        <f t="shared" si="16"/>
        <v>0</v>
      </c>
      <c r="BV9" s="16">
        <f t="shared" si="17"/>
        <v>1</v>
      </c>
      <c r="BW9" s="8"/>
      <c r="BX9" s="23">
        <v>4</v>
      </c>
      <c r="BY9" s="16">
        <f t="shared" si="18"/>
        <v>0</v>
      </c>
      <c r="BZ9" s="16">
        <f t="shared" si="19"/>
        <v>0</v>
      </c>
      <c r="CA9" s="16">
        <f t="shared" si="20"/>
        <v>0</v>
      </c>
      <c r="CB9" s="16">
        <f t="shared" si="21"/>
        <v>0</v>
      </c>
      <c r="CC9" s="19">
        <f t="shared" si="22"/>
        <v>1</v>
      </c>
    </row>
    <row r="10" spans="2:81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9"/>
        <v>0</v>
      </c>
      <c r="BM10" s="16">
        <f t="shared" si="10"/>
        <v>1</v>
      </c>
      <c r="BN10" s="16">
        <f t="shared" si="11"/>
        <v>0</v>
      </c>
      <c r="BO10" s="16">
        <f t="shared" si="12"/>
        <v>0</v>
      </c>
      <c r="BP10" s="8"/>
      <c r="BQ10" s="23">
        <v>5</v>
      </c>
      <c r="BR10" s="16">
        <f t="shared" si="13"/>
        <v>0</v>
      </c>
      <c r="BS10" s="16">
        <f t="shared" si="14"/>
        <v>0</v>
      </c>
      <c r="BT10" s="16">
        <f t="shared" si="15"/>
        <v>4</v>
      </c>
      <c r="BU10" s="16">
        <f t="shared" si="16"/>
        <v>0</v>
      </c>
      <c r="BV10" s="16">
        <f t="shared" si="17"/>
        <v>0</v>
      </c>
      <c r="BW10" s="8"/>
      <c r="BX10" s="23">
        <v>5</v>
      </c>
      <c r="BY10" s="16">
        <f t="shared" si="18"/>
        <v>0</v>
      </c>
      <c r="BZ10" s="16">
        <f t="shared" si="19"/>
        <v>0</v>
      </c>
      <c r="CA10" s="16">
        <f t="shared" si="20"/>
        <v>3.4822022531844965</v>
      </c>
      <c r="CB10" s="16">
        <f t="shared" si="21"/>
        <v>0</v>
      </c>
      <c r="CC10" s="19">
        <f t="shared" si="22"/>
        <v>0</v>
      </c>
    </row>
    <row r="11" spans="2:81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0</v>
      </c>
      <c r="BL11" s="16">
        <f t="shared" si="9"/>
        <v>0</v>
      </c>
      <c r="BM11" s="16">
        <f t="shared" si="10"/>
        <v>0</v>
      </c>
      <c r="BN11" s="16">
        <f t="shared" si="11"/>
        <v>0</v>
      </c>
      <c r="BO11" s="16">
        <f t="shared" si="12"/>
        <v>0</v>
      </c>
      <c r="BP11" s="8"/>
      <c r="BQ11" s="23">
        <v>6</v>
      </c>
      <c r="BR11" s="16">
        <f t="shared" si="13"/>
        <v>0</v>
      </c>
      <c r="BS11" s="16">
        <f t="shared" si="14"/>
        <v>0</v>
      </c>
      <c r="BT11" s="16">
        <f t="shared" si="15"/>
        <v>0</v>
      </c>
      <c r="BU11" s="16">
        <f t="shared" si="16"/>
        <v>0</v>
      </c>
      <c r="BV11" s="16">
        <f t="shared" si="17"/>
        <v>0</v>
      </c>
      <c r="BW11" s="8"/>
      <c r="BX11" s="23">
        <v>6</v>
      </c>
      <c r="BY11" s="16">
        <f t="shared" si="18"/>
        <v>0</v>
      </c>
      <c r="BZ11" s="16">
        <f t="shared" si="19"/>
        <v>0</v>
      </c>
      <c r="CA11" s="16">
        <f t="shared" si="20"/>
        <v>0</v>
      </c>
      <c r="CB11" s="16">
        <f t="shared" si="21"/>
        <v>0</v>
      </c>
      <c r="CC11" s="19">
        <f t="shared" si="22"/>
        <v>0</v>
      </c>
    </row>
    <row r="12" spans="2:81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9"/>
        <v>0</v>
      </c>
      <c r="BM12" s="16">
        <f t="shared" si="10"/>
        <v>0</v>
      </c>
      <c r="BN12" s="16">
        <f t="shared" si="11"/>
        <v>0</v>
      </c>
      <c r="BO12" s="16">
        <f t="shared" si="12"/>
        <v>0</v>
      </c>
      <c r="BP12" s="8"/>
      <c r="BQ12" s="23">
        <v>7</v>
      </c>
      <c r="BR12" s="16">
        <f t="shared" si="13"/>
        <v>0</v>
      </c>
      <c r="BS12" s="16">
        <f t="shared" si="14"/>
        <v>0</v>
      </c>
      <c r="BT12" s="16">
        <f t="shared" si="15"/>
        <v>0</v>
      </c>
      <c r="BU12" s="16">
        <f t="shared" si="16"/>
        <v>0</v>
      </c>
      <c r="BV12" s="16">
        <f t="shared" si="17"/>
        <v>0</v>
      </c>
      <c r="BW12" s="8"/>
      <c r="BX12" s="23">
        <v>7</v>
      </c>
      <c r="BY12" s="16">
        <f t="shared" si="18"/>
        <v>0</v>
      </c>
      <c r="BZ12" s="16">
        <f t="shared" si="19"/>
        <v>0</v>
      </c>
      <c r="CA12" s="16">
        <f t="shared" si="20"/>
        <v>0</v>
      </c>
      <c r="CB12" s="16">
        <f t="shared" si="21"/>
        <v>0</v>
      </c>
      <c r="CC12" s="19">
        <f t="shared" si="22"/>
        <v>0</v>
      </c>
    </row>
    <row r="13" spans="2:81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0</v>
      </c>
      <c r="AM13" s="16">
        <v>1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9"/>
        <v>0</v>
      </c>
      <c r="BM13" s="16">
        <f t="shared" si="10"/>
        <v>0</v>
      </c>
      <c r="BN13" s="16">
        <f t="shared" si="11"/>
        <v>0</v>
      </c>
      <c r="BO13" s="16">
        <f t="shared" si="12"/>
        <v>1</v>
      </c>
      <c r="BP13" s="8"/>
      <c r="BQ13" s="23">
        <v>8</v>
      </c>
      <c r="BR13" s="16">
        <f t="shared" si="13"/>
        <v>0</v>
      </c>
      <c r="BS13" s="16">
        <f t="shared" si="14"/>
        <v>0</v>
      </c>
      <c r="BT13" s="16">
        <f t="shared" si="15"/>
        <v>0</v>
      </c>
      <c r="BU13" s="16">
        <f t="shared" si="16"/>
        <v>0</v>
      </c>
      <c r="BV13" s="16">
        <f t="shared" si="17"/>
        <v>1</v>
      </c>
      <c r="BW13" s="8"/>
      <c r="BX13" s="23">
        <v>8</v>
      </c>
      <c r="BY13" s="16">
        <f t="shared" si="18"/>
        <v>0</v>
      </c>
      <c r="BZ13" s="16">
        <f t="shared" si="19"/>
        <v>0</v>
      </c>
      <c r="CA13" s="16">
        <f t="shared" si="20"/>
        <v>0</v>
      </c>
      <c r="CB13" s="16">
        <f t="shared" si="21"/>
        <v>0</v>
      </c>
      <c r="CC13" s="19">
        <f t="shared" si="22"/>
        <v>1</v>
      </c>
    </row>
    <row r="14" spans="2:81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1</v>
      </c>
      <c r="AY14" s="16">
        <v>0</v>
      </c>
      <c r="AZ14" s="16">
        <v>0</v>
      </c>
      <c r="BA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9"/>
        <v>1</v>
      </c>
      <c r="BM14" s="16">
        <f t="shared" si="10"/>
        <v>0</v>
      </c>
      <c r="BN14" s="16">
        <f t="shared" si="11"/>
        <v>0</v>
      </c>
      <c r="BO14" s="16">
        <f t="shared" si="12"/>
        <v>0</v>
      </c>
      <c r="BP14" s="8"/>
      <c r="BQ14" s="23">
        <v>9</v>
      </c>
      <c r="BR14" s="16">
        <f t="shared" si="13"/>
        <v>0</v>
      </c>
      <c r="BS14" s="16">
        <f t="shared" si="14"/>
        <v>3</v>
      </c>
      <c r="BT14" s="16">
        <f t="shared" si="15"/>
        <v>0</v>
      </c>
      <c r="BU14" s="16">
        <f t="shared" si="16"/>
        <v>0</v>
      </c>
      <c r="BV14" s="16">
        <f t="shared" si="17"/>
        <v>0</v>
      </c>
      <c r="BW14" s="8"/>
      <c r="BX14" s="23">
        <v>9</v>
      </c>
      <c r="BY14" s="16">
        <f t="shared" si="18"/>
        <v>0</v>
      </c>
      <c r="BZ14" s="16">
        <f t="shared" si="19"/>
        <v>2.4082246852806923</v>
      </c>
      <c r="CA14" s="16">
        <f t="shared" si="20"/>
        <v>0</v>
      </c>
      <c r="CB14" s="16">
        <f t="shared" si="21"/>
        <v>0</v>
      </c>
      <c r="CC14" s="19">
        <f t="shared" si="22"/>
        <v>0</v>
      </c>
    </row>
    <row r="15" spans="2:81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1</v>
      </c>
      <c r="AX15" s="16">
        <v>0</v>
      </c>
      <c r="AY15" s="16">
        <v>0</v>
      </c>
      <c r="AZ15" s="16">
        <v>0</v>
      </c>
      <c r="BA15" s="16">
        <v>0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1</v>
      </c>
      <c r="BL15" s="16">
        <f t="shared" si="9"/>
        <v>0</v>
      </c>
      <c r="BM15" s="16">
        <f t="shared" si="10"/>
        <v>0</v>
      </c>
      <c r="BN15" s="16">
        <f t="shared" si="11"/>
        <v>0</v>
      </c>
      <c r="BO15" s="16">
        <f t="shared" si="12"/>
        <v>0</v>
      </c>
      <c r="BP15" s="8"/>
      <c r="BQ15" s="23">
        <v>10</v>
      </c>
      <c r="BR15" s="16">
        <f t="shared" si="13"/>
        <v>3</v>
      </c>
      <c r="BS15" s="16">
        <f t="shared" si="14"/>
        <v>0</v>
      </c>
      <c r="BT15" s="16">
        <f t="shared" si="15"/>
        <v>0</v>
      </c>
      <c r="BU15" s="16">
        <f t="shared" si="16"/>
        <v>0</v>
      </c>
      <c r="BV15" s="16">
        <f t="shared" si="17"/>
        <v>0</v>
      </c>
      <c r="BW15" s="8"/>
      <c r="BX15" s="23">
        <v>10</v>
      </c>
      <c r="BY15" s="16">
        <f t="shared" si="18"/>
        <v>2.4082246852806923</v>
      </c>
      <c r="BZ15" s="16">
        <f t="shared" si="19"/>
        <v>0</v>
      </c>
      <c r="CA15" s="16">
        <f t="shared" si="20"/>
        <v>0</v>
      </c>
      <c r="CB15" s="16">
        <f t="shared" si="21"/>
        <v>0</v>
      </c>
      <c r="CC15" s="19">
        <f t="shared" si="22"/>
        <v>0</v>
      </c>
    </row>
    <row r="16" spans="2:81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0</v>
      </c>
      <c r="AJ16" s="16">
        <v>0</v>
      </c>
      <c r="AK16" s="16">
        <v>1</v>
      </c>
      <c r="AL16" s="16">
        <v>0</v>
      </c>
      <c r="AM16" s="16">
        <v>0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0</v>
      </c>
      <c r="BL16" s="16">
        <f t="shared" si="9"/>
        <v>0</v>
      </c>
      <c r="BM16" s="16">
        <f t="shared" si="10"/>
        <v>1</v>
      </c>
      <c r="BN16" s="16">
        <f t="shared" si="11"/>
        <v>0</v>
      </c>
      <c r="BO16" s="16">
        <f t="shared" si="12"/>
        <v>0</v>
      </c>
      <c r="BP16" s="8"/>
      <c r="BQ16" s="23">
        <v>11</v>
      </c>
      <c r="BR16" s="16">
        <f t="shared" si="13"/>
        <v>0</v>
      </c>
      <c r="BS16" s="16">
        <f t="shared" si="14"/>
        <v>0</v>
      </c>
      <c r="BT16" s="16">
        <f t="shared" si="15"/>
        <v>1</v>
      </c>
      <c r="BU16" s="16">
        <f t="shared" si="16"/>
        <v>0</v>
      </c>
      <c r="BV16" s="16">
        <f t="shared" si="17"/>
        <v>0</v>
      </c>
      <c r="BW16" s="8"/>
      <c r="BX16" s="23">
        <v>11</v>
      </c>
      <c r="BY16" s="16">
        <f t="shared" si="18"/>
        <v>0</v>
      </c>
      <c r="BZ16" s="16">
        <f t="shared" si="19"/>
        <v>0</v>
      </c>
      <c r="CA16" s="16">
        <f t="shared" si="20"/>
        <v>1</v>
      </c>
      <c r="CB16" s="16">
        <f t="shared" si="21"/>
        <v>0</v>
      </c>
      <c r="CC16" s="19">
        <f t="shared" si="22"/>
        <v>0</v>
      </c>
    </row>
    <row r="17" spans="2:81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9"/>
        <v>0</v>
      </c>
      <c r="BM17" s="16">
        <f t="shared" si="10"/>
        <v>0</v>
      </c>
      <c r="BN17" s="16">
        <f t="shared" si="11"/>
        <v>1</v>
      </c>
      <c r="BO17" s="16">
        <f t="shared" si="12"/>
        <v>0</v>
      </c>
      <c r="BP17" s="8"/>
      <c r="BQ17" s="23">
        <v>12</v>
      </c>
      <c r="BR17" s="16">
        <f t="shared" si="13"/>
        <v>0</v>
      </c>
      <c r="BS17" s="16">
        <f t="shared" si="14"/>
        <v>0</v>
      </c>
      <c r="BT17" s="16">
        <f t="shared" si="15"/>
        <v>0</v>
      </c>
      <c r="BU17" s="16">
        <f t="shared" si="16"/>
        <v>4</v>
      </c>
      <c r="BV17" s="16">
        <f t="shared" si="17"/>
        <v>0</v>
      </c>
      <c r="BW17" s="8"/>
      <c r="BX17" s="23">
        <v>12</v>
      </c>
      <c r="BY17" s="16">
        <f t="shared" si="18"/>
        <v>0</v>
      </c>
      <c r="BZ17" s="16">
        <f t="shared" si="19"/>
        <v>0</v>
      </c>
      <c r="CA17" s="16">
        <f t="shared" si="20"/>
        <v>0</v>
      </c>
      <c r="CB17" s="16">
        <f t="shared" si="21"/>
        <v>3.031433133020796</v>
      </c>
      <c r="CC17" s="19">
        <f t="shared" si="22"/>
        <v>0</v>
      </c>
    </row>
    <row r="18" spans="2:81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9"/>
        <v>0</v>
      </c>
      <c r="BM18" s="16">
        <f t="shared" si="10"/>
        <v>0</v>
      </c>
      <c r="BN18" s="16">
        <f t="shared" si="11"/>
        <v>0</v>
      </c>
      <c r="BO18" s="16">
        <f t="shared" si="12"/>
        <v>0</v>
      </c>
      <c r="BP18" s="8"/>
      <c r="BQ18" s="23">
        <v>13</v>
      </c>
      <c r="BR18" s="16">
        <f t="shared" si="13"/>
        <v>0</v>
      </c>
      <c r="BS18" s="16">
        <f t="shared" si="14"/>
        <v>0</v>
      </c>
      <c r="BT18" s="16">
        <f t="shared" si="15"/>
        <v>0</v>
      </c>
      <c r="BU18" s="16">
        <f t="shared" si="16"/>
        <v>0</v>
      </c>
      <c r="BV18" s="16">
        <f t="shared" si="17"/>
        <v>0</v>
      </c>
      <c r="BW18" s="8"/>
      <c r="BX18" s="23">
        <v>13</v>
      </c>
      <c r="BY18" s="16">
        <f t="shared" si="18"/>
        <v>0</v>
      </c>
      <c r="BZ18" s="16">
        <f t="shared" si="19"/>
        <v>0</v>
      </c>
      <c r="CA18" s="16">
        <f t="shared" si="20"/>
        <v>0</v>
      </c>
      <c r="CB18" s="16">
        <f t="shared" si="21"/>
        <v>0</v>
      </c>
      <c r="CC18" s="19">
        <f t="shared" si="22"/>
        <v>0</v>
      </c>
    </row>
    <row r="19" spans="2:81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9"/>
        <v>0</v>
      </c>
      <c r="BM19" s="16">
        <f t="shared" si="10"/>
        <v>1</v>
      </c>
      <c r="BN19" s="16">
        <f t="shared" si="11"/>
        <v>0</v>
      </c>
      <c r="BO19" s="16">
        <f t="shared" si="12"/>
        <v>0</v>
      </c>
      <c r="BP19" s="8"/>
      <c r="BQ19" s="23">
        <v>14</v>
      </c>
      <c r="BR19" s="16">
        <f t="shared" si="13"/>
        <v>0</v>
      </c>
      <c r="BS19" s="16">
        <f t="shared" si="14"/>
        <v>0</v>
      </c>
      <c r="BT19" s="16">
        <f t="shared" si="15"/>
        <v>4</v>
      </c>
      <c r="BU19" s="16">
        <f t="shared" si="16"/>
        <v>0</v>
      </c>
      <c r="BV19" s="16">
        <f t="shared" si="17"/>
        <v>0</v>
      </c>
      <c r="BW19" s="8"/>
      <c r="BX19" s="23">
        <v>14</v>
      </c>
      <c r="BY19" s="16">
        <f t="shared" si="18"/>
        <v>0</v>
      </c>
      <c r="BZ19" s="16">
        <f t="shared" si="19"/>
        <v>0</v>
      </c>
      <c r="CA19" s="16">
        <f t="shared" si="20"/>
        <v>3.031433133020796</v>
      </c>
      <c r="CB19" s="16">
        <f t="shared" si="21"/>
        <v>0</v>
      </c>
      <c r="CC19" s="19">
        <f t="shared" si="22"/>
        <v>0</v>
      </c>
    </row>
    <row r="20" spans="2:81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1</v>
      </c>
      <c r="BF20" s="16">
        <v>0</v>
      </c>
      <c r="BG20" s="16">
        <v>0</v>
      </c>
      <c r="BH20" s="19">
        <v>0</v>
      </c>
      <c r="BJ20" s="22">
        <v>15</v>
      </c>
      <c r="BK20" s="16">
        <f t="shared" si="8"/>
        <v>0</v>
      </c>
      <c r="BL20" s="16">
        <f t="shared" si="9"/>
        <v>1</v>
      </c>
      <c r="BM20" s="16">
        <f t="shared" si="10"/>
        <v>0</v>
      </c>
      <c r="BN20" s="16">
        <f t="shared" si="11"/>
        <v>0</v>
      </c>
      <c r="BO20" s="16">
        <f t="shared" si="12"/>
        <v>0</v>
      </c>
      <c r="BP20" s="8"/>
      <c r="BQ20" s="23">
        <v>15</v>
      </c>
      <c r="BR20" s="16">
        <f t="shared" si="13"/>
        <v>0</v>
      </c>
      <c r="BS20" s="16">
        <f t="shared" si="14"/>
        <v>4</v>
      </c>
      <c r="BT20" s="16">
        <f t="shared" si="15"/>
        <v>0</v>
      </c>
      <c r="BU20" s="16">
        <f t="shared" si="16"/>
        <v>0</v>
      </c>
      <c r="BV20" s="16">
        <f t="shared" si="17"/>
        <v>0</v>
      </c>
      <c r="BW20" s="8"/>
      <c r="BX20" s="23">
        <v>15</v>
      </c>
      <c r="BY20" s="16">
        <f t="shared" si="18"/>
        <v>0</v>
      </c>
      <c r="BZ20" s="16">
        <f t="shared" si="19"/>
        <v>3.031433133020796</v>
      </c>
      <c r="CA20" s="16">
        <f t="shared" si="20"/>
        <v>0</v>
      </c>
      <c r="CB20" s="16">
        <f t="shared" si="21"/>
        <v>0</v>
      </c>
      <c r="CC20" s="19">
        <f t="shared" si="22"/>
        <v>0</v>
      </c>
    </row>
    <row r="21" spans="2:81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9"/>
        <v>0</v>
      </c>
      <c r="BM21" s="16">
        <f t="shared" si="10"/>
        <v>0</v>
      </c>
      <c r="BN21" s="16">
        <f t="shared" si="11"/>
        <v>0</v>
      </c>
      <c r="BO21" s="16">
        <f t="shared" si="12"/>
        <v>0</v>
      </c>
      <c r="BP21" s="8"/>
      <c r="BQ21" s="23">
        <v>16</v>
      </c>
      <c r="BR21" s="16">
        <f t="shared" si="13"/>
        <v>0</v>
      </c>
      <c r="BS21" s="16">
        <f t="shared" si="14"/>
        <v>0</v>
      </c>
      <c r="BT21" s="16">
        <f t="shared" si="15"/>
        <v>0</v>
      </c>
      <c r="BU21" s="16">
        <f t="shared" si="16"/>
        <v>0</v>
      </c>
      <c r="BV21" s="16">
        <f t="shared" si="17"/>
        <v>0</v>
      </c>
      <c r="BW21" s="8"/>
      <c r="BX21" s="23">
        <v>16</v>
      </c>
      <c r="BY21" s="16">
        <f t="shared" si="18"/>
        <v>0</v>
      </c>
      <c r="BZ21" s="16">
        <f t="shared" si="19"/>
        <v>0</v>
      </c>
      <c r="CA21" s="16">
        <f t="shared" si="20"/>
        <v>0</v>
      </c>
      <c r="CB21" s="16">
        <f t="shared" si="21"/>
        <v>0</v>
      </c>
      <c r="CC21" s="19">
        <f t="shared" si="22"/>
        <v>0</v>
      </c>
    </row>
    <row r="22" spans="2:81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9"/>
        <v>0</v>
      </c>
      <c r="BM22" s="16">
        <f t="shared" si="10"/>
        <v>0</v>
      </c>
      <c r="BN22" s="16">
        <f t="shared" si="11"/>
        <v>0</v>
      </c>
      <c r="BO22" s="16">
        <f t="shared" si="12"/>
        <v>0</v>
      </c>
      <c r="BP22" s="8"/>
      <c r="BQ22" s="23">
        <v>17</v>
      </c>
      <c r="BR22" s="16">
        <f t="shared" si="13"/>
        <v>0</v>
      </c>
      <c r="BS22" s="16">
        <f t="shared" si="14"/>
        <v>0</v>
      </c>
      <c r="BT22" s="16">
        <f t="shared" si="15"/>
        <v>0</v>
      </c>
      <c r="BU22" s="16">
        <f t="shared" si="16"/>
        <v>0</v>
      </c>
      <c r="BV22" s="16">
        <f t="shared" si="17"/>
        <v>0</v>
      </c>
      <c r="BW22" s="8"/>
      <c r="BX22" s="23">
        <v>17</v>
      </c>
      <c r="BY22" s="16">
        <f t="shared" si="18"/>
        <v>0</v>
      </c>
      <c r="BZ22" s="16">
        <f t="shared" si="19"/>
        <v>0</v>
      </c>
      <c r="CA22" s="16">
        <f t="shared" si="20"/>
        <v>0</v>
      </c>
      <c r="CB22" s="16">
        <f t="shared" si="21"/>
        <v>0</v>
      </c>
      <c r="CC22" s="19">
        <f t="shared" si="22"/>
        <v>0</v>
      </c>
    </row>
    <row r="23" spans="2:81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9"/>
        <v>0</v>
      </c>
      <c r="BM23" s="16">
        <f t="shared" si="10"/>
        <v>0</v>
      </c>
      <c r="BN23" s="16">
        <f t="shared" si="11"/>
        <v>0</v>
      </c>
      <c r="BO23" s="16">
        <f t="shared" si="12"/>
        <v>0</v>
      </c>
      <c r="BP23" s="8"/>
      <c r="BQ23" s="23">
        <v>18</v>
      </c>
      <c r="BR23" s="16">
        <f t="shared" si="13"/>
        <v>0</v>
      </c>
      <c r="BS23" s="16">
        <f t="shared" si="14"/>
        <v>0</v>
      </c>
      <c r="BT23" s="16">
        <f t="shared" si="15"/>
        <v>0</v>
      </c>
      <c r="BU23" s="16">
        <f t="shared" si="16"/>
        <v>0</v>
      </c>
      <c r="BV23" s="16">
        <f t="shared" si="17"/>
        <v>0</v>
      </c>
      <c r="BW23" s="8"/>
      <c r="BX23" s="23">
        <v>18</v>
      </c>
      <c r="BY23" s="16">
        <f t="shared" si="18"/>
        <v>0</v>
      </c>
      <c r="BZ23" s="16">
        <f t="shared" si="19"/>
        <v>0</v>
      </c>
      <c r="CA23" s="16">
        <f t="shared" si="20"/>
        <v>0</v>
      </c>
      <c r="CB23" s="16">
        <f t="shared" si="21"/>
        <v>0</v>
      </c>
      <c r="CC23" s="19">
        <f t="shared" si="22"/>
        <v>0</v>
      </c>
    </row>
    <row r="24" spans="2:81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9"/>
        <v>0</v>
      </c>
      <c r="BM24" s="16">
        <f t="shared" si="10"/>
        <v>0</v>
      </c>
      <c r="BN24" s="16">
        <f t="shared" si="11"/>
        <v>0</v>
      </c>
      <c r="BO24" s="16">
        <f t="shared" si="12"/>
        <v>0</v>
      </c>
      <c r="BP24" s="8"/>
      <c r="BQ24" s="23">
        <v>19</v>
      </c>
      <c r="BR24" s="16">
        <f t="shared" si="13"/>
        <v>0</v>
      </c>
      <c r="BS24" s="16">
        <f t="shared" si="14"/>
        <v>0</v>
      </c>
      <c r="BT24" s="16">
        <f t="shared" si="15"/>
        <v>0</v>
      </c>
      <c r="BU24" s="16">
        <f t="shared" si="16"/>
        <v>0</v>
      </c>
      <c r="BV24" s="16">
        <f t="shared" si="17"/>
        <v>0</v>
      </c>
      <c r="BW24" s="8"/>
      <c r="BX24" s="23">
        <v>19</v>
      </c>
      <c r="BY24" s="16">
        <f t="shared" si="18"/>
        <v>0</v>
      </c>
      <c r="BZ24" s="16">
        <f t="shared" si="19"/>
        <v>0</v>
      </c>
      <c r="CA24" s="16">
        <f t="shared" si="20"/>
        <v>0</v>
      </c>
      <c r="CB24" s="16">
        <f t="shared" si="21"/>
        <v>0</v>
      </c>
      <c r="CC24" s="19">
        <f t="shared" si="22"/>
        <v>0</v>
      </c>
    </row>
    <row r="25" spans="2:81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9"/>
        <v>0</v>
      </c>
      <c r="BM25" s="16">
        <f t="shared" si="10"/>
        <v>0</v>
      </c>
      <c r="BN25" s="16">
        <f t="shared" si="11"/>
        <v>0</v>
      </c>
      <c r="BO25" s="16">
        <f t="shared" si="12"/>
        <v>0</v>
      </c>
      <c r="BP25" s="8"/>
      <c r="BQ25" s="23">
        <v>20</v>
      </c>
      <c r="BR25" s="16">
        <f t="shared" si="13"/>
        <v>0</v>
      </c>
      <c r="BS25" s="16">
        <f t="shared" si="14"/>
        <v>0</v>
      </c>
      <c r="BT25" s="16">
        <f t="shared" si="15"/>
        <v>0</v>
      </c>
      <c r="BU25" s="16">
        <f t="shared" si="16"/>
        <v>0</v>
      </c>
      <c r="BV25" s="16">
        <f t="shared" si="17"/>
        <v>0</v>
      </c>
      <c r="BW25" s="8"/>
      <c r="BX25" s="23">
        <v>20</v>
      </c>
      <c r="BY25" s="16">
        <f t="shared" si="18"/>
        <v>0</v>
      </c>
      <c r="BZ25" s="16">
        <f t="shared" si="19"/>
        <v>0</v>
      </c>
      <c r="CA25" s="16">
        <f t="shared" si="20"/>
        <v>0</v>
      </c>
      <c r="CB25" s="16">
        <f t="shared" si="21"/>
        <v>0</v>
      </c>
      <c r="CC25" s="19">
        <f t="shared" si="22"/>
        <v>0</v>
      </c>
    </row>
    <row r="26" spans="2:81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1</v>
      </c>
      <c r="BB26" s="8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9"/>
        <v>0</v>
      </c>
      <c r="BM26" s="16">
        <f t="shared" si="10"/>
        <v>0</v>
      </c>
      <c r="BN26" s="16">
        <f t="shared" si="11"/>
        <v>0</v>
      </c>
      <c r="BO26" s="16">
        <f t="shared" si="12"/>
        <v>1</v>
      </c>
      <c r="BP26" s="8"/>
      <c r="BQ26" s="23">
        <v>21</v>
      </c>
      <c r="BR26" s="16">
        <f t="shared" si="13"/>
        <v>0</v>
      </c>
      <c r="BS26" s="16">
        <f t="shared" si="14"/>
        <v>0</v>
      </c>
      <c r="BT26" s="16">
        <f t="shared" si="15"/>
        <v>0</v>
      </c>
      <c r="BU26" s="16">
        <f t="shared" si="16"/>
        <v>0</v>
      </c>
      <c r="BV26" s="16">
        <f t="shared" si="17"/>
        <v>3</v>
      </c>
      <c r="BW26" s="8"/>
      <c r="BX26" s="23">
        <v>21</v>
      </c>
      <c r="BY26" s="16">
        <f t="shared" si="18"/>
        <v>0</v>
      </c>
      <c r="BZ26" s="16">
        <f t="shared" si="19"/>
        <v>0</v>
      </c>
      <c r="CA26" s="16">
        <f t="shared" si="20"/>
        <v>0</v>
      </c>
      <c r="CB26" s="16">
        <f t="shared" si="21"/>
        <v>0</v>
      </c>
      <c r="CC26" s="19">
        <f t="shared" si="22"/>
        <v>1.9331820449317627</v>
      </c>
    </row>
    <row r="27" spans="2:81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1</v>
      </c>
      <c r="AJ27" s="16">
        <v>0</v>
      </c>
      <c r="AK27" s="16">
        <v>0</v>
      </c>
      <c r="AL27" s="16">
        <v>0</v>
      </c>
      <c r="AM27" s="16">
        <v>0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1</v>
      </c>
      <c r="BL27" s="16">
        <f t="shared" si="9"/>
        <v>0</v>
      </c>
      <c r="BM27" s="16">
        <f t="shared" si="10"/>
        <v>0</v>
      </c>
      <c r="BN27" s="16">
        <f t="shared" si="11"/>
        <v>0</v>
      </c>
      <c r="BO27" s="16">
        <f t="shared" si="12"/>
        <v>0</v>
      </c>
      <c r="BP27" s="8"/>
      <c r="BQ27" s="23">
        <v>22</v>
      </c>
      <c r="BR27" s="16">
        <f t="shared" si="13"/>
        <v>1</v>
      </c>
      <c r="BS27" s="16">
        <f t="shared" si="14"/>
        <v>0</v>
      </c>
      <c r="BT27" s="16">
        <f t="shared" si="15"/>
        <v>0</v>
      </c>
      <c r="BU27" s="16">
        <f t="shared" si="16"/>
        <v>0</v>
      </c>
      <c r="BV27" s="16">
        <f t="shared" si="17"/>
        <v>0</v>
      </c>
      <c r="BW27" s="8"/>
      <c r="BX27" s="23">
        <v>22</v>
      </c>
      <c r="BY27" s="16">
        <f t="shared" si="18"/>
        <v>1</v>
      </c>
      <c r="BZ27" s="16">
        <f t="shared" si="19"/>
        <v>0</v>
      </c>
      <c r="CA27" s="16">
        <f t="shared" si="20"/>
        <v>0</v>
      </c>
      <c r="CB27" s="16">
        <f t="shared" si="21"/>
        <v>0</v>
      </c>
      <c r="CC27" s="19">
        <f t="shared" si="22"/>
        <v>0</v>
      </c>
    </row>
    <row r="28" spans="2:81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9"/>
        <v>0</v>
      </c>
      <c r="BM28" s="16">
        <f t="shared" si="10"/>
        <v>0</v>
      </c>
      <c r="BN28" s="16">
        <f t="shared" si="11"/>
        <v>0</v>
      </c>
      <c r="BO28" s="16">
        <f t="shared" si="12"/>
        <v>1</v>
      </c>
      <c r="BP28" s="8"/>
      <c r="BQ28" s="23">
        <v>23</v>
      </c>
      <c r="BR28" s="16">
        <f t="shared" si="13"/>
        <v>0</v>
      </c>
      <c r="BS28" s="16">
        <f t="shared" si="14"/>
        <v>0</v>
      </c>
      <c r="BT28" s="16">
        <f t="shared" si="15"/>
        <v>0</v>
      </c>
      <c r="BU28" s="16">
        <f t="shared" si="16"/>
        <v>0</v>
      </c>
      <c r="BV28" s="16">
        <f t="shared" si="17"/>
        <v>1</v>
      </c>
      <c r="BW28" s="8"/>
      <c r="BX28" s="23">
        <v>23</v>
      </c>
      <c r="BY28" s="16">
        <f t="shared" si="18"/>
        <v>0</v>
      </c>
      <c r="BZ28" s="16">
        <f t="shared" si="19"/>
        <v>0</v>
      </c>
      <c r="CA28" s="16">
        <f t="shared" si="20"/>
        <v>0</v>
      </c>
      <c r="CB28" s="16">
        <f t="shared" si="21"/>
        <v>0</v>
      </c>
      <c r="CC28" s="19">
        <f t="shared" si="22"/>
        <v>1</v>
      </c>
    </row>
    <row r="29" spans="2:81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1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9"/>
        <v>0</v>
      </c>
      <c r="BM29" s="16">
        <f t="shared" si="10"/>
        <v>0</v>
      </c>
      <c r="BN29" s="16">
        <f t="shared" si="11"/>
        <v>0</v>
      </c>
      <c r="BO29" s="16">
        <f t="shared" si="12"/>
        <v>1</v>
      </c>
      <c r="BP29" s="8"/>
      <c r="BQ29" s="23">
        <v>24</v>
      </c>
      <c r="BR29" s="16">
        <f t="shared" si="13"/>
        <v>0</v>
      </c>
      <c r="BS29" s="16">
        <f t="shared" si="14"/>
        <v>0</v>
      </c>
      <c r="BT29" s="16">
        <f t="shared" si="15"/>
        <v>0</v>
      </c>
      <c r="BU29" s="16">
        <f t="shared" si="16"/>
        <v>0</v>
      </c>
      <c r="BV29" s="16">
        <f t="shared" si="17"/>
        <v>1</v>
      </c>
      <c r="BW29" s="8"/>
      <c r="BX29" s="23">
        <v>24</v>
      </c>
      <c r="BY29" s="16">
        <f t="shared" si="18"/>
        <v>0</v>
      </c>
      <c r="BZ29" s="16">
        <f t="shared" si="19"/>
        <v>0</v>
      </c>
      <c r="CA29" s="16">
        <f t="shared" si="20"/>
        <v>0</v>
      </c>
      <c r="CB29" s="16">
        <f t="shared" si="21"/>
        <v>0</v>
      </c>
      <c r="CC29" s="19">
        <f t="shared" si="22"/>
        <v>1</v>
      </c>
    </row>
    <row r="30" spans="2:81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0</v>
      </c>
      <c r="BF30" s="16">
        <v>0</v>
      </c>
      <c r="BG30" s="16">
        <v>1</v>
      </c>
      <c r="BH30" s="19">
        <v>0</v>
      </c>
      <c r="BJ30" s="22">
        <v>25</v>
      </c>
      <c r="BK30" s="16">
        <f t="shared" si="8"/>
        <v>0</v>
      </c>
      <c r="BL30" s="16">
        <f t="shared" si="9"/>
        <v>0</v>
      </c>
      <c r="BM30" s="16">
        <f t="shared" si="10"/>
        <v>0</v>
      </c>
      <c r="BN30" s="16">
        <f t="shared" si="11"/>
        <v>1</v>
      </c>
      <c r="BO30" s="16">
        <f t="shared" si="12"/>
        <v>0</v>
      </c>
      <c r="BP30" s="8"/>
      <c r="BQ30" s="23">
        <v>25</v>
      </c>
      <c r="BR30" s="16">
        <f t="shared" si="13"/>
        <v>0</v>
      </c>
      <c r="BS30" s="16">
        <f t="shared" si="14"/>
        <v>0</v>
      </c>
      <c r="BT30" s="16">
        <f t="shared" si="15"/>
        <v>0</v>
      </c>
      <c r="BU30" s="16">
        <f t="shared" si="16"/>
        <v>4</v>
      </c>
      <c r="BV30" s="16">
        <f t="shared" si="17"/>
        <v>0</v>
      </c>
      <c r="BW30" s="8"/>
      <c r="BX30" s="23">
        <v>25</v>
      </c>
      <c r="BY30" s="16">
        <f t="shared" si="18"/>
        <v>0</v>
      </c>
      <c r="BZ30" s="16">
        <f t="shared" si="19"/>
        <v>0</v>
      </c>
      <c r="CA30" s="16">
        <f t="shared" si="20"/>
        <v>0</v>
      </c>
      <c r="CB30" s="16">
        <f t="shared" si="21"/>
        <v>3.4822022531844965</v>
      </c>
      <c r="CC30" s="19">
        <f t="shared" si="22"/>
        <v>0</v>
      </c>
    </row>
    <row r="31" spans="2:81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399999999999999" thickBot="1" x14ac:dyDescent="0.35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x14ac:dyDescent="0.3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x14ac:dyDescent="0.3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x14ac:dyDescent="0.3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x14ac:dyDescent="0.3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81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81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81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81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81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81" x14ac:dyDescent="0.3">
      <c r="B43" s="7">
        <v>16</v>
      </c>
      <c r="C43" s="8">
        <v>20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81" x14ac:dyDescent="0.3"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81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81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81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81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</row>
    <row r="50" spans="1:91" ht="16.399999999999999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</row>
    <row r="51" spans="1:91" ht="16.399999999999999" thickBot="1" x14ac:dyDescent="0.35">
      <c r="AH51" s="1">
        <f ca="1">SUM(INDIRECT(ADDRESS(6,26+ROWS($A$1:A3))):INDIRECT(ADDRESS(30,26+ROWS($A$1:A3))))</f>
        <v>78</v>
      </c>
    </row>
    <row r="52" spans="1:91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</row>
    <row r="53" spans="1:91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</row>
    <row r="54" spans="1:91" x14ac:dyDescent="0.3">
      <c r="B54" s="7"/>
      <c r="C54" s="8"/>
      <c r="D54" s="8"/>
      <c r="E54" s="8"/>
      <c r="F54" s="9"/>
      <c r="H54" s="10" t="s">
        <v>1</v>
      </c>
      <c r="I54" s="11"/>
      <c r="J54" s="34"/>
    </row>
    <row r="55" spans="1:91" ht="16.399999999999999" thickBot="1" x14ac:dyDescent="0.35">
      <c r="B55" s="25" cm="1">
        <f t="array" ref="B55">SUMPRODUCT(MMULT(BY6:CC30*C6:C30*L6:L30*POWER(F6:F30,O6:O30),I33:I37))</f>
        <v>6938.3490468496238</v>
      </c>
      <c r="C55" s="26"/>
      <c r="D55" s="26"/>
      <c r="E55" s="26"/>
      <c r="F55" s="27"/>
      <c r="H55" s="25" t="s">
        <v>1161</v>
      </c>
      <c r="I55" s="26"/>
      <c r="J55" s="27"/>
    </row>
    <row r="56" spans="1:91" ht="16.399999999999999" thickBot="1" x14ac:dyDescent="0.35"/>
    <row r="57" spans="1:91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x14ac:dyDescent="0.3">
      <c r="A63" s="8"/>
      <c r="B63" s="7"/>
      <c r="C63" s="8">
        <f>SUM(AI6:AM6,AP6:AT6,AW6:BA6,BD6:BH6)</f>
        <v>1</v>
      </c>
      <c r="D63" s="8" t="s">
        <v>21</v>
      </c>
      <c r="E63" s="8">
        <v>1</v>
      </c>
      <c r="F63" s="8"/>
      <c r="G63" s="8"/>
      <c r="H63" s="8" cm="1">
        <f t="array" ref="H63">SUM(AA6:AE6*BR6:BV6-R6*BK6:BO6)</f>
        <v>1</v>
      </c>
      <c r="I63" s="8" t="s">
        <v>25</v>
      </c>
      <c r="J63" s="8">
        <v>0</v>
      </c>
      <c r="K63" s="8"/>
      <c r="L63" s="8"/>
      <c r="M63" s="8" cm="1">
        <f t="array" ref="M63">SUM(AA6:AE6*BR6:BV6-U6*BK6:BO6)</f>
        <v>-12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-1</v>
      </c>
      <c r="S63" s="8" t="s">
        <v>21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x14ac:dyDescent="0.3">
      <c r="A64" s="8"/>
      <c r="B64" s="7"/>
      <c r="C64" s="8">
        <f t="shared" ref="C64:C86" si="23">SUM(AI7:AM7,AP7:AT7,AW7:BA7,BD7:BH7)</f>
        <v>1</v>
      </c>
      <c r="D64" s="8" t="s">
        <v>21</v>
      </c>
      <c r="E64" s="8">
        <v>1</v>
      </c>
      <c r="F64" s="8"/>
      <c r="G64" s="8"/>
      <c r="H64" s="8" cm="1">
        <f t="array" ref="H64">SUM(AA7:AE7*BR7:BV7-R7*BK7:BO7)</f>
        <v>3</v>
      </c>
      <c r="I64" s="8" t="s">
        <v>25</v>
      </c>
      <c r="J64" s="8">
        <v>0</v>
      </c>
      <c r="K64" s="8"/>
      <c r="L64" s="8"/>
      <c r="M64" s="8" cm="1">
        <f t="array" ref="M64">SUM(AA7:AE7*BR7:BV7-U7*BK7:BO7)</f>
        <v>-15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-2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/>
      <c r="AC64" s="8"/>
      <c r="AD64" s="8"/>
      <c r="AE64" s="8"/>
      <c r="AF64" s="8"/>
      <c r="AG64" s="8" t="s">
        <v>21</v>
      </c>
      <c r="AH64" s="8"/>
      <c r="AI64" s="8"/>
      <c r="AJ64" s="8"/>
      <c r="AK64" s="8"/>
      <c r="AL64" s="8"/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 t="shared" si="23"/>
        <v>1</v>
      </c>
      <c r="D65" s="8" t="s">
        <v>21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25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INDIRECT(ADDRESS(5+$B43,62+COLUMNS($A3:A3)))+INDIRECT(ADDRESS(5+$C43,62+COLUMNS($A3:A3)))</f>
        <v>0</v>
      </c>
      <c r="AC65" s="8" cm="1">
        <f t="array" aca="1" ref="AC65" ca="1">INDIRECT(ADDRESS(5+$B43,62+COLUMNS($A3:B3)))+INDIRECT(ADDRESS(5+$C43,62+COLUMNS($A3:B3)))</f>
        <v>0</v>
      </c>
      <c r="AD65" s="8" cm="1">
        <f t="array" aca="1" ref="AD65" ca="1">INDIRECT(ADDRESS(5+$B43,62+COLUMNS($A3:C3)))+INDIRECT(ADDRESS(5+$C43,62+COLUMNS($A3:C3)))</f>
        <v>0</v>
      </c>
      <c r="AE65" s="8" cm="1">
        <f t="array" aca="1" ref="AE65" ca="1">INDIRECT(ADDRESS(5+$B43,62+COLUMNS($A3:D3)))+INDIRECT(ADDRESS(5+$C43,62+COLUMNS($A3:D3)))</f>
        <v>0</v>
      </c>
      <c r="AF65" s="8" cm="1">
        <f t="array" aca="1" ref="AF65" ca="1">INDIRECT(ADDRESS(5+$B43,62+COLUMNS($A3:E3)))+INDIRECT(ADDRESS(5+$C43,62+COLUMNS($A3:E3)))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 t="shared" si="23"/>
        <v>1</v>
      </c>
      <c r="D66" s="8" t="s">
        <v>21</v>
      </c>
      <c r="E66" s="8">
        <v>1</v>
      </c>
      <c r="F66" s="8"/>
      <c r="G66" s="8"/>
      <c r="H66" s="8" cm="1">
        <f t="array" ref="H66">SUM(AA9:AE9*BR9:BV9-R9*BK9:BO9)</f>
        <v>3</v>
      </c>
      <c r="I66" s="8" t="s">
        <v>25</v>
      </c>
      <c r="J66" s="8">
        <v>0</v>
      </c>
      <c r="K66" s="8"/>
      <c r="L66" s="8"/>
      <c r="M66" s="8" cm="1">
        <f t="array" ref="M66">SUM(AA9:AE9*BR9:BV9-U9*BK9:BO9)</f>
        <v>-5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-1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 t="shared" si="23"/>
        <v>1</v>
      </c>
      <c r="D67" s="8" t="s">
        <v>21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25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-2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 t="shared" si="23"/>
        <v>0</v>
      </c>
      <c r="D68" s="8" t="s">
        <v>21</v>
      </c>
      <c r="E68" s="8">
        <v>1</v>
      </c>
      <c r="F68" s="11"/>
      <c r="G68" s="8"/>
      <c r="H68" s="8" cm="1">
        <f t="array" ref="H68">SUM(AA11:AE11*BR11:BV11-R11*BK11:BO11)</f>
        <v>0</v>
      </c>
      <c r="I68" s="8" t="s">
        <v>25</v>
      </c>
      <c r="J68" s="8">
        <v>0</v>
      </c>
      <c r="K68" s="8"/>
      <c r="L68" s="8"/>
      <c r="M68" s="8" cm="1">
        <f t="array" ref="M68">SUM(AA11:AE11*BR11:BV11-U11*BK11:BO11)</f>
        <v>0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 t="shared" si="23"/>
        <v>0</v>
      </c>
      <c r="D69" s="8" t="s">
        <v>21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25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 t="shared" si="23"/>
        <v>1</v>
      </c>
      <c r="D70" s="8" t="s">
        <v>21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25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 t="shared" si="23"/>
        <v>1</v>
      </c>
      <c r="D71" s="8" t="s">
        <v>21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25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 t="shared" si="23"/>
        <v>1</v>
      </c>
      <c r="D72" s="8" t="s">
        <v>21</v>
      </c>
      <c r="E72" s="8">
        <v>1</v>
      </c>
      <c r="F72" s="11"/>
      <c r="G72" s="8"/>
      <c r="H72" s="8" cm="1">
        <f t="array" ref="H72">SUM(AA15:AE15*BR15:BV15-R15*BK15:BO15)</f>
        <v>8</v>
      </c>
      <c r="I72" s="8" t="s">
        <v>25</v>
      </c>
      <c r="J72" s="8">
        <v>0</v>
      </c>
      <c r="K72" s="8"/>
      <c r="L72" s="8"/>
      <c r="M72" s="8" cm="1">
        <f t="array" ref="M72">SUM(AA15:AE15*BR15:BV15-U15*BK15:BO15)</f>
        <v>-2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 t="shared" si="23"/>
        <v>1</v>
      </c>
      <c r="D73" s="8" t="s">
        <v>21</v>
      </c>
      <c r="E73" s="8">
        <v>1</v>
      </c>
      <c r="F73" s="11"/>
      <c r="G73" s="8"/>
      <c r="H73" s="8" cm="1">
        <f t="array" ref="H73">SUM(AA16:AE16*BR16:BV16-R16*BK16:BO16)</f>
        <v>3</v>
      </c>
      <c r="I73" s="8" t="s">
        <v>25</v>
      </c>
      <c r="J73" s="8">
        <v>0</v>
      </c>
      <c r="K73" s="8"/>
      <c r="L73" s="8"/>
      <c r="M73" s="8" cm="1">
        <f t="array" ref="M73">SUM(AA16:AE16*BR16:BV16-U16*BK16:BO16)</f>
        <v>-12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 t="shared" si="23"/>
        <v>1</v>
      </c>
      <c r="D74" s="8" t="s">
        <v>21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25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 t="shared" si="23"/>
        <v>0</v>
      </c>
      <c r="D75" s="8" t="s">
        <v>21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25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 t="shared" si="23"/>
        <v>1</v>
      </c>
      <c r="D76" s="8" t="s">
        <v>21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25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 t="shared" si="23"/>
        <v>1</v>
      </c>
      <c r="D77" s="8" t="s">
        <v>21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25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23"/>
        <v>0</v>
      </c>
      <c r="D78" s="8" t="s">
        <v>21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25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23"/>
        <v>0</v>
      </c>
      <c r="D79" s="8" t="s">
        <v>21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25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23"/>
        <v>0</v>
      </c>
      <c r="D80" s="8" t="s">
        <v>21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25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23"/>
        <v>0</v>
      </c>
      <c r="D81" s="8" t="s">
        <v>21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25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23"/>
        <v>0</v>
      </c>
      <c r="D82" s="8" t="s">
        <v>21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25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23"/>
        <v>1</v>
      </c>
      <c r="D83" s="8" t="s">
        <v>21</v>
      </c>
      <c r="E83" s="8">
        <v>1</v>
      </c>
      <c r="F83" s="8"/>
      <c r="G83" s="8"/>
      <c r="H83" s="8" cm="1">
        <f t="array" ref="H83">SUM(AA26:AE26*BR26:BV26-R26*BK26:BO26)</f>
        <v>7</v>
      </c>
      <c r="I83" s="8" t="s">
        <v>25</v>
      </c>
      <c r="J83" s="8">
        <v>0</v>
      </c>
      <c r="K83" s="8"/>
      <c r="L83" s="8"/>
      <c r="M83" s="8" cm="1">
        <f t="array" ref="M83">SUM(AA26:AE26*BR26:BV26-U26*BK26:BO26)</f>
        <v>-15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23"/>
        <v>1</v>
      </c>
      <c r="D84" s="8" t="s">
        <v>21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25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23"/>
        <v>1</v>
      </c>
      <c r="D85" s="8" t="s">
        <v>21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25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23"/>
        <v>1</v>
      </c>
      <c r="D86" s="8" t="s">
        <v>21</v>
      </c>
      <c r="E86" s="8">
        <v>1</v>
      </c>
      <c r="F86" s="8"/>
      <c r="G86" s="8"/>
      <c r="H86" s="8" cm="1">
        <f t="array" ref="H86">SUM(AA29:AE29*BR29:BV29-R29*BK29:BO29)</f>
        <v>4</v>
      </c>
      <c r="I86" s="8" t="s">
        <v>25</v>
      </c>
      <c r="J86" s="8">
        <v>0</v>
      </c>
      <c r="K86" s="8"/>
      <c r="L86" s="8"/>
      <c r="M86" s="8" cm="1">
        <f t="array" ref="M86">SUM(AA29:AE29*BR29:BV29-U29*BK29:BO29)</f>
        <v>-11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SUM(AI30:AM30,AP30:AT30,AW30:BA30,BD30:BH30)</f>
        <v>1</v>
      </c>
      <c r="D87" s="8" t="s">
        <v>21</v>
      </c>
      <c r="E87" s="8">
        <v>1</v>
      </c>
      <c r="F87" s="8"/>
      <c r="G87" s="8"/>
      <c r="H87" s="8" cm="1">
        <f t="array" ref="H87">SUM(AA30:AE30*BR30:BV30-R30*BK30:BO30)</f>
        <v>6</v>
      </c>
      <c r="I87" s="8" t="s">
        <v>25</v>
      </c>
      <c r="J87" s="8">
        <v>0</v>
      </c>
      <c r="K87" s="8"/>
      <c r="L87" s="8"/>
      <c r="M87" s="8" cm="1">
        <f t="array" ref="M87">SUM(AA30:AE30*BR30:BV30-U30*BK30:BO30)</f>
        <v>-6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399999999999999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105EF9-87DC-400D-AF3A-CEFE01235C70}">
  <ds:schemaRefs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79073fe-1e48-4a97-9229-baaa8603d156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Alp Eren Yılmaz</cp:lastModifiedBy>
  <dcterms:created xsi:type="dcterms:W3CDTF">2021-01-09T17:11:28Z</dcterms:created>
  <dcterms:modified xsi:type="dcterms:W3CDTF">2021-01-12T17:36:10Z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