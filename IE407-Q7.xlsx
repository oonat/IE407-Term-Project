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heng\Downloads\"/>
    </mc:Choice>
  </mc:AlternateContent>
  <xr:revisionPtr revIDLastSave="0" documentId="13_ncr:1_{4D45286B-FCDB-48EE-BB0B-DF7F4F42C341}" xr6:coauthVersionLast="46" xr6:coauthVersionMax="46" xr10:uidLastSave="{00000000-0000-0000-0000-000000000000}"/>
  <bookViews>
    <workbookView xWindow="-108" yWindow="-108" windowWidth="23256" windowHeight="12576" activeTab="1" xr2:uid="{29C75357-6D86-4F34-87D3-5ABA805A4EC9}"/>
  </bookViews>
  <sheets>
    <sheet name="Sayfa1 Sensitivity" sheetId="2" r:id="rId1"/>
    <sheet name="Sayfa1" sheetId="1" r:id="rId2"/>
  </sheets>
  <definedNames>
    <definedName name="OpenSolver_ChosenSolver" localSheetId="1" hidden="1">CBC</definedName>
    <definedName name="OpenSolver_DualsNewSheet" localSheetId="1" hidden="1">0</definedName>
    <definedName name="OpenSolver_LinearityCheck" localSheetId="1" hidden="1">1</definedName>
    <definedName name="OpenSolver_UpdateSensitivity" localSheetId="1" hidden="1">0</definedName>
    <definedName name="solver_adj" localSheetId="1" hidden="1">Sayfa1!$AI$6:$AM$30,Sayfa1!$AP$6:$AT$30,Sayfa1!$AW$6:$BA$30,Sayfa1!$BD$6:$BH$30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2147483647</definedName>
    <definedName name="solver_lhs1" localSheetId="1" hidden="1">Sayfa1!$C$63:$C$87</definedName>
    <definedName name="solver_lhs10" localSheetId="1" hidden="1">Sayfa1!$BD$6:$BH$30</definedName>
    <definedName name="solver_lhs11" localSheetId="1" hidden="1">Sayfa1!$W$72:$W$76</definedName>
    <definedName name="solver_lhs2" localSheetId="1" hidden="1">Sayfa1!$H$63:$H$87</definedName>
    <definedName name="solver_lhs3" localSheetId="1" hidden="1">Sayfa1!$M$63:$M$87</definedName>
    <definedName name="solver_lhs4" localSheetId="1" hidden="1">Sayfa1!$R$63:$R$67</definedName>
    <definedName name="solver_lhs5" localSheetId="1" hidden="1">Sayfa1!$W$63:$W$66</definedName>
    <definedName name="solver_lhs6" localSheetId="1" hidden="1">Sayfa1!$AB$63:$AF$65</definedName>
    <definedName name="solver_lhs7" localSheetId="1" hidden="1">Sayfa1!$AI$6:$AM$30</definedName>
    <definedName name="solver_lhs8" localSheetId="1" hidden="1">Sayfa1!$AP$6:$AT$30</definedName>
    <definedName name="solver_lhs9" localSheetId="1" hidden="1">Sayfa1!$AW$6:$BA$30</definedName>
    <definedName name="solver_neg" localSheetId="1" hidden="1">1</definedName>
    <definedName name="solver_num" localSheetId="1" hidden="1">11</definedName>
    <definedName name="solver_nwt" localSheetId="1" hidden="1">1</definedName>
    <definedName name="solver_opt" localSheetId="1" hidden="1">Sayfa1!$B$55</definedName>
    <definedName name="solver_rel1" localSheetId="1" hidden="1">1</definedName>
    <definedName name="solver_rel10" localSheetId="1" hidden="1">5</definedName>
    <definedName name="solver_rel11" localSheetId="1" hidden="1">2</definedName>
    <definedName name="solver_rel2" localSheetId="1" hidden="1">3</definedName>
    <definedName name="solver_rel3" localSheetId="1" hidden="1">1</definedName>
    <definedName name="solver_rel4" localSheetId="1" hidden="1">1</definedName>
    <definedName name="solver_rel5" localSheetId="1" hidden="1">2</definedName>
    <definedName name="solver_rel6" localSheetId="1" hidden="1">1</definedName>
    <definedName name="solver_rel7" localSheetId="1" hidden="1">5</definedName>
    <definedName name="solver_rel8" localSheetId="1" hidden="1">5</definedName>
    <definedName name="solver_rel9" localSheetId="1" hidden="1">5</definedName>
    <definedName name="solver_rhs1" localSheetId="1" hidden="1">Sayfa1!$E$63:$E$87</definedName>
    <definedName name="solver_rhs10" localSheetId="1" hidden="1">binary</definedName>
    <definedName name="solver_rhs11" localSheetId="1" hidden="1">Sayfa1!$Y$72:$Y$76</definedName>
    <definedName name="solver_rhs2" localSheetId="1" hidden="1">Sayfa1!$J$63:$J$87</definedName>
    <definedName name="solver_rhs3" localSheetId="1" hidden="1">Sayfa1!$O$63:$O$87</definedName>
    <definedName name="solver_rhs4" localSheetId="1" hidden="1">Sayfa1!$T$63:$T$67</definedName>
    <definedName name="solver_rhs5" localSheetId="1" hidden="1">Sayfa1!$Y$63:$Y$66</definedName>
    <definedName name="solver_rhs6" localSheetId="1" hidden="1">Sayfa1!$AH$63:$AL$65</definedName>
    <definedName name="solver_rhs7" localSheetId="1" hidden="1">binary</definedName>
    <definedName name="solver_rhs8" localSheetId="1" hidden="1">binary</definedName>
    <definedName name="solver_rhs9" localSheetId="1" hidden="1">binary</definedName>
    <definedName name="solver_rlx" localSheetId="1" hidden="1">2</definedName>
    <definedName name="solver_scl" localSheetId="1" hidden="1">2</definedName>
    <definedName name="solver_sho" localSheetId="1" hidden="1">0</definedName>
    <definedName name="solver_tim" localSheetId="1" hidden="1">2147483647</definedName>
    <definedName name="solver_tol" localSheetId="1" hidden="1">0.05</definedName>
    <definedName name="solver_typ" localSheetId="1" hidden="1">1</definedName>
    <definedName name="solver_val" localSheetId="1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7" i="1" l="1"/>
  <c r="BS7" i="1"/>
  <c r="BT7" i="1"/>
  <c r="BU7" i="1"/>
  <c r="BV7" i="1"/>
  <c r="BR8" i="1"/>
  <c r="BS8" i="1"/>
  <c r="BT8" i="1"/>
  <c r="BU8" i="1"/>
  <c r="BV8" i="1"/>
  <c r="BR9" i="1"/>
  <c r="BS9" i="1"/>
  <c r="BT9" i="1"/>
  <c r="BU9" i="1"/>
  <c r="BV9" i="1"/>
  <c r="BR10" i="1"/>
  <c r="BS10" i="1"/>
  <c r="BT10" i="1"/>
  <c r="BU10" i="1"/>
  <c r="BV10" i="1"/>
  <c r="BR11" i="1"/>
  <c r="BS11" i="1"/>
  <c r="BT11" i="1"/>
  <c r="BU11" i="1"/>
  <c r="BV11" i="1"/>
  <c r="BR12" i="1"/>
  <c r="BS12" i="1"/>
  <c r="BT12" i="1"/>
  <c r="BU12" i="1"/>
  <c r="BV12" i="1"/>
  <c r="BR13" i="1"/>
  <c r="BS13" i="1"/>
  <c r="BT13" i="1"/>
  <c r="BU13" i="1"/>
  <c r="BV13" i="1"/>
  <c r="BR14" i="1"/>
  <c r="BS14" i="1"/>
  <c r="BT14" i="1"/>
  <c r="BU14" i="1"/>
  <c r="BV14" i="1"/>
  <c r="BR15" i="1"/>
  <c r="BS15" i="1"/>
  <c r="BT15" i="1"/>
  <c r="BU15" i="1"/>
  <c r="BV15" i="1"/>
  <c r="BR16" i="1"/>
  <c r="BS16" i="1"/>
  <c r="BT16" i="1"/>
  <c r="BU16" i="1"/>
  <c r="BV16" i="1"/>
  <c r="BR17" i="1"/>
  <c r="BS17" i="1"/>
  <c r="BT17" i="1"/>
  <c r="BU17" i="1"/>
  <c r="BV17" i="1"/>
  <c r="BR18" i="1"/>
  <c r="BS18" i="1"/>
  <c r="BT18" i="1"/>
  <c r="BU18" i="1"/>
  <c r="BV18" i="1"/>
  <c r="BR19" i="1"/>
  <c r="BS19" i="1"/>
  <c r="BT19" i="1"/>
  <c r="BU19" i="1"/>
  <c r="BV19" i="1"/>
  <c r="BR20" i="1"/>
  <c r="BS20" i="1"/>
  <c r="BT20" i="1"/>
  <c r="BU20" i="1"/>
  <c r="BV20" i="1"/>
  <c r="BR21" i="1"/>
  <c r="BS21" i="1"/>
  <c r="BT21" i="1"/>
  <c r="BU21" i="1"/>
  <c r="BV21" i="1"/>
  <c r="BR22" i="1"/>
  <c r="BS22" i="1"/>
  <c r="BT22" i="1"/>
  <c r="BU22" i="1"/>
  <c r="BV22" i="1"/>
  <c r="BR23" i="1"/>
  <c r="BS23" i="1"/>
  <c r="BT23" i="1"/>
  <c r="BU23" i="1"/>
  <c r="BV23" i="1"/>
  <c r="BR24" i="1"/>
  <c r="BS24" i="1"/>
  <c r="BT24" i="1"/>
  <c r="BU24" i="1"/>
  <c r="BV24" i="1"/>
  <c r="BR25" i="1"/>
  <c r="BS25" i="1"/>
  <c r="BT25" i="1"/>
  <c r="BU25" i="1"/>
  <c r="BV25" i="1"/>
  <c r="BR26" i="1"/>
  <c r="BS26" i="1"/>
  <c r="BT26" i="1"/>
  <c r="BU26" i="1"/>
  <c r="BV26" i="1"/>
  <c r="BR27" i="1"/>
  <c r="BS27" i="1"/>
  <c r="BT27" i="1"/>
  <c r="BU27" i="1"/>
  <c r="BV27" i="1"/>
  <c r="BR28" i="1"/>
  <c r="BS28" i="1"/>
  <c r="BT28" i="1"/>
  <c r="BU28" i="1"/>
  <c r="BV28" i="1"/>
  <c r="BR29" i="1"/>
  <c r="BS29" i="1"/>
  <c r="BT29" i="1"/>
  <c r="BU29" i="1"/>
  <c r="BV29" i="1"/>
  <c r="BR30" i="1"/>
  <c r="BS30" i="1"/>
  <c r="BT30" i="1"/>
  <c r="BU30" i="1"/>
  <c r="BV30" i="1"/>
  <c r="BS6" i="1"/>
  <c r="BT6" i="1"/>
  <c r="BU6" i="1"/>
  <c r="BV6" i="1"/>
  <c r="BR6" i="1"/>
  <c r="BY7" i="1"/>
  <c r="BZ7" i="1"/>
  <c r="CA7" i="1"/>
  <c r="CB7" i="1"/>
  <c r="CC7" i="1"/>
  <c r="BY8" i="1"/>
  <c r="BZ8" i="1"/>
  <c r="CA8" i="1"/>
  <c r="CB8" i="1"/>
  <c r="CC8" i="1"/>
  <c r="BY9" i="1"/>
  <c r="BZ9" i="1"/>
  <c r="CA9" i="1"/>
  <c r="CB9" i="1"/>
  <c r="CC9" i="1"/>
  <c r="BY10" i="1"/>
  <c r="BZ10" i="1"/>
  <c r="CA10" i="1"/>
  <c r="CB10" i="1"/>
  <c r="CC10" i="1"/>
  <c r="BY11" i="1"/>
  <c r="BZ11" i="1"/>
  <c r="CA11" i="1"/>
  <c r="CB11" i="1"/>
  <c r="CC11" i="1"/>
  <c r="BY12" i="1"/>
  <c r="BZ12" i="1"/>
  <c r="CA12" i="1"/>
  <c r="CB12" i="1"/>
  <c r="CC12" i="1"/>
  <c r="BY13" i="1"/>
  <c r="BZ13" i="1"/>
  <c r="CA13" i="1"/>
  <c r="CB13" i="1"/>
  <c r="CC13" i="1"/>
  <c r="BY14" i="1"/>
  <c r="BZ14" i="1"/>
  <c r="CA14" i="1"/>
  <c r="CB14" i="1"/>
  <c r="CC14" i="1"/>
  <c r="BY15" i="1"/>
  <c r="BZ15" i="1"/>
  <c r="CA15" i="1"/>
  <c r="CB15" i="1"/>
  <c r="CC15" i="1"/>
  <c r="BY16" i="1"/>
  <c r="BZ16" i="1"/>
  <c r="CA16" i="1"/>
  <c r="CB16" i="1"/>
  <c r="CC16" i="1"/>
  <c r="BY17" i="1"/>
  <c r="BZ17" i="1"/>
  <c r="CA17" i="1"/>
  <c r="CB17" i="1"/>
  <c r="CC17" i="1"/>
  <c r="BY18" i="1"/>
  <c r="BZ18" i="1"/>
  <c r="CA18" i="1"/>
  <c r="CB18" i="1"/>
  <c r="CC18" i="1"/>
  <c r="BY19" i="1"/>
  <c r="BZ19" i="1"/>
  <c r="CA19" i="1"/>
  <c r="CB19" i="1"/>
  <c r="CC19" i="1"/>
  <c r="BY20" i="1"/>
  <c r="BZ20" i="1"/>
  <c r="CA20" i="1"/>
  <c r="CB20" i="1"/>
  <c r="CC20" i="1"/>
  <c r="BY21" i="1"/>
  <c r="BZ21" i="1"/>
  <c r="CA21" i="1"/>
  <c r="CB21" i="1"/>
  <c r="CC21" i="1"/>
  <c r="BY22" i="1"/>
  <c r="BZ22" i="1"/>
  <c r="CA22" i="1"/>
  <c r="CB22" i="1"/>
  <c r="CC22" i="1"/>
  <c r="BY23" i="1"/>
  <c r="BZ23" i="1"/>
  <c r="CA23" i="1"/>
  <c r="CB23" i="1"/>
  <c r="CC23" i="1"/>
  <c r="BY24" i="1"/>
  <c r="BZ24" i="1"/>
  <c r="CA24" i="1"/>
  <c r="CB24" i="1"/>
  <c r="CC24" i="1"/>
  <c r="BY25" i="1"/>
  <c r="BZ25" i="1"/>
  <c r="CA25" i="1"/>
  <c r="CB25" i="1"/>
  <c r="CC25" i="1"/>
  <c r="BY26" i="1"/>
  <c r="BZ26" i="1"/>
  <c r="CA26" i="1"/>
  <c r="CB26" i="1"/>
  <c r="CC26" i="1"/>
  <c r="BY27" i="1"/>
  <c r="BZ27" i="1"/>
  <c r="CA27" i="1"/>
  <c r="CB27" i="1"/>
  <c r="CC27" i="1"/>
  <c r="BY28" i="1"/>
  <c r="BZ28" i="1"/>
  <c r="CA28" i="1"/>
  <c r="CB28" i="1"/>
  <c r="CC28" i="1"/>
  <c r="BY29" i="1"/>
  <c r="BZ29" i="1"/>
  <c r="CA29" i="1"/>
  <c r="CB29" i="1"/>
  <c r="CC29" i="1"/>
  <c r="BY30" i="1"/>
  <c r="BZ30" i="1"/>
  <c r="CA30" i="1"/>
  <c r="CB30" i="1"/>
  <c r="CC30" i="1"/>
  <c r="BZ6" i="1"/>
  <c r="CA6" i="1"/>
  <c r="CB6" i="1"/>
  <c r="CC6" i="1"/>
  <c r="BY6" i="1"/>
  <c r="BK6" i="1"/>
  <c r="C63" i="1"/>
  <c r="BR35" i="1"/>
  <c r="BK35" i="1"/>
  <c r="BK7" i="1"/>
  <c r="BL7" i="1"/>
  <c r="BM7" i="1"/>
  <c r="BN7" i="1"/>
  <c r="BO7" i="1"/>
  <c r="BK8" i="1"/>
  <c r="BL8" i="1"/>
  <c r="BM8" i="1"/>
  <c r="BN8" i="1"/>
  <c r="BO8" i="1"/>
  <c r="BK9" i="1"/>
  <c r="BL9" i="1"/>
  <c r="BM9" i="1"/>
  <c r="BN9" i="1"/>
  <c r="BO9" i="1"/>
  <c r="BK10" i="1"/>
  <c r="BL10" i="1"/>
  <c r="BM10" i="1"/>
  <c r="BN10" i="1"/>
  <c r="BO10" i="1"/>
  <c r="BK11" i="1"/>
  <c r="BL11" i="1"/>
  <c r="BM11" i="1"/>
  <c r="BN11" i="1"/>
  <c r="BO11" i="1"/>
  <c r="BK12" i="1"/>
  <c r="BL12" i="1"/>
  <c r="BM12" i="1"/>
  <c r="BN12" i="1"/>
  <c r="BO12" i="1"/>
  <c r="BK13" i="1"/>
  <c r="BL13" i="1"/>
  <c r="BM13" i="1"/>
  <c r="BN13" i="1"/>
  <c r="BO13" i="1"/>
  <c r="BK14" i="1"/>
  <c r="BL14" i="1"/>
  <c r="BM14" i="1"/>
  <c r="BN14" i="1"/>
  <c r="BO14" i="1"/>
  <c r="BK15" i="1"/>
  <c r="BL15" i="1"/>
  <c r="BM15" i="1"/>
  <c r="BN15" i="1"/>
  <c r="BO15" i="1"/>
  <c r="BK16" i="1"/>
  <c r="BL16" i="1"/>
  <c r="BM16" i="1"/>
  <c r="BN16" i="1"/>
  <c r="BO16" i="1"/>
  <c r="BK17" i="1"/>
  <c r="BL17" i="1"/>
  <c r="BM17" i="1"/>
  <c r="BN17" i="1"/>
  <c r="BO17" i="1"/>
  <c r="BK18" i="1"/>
  <c r="BL18" i="1"/>
  <c r="BM18" i="1"/>
  <c r="BN18" i="1"/>
  <c r="BO18" i="1"/>
  <c r="BK19" i="1"/>
  <c r="BL19" i="1"/>
  <c r="BM19" i="1"/>
  <c r="BN19" i="1"/>
  <c r="BO19" i="1"/>
  <c r="BK20" i="1"/>
  <c r="BL20" i="1"/>
  <c r="BM20" i="1"/>
  <c r="BN20" i="1"/>
  <c r="BO20" i="1"/>
  <c r="BK21" i="1"/>
  <c r="BL21" i="1"/>
  <c r="BM21" i="1"/>
  <c r="BN21" i="1"/>
  <c r="BO21" i="1"/>
  <c r="BK22" i="1"/>
  <c r="BL22" i="1"/>
  <c r="BM22" i="1"/>
  <c r="BN22" i="1"/>
  <c r="BO22" i="1"/>
  <c r="BK23" i="1"/>
  <c r="BL23" i="1"/>
  <c r="BM23" i="1"/>
  <c r="BN23" i="1"/>
  <c r="BO23" i="1"/>
  <c r="BK24" i="1"/>
  <c r="BL24" i="1"/>
  <c r="BM24" i="1"/>
  <c r="BN24" i="1"/>
  <c r="BO24" i="1"/>
  <c r="BK25" i="1"/>
  <c r="BL25" i="1"/>
  <c r="BM25" i="1"/>
  <c r="BN25" i="1"/>
  <c r="BO25" i="1"/>
  <c r="BK26" i="1"/>
  <c r="BL26" i="1"/>
  <c r="BM26" i="1"/>
  <c r="BN26" i="1"/>
  <c r="BO26" i="1"/>
  <c r="BK27" i="1"/>
  <c r="BL27" i="1"/>
  <c r="BM27" i="1"/>
  <c r="BN27" i="1"/>
  <c r="BO27" i="1"/>
  <c r="BK28" i="1"/>
  <c r="BL28" i="1"/>
  <c r="BM28" i="1"/>
  <c r="BN28" i="1"/>
  <c r="BO28" i="1"/>
  <c r="BK29" i="1"/>
  <c r="BL29" i="1"/>
  <c r="BM29" i="1"/>
  <c r="BN29" i="1"/>
  <c r="BO29" i="1"/>
  <c r="BK30" i="1"/>
  <c r="BL30" i="1"/>
  <c r="BM30" i="1"/>
  <c r="BN30" i="1"/>
  <c r="BO30" i="1"/>
  <c r="BL6" i="1"/>
  <c r="BM6" i="1"/>
  <c r="BN6" i="1"/>
  <c r="BO6" i="1"/>
  <c r="C87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BD35" i="1"/>
  <c r="AW35" i="1"/>
  <c r="W76" i="1" a="1"/>
  <c r="W75" i="1" a="1"/>
  <c r="W74" i="1" a="1"/>
  <c r="W73" i="1" a="1"/>
  <c r="W72" i="1" a="1"/>
  <c r="AF65" i="1" a="1"/>
  <c r="R65" i="1" a="1"/>
  <c r="AB65" i="1" a="1"/>
  <c r="W66" i="1"/>
  <c r="R66" i="1" a="1"/>
  <c r="AC65" i="1" a="1"/>
  <c r="R64" i="1" a="1"/>
  <c r="R63" i="1" a="1"/>
  <c r="W64" i="1"/>
  <c r="AE65" i="1" a="1"/>
  <c r="R67" i="1" a="1"/>
  <c r="AC63" i="1" a="1"/>
  <c r="AB63" i="1" a="1"/>
  <c r="AD65" i="1" a="1"/>
  <c r="W63" i="1"/>
  <c r="AD63" i="1" a="1"/>
  <c r="W65" i="1"/>
  <c r="AF63" i="1" a="1"/>
  <c r="AE63" i="1" a="1"/>
  <c r="W76" i="1" l="1"/>
  <c r="W75" i="1"/>
  <c r="W74" i="1"/>
  <c r="W73" i="1"/>
  <c r="W72" i="1"/>
  <c r="AB63" i="1"/>
  <c r="B55" i="1" a="1"/>
  <c r="B55" i="1" s="1"/>
  <c r="M82" i="1" a="1"/>
  <c r="M82" i="1" s="1"/>
  <c r="H77" i="1" a="1"/>
  <c r="H77" i="1" s="1"/>
  <c r="H76" i="1" a="1"/>
  <c r="H76" i="1" s="1"/>
  <c r="H68" i="1" a="1"/>
  <c r="H68" i="1" s="1"/>
  <c r="M63" i="1" a="1"/>
  <c r="M63" i="1" s="1"/>
  <c r="H74" i="1" a="1"/>
  <c r="H74" i="1" s="1"/>
  <c r="M66" i="1" a="1"/>
  <c r="M66" i="1" s="1"/>
  <c r="H86" i="1" a="1"/>
  <c r="H86" i="1" s="1"/>
  <c r="H78" i="1" a="1"/>
  <c r="H78" i="1" s="1"/>
  <c r="M73" i="1" a="1"/>
  <c r="M73" i="1" s="1"/>
  <c r="M70" i="1" a="1"/>
  <c r="M70" i="1" s="1"/>
  <c r="H82" i="1" a="1"/>
  <c r="H82" i="1" s="1"/>
  <c r="H81" i="1" a="1"/>
  <c r="H81" i="1" s="1"/>
  <c r="H73" i="1" a="1"/>
  <c r="H73" i="1" s="1"/>
  <c r="H65" i="1" a="1"/>
  <c r="H65" i="1" s="1"/>
  <c r="M72" i="1" a="1"/>
  <c r="M72" i="1" s="1"/>
  <c r="H84" i="1" a="1"/>
  <c r="H84" i="1" s="1"/>
  <c r="M76" i="1" a="1"/>
  <c r="M76" i="1" s="1"/>
  <c r="H63" i="1" a="1"/>
  <c r="H63" i="1" s="1"/>
  <c r="H79" i="1" a="1"/>
  <c r="H79" i="1" s="1"/>
  <c r="H71" i="1" a="1"/>
  <c r="H71" i="1" s="1"/>
  <c r="M86" i="1" a="1"/>
  <c r="M86" i="1" s="1"/>
  <c r="M87" i="1" a="1"/>
  <c r="M87" i="1" s="1"/>
  <c r="M74" i="1" a="1"/>
  <c r="M74" i="1" s="1"/>
  <c r="H66" i="1" a="1"/>
  <c r="H66" i="1" s="1"/>
  <c r="H85" i="1" a="1"/>
  <c r="H85" i="1" s="1"/>
  <c r="M77" i="1" a="1"/>
  <c r="M77" i="1" s="1"/>
  <c r="M69" i="1" a="1"/>
  <c r="M69" i="1" s="1"/>
  <c r="H80" i="1" a="1"/>
  <c r="H80" i="1" s="1"/>
  <c r="M75" i="1" a="1"/>
  <c r="M75" i="1" s="1"/>
  <c r="H72" i="1" a="1"/>
  <c r="H72" i="1" s="1"/>
  <c r="H70" i="1" a="1"/>
  <c r="H70" i="1" s="1"/>
  <c r="M67" i="1" a="1"/>
  <c r="M67" i="1" s="1"/>
  <c r="H64" i="1" a="1"/>
  <c r="H64" i="1" s="1"/>
  <c r="M83" i="1" a="1"/>
  <c r="M83" i="1" s="1"/>
  <c r="H67" i="1" a="1"/>
  <c r="H67" i="1" s="1"/>
  <c r="M68" i="1" a="1"/>
  <c r="M68" i="1" s="1"/>
  <c r="H83" i="1" a="1"/>
  <c r="H83" i="1" s="1"/>
  <c r="H69" i="1" a="1"/>
  <c r="H69" i="1" s="1"/>
  <c r="M81" i="1" a="1"/>
  <c r="M81" i="1" s="1"/>
  <c r="H75" i="1" a="1"/>
  <c r="H75" i="1" s="1"/>
  <c r="M80" i="1" a="1"/>
  <c r="M80" i="1" s="1"/>
  <c r="M85" i="1" a="1"/>
  <c r="M85" i="1" s="1"/>
  <c r="M79" i="1" a="1"/>
  <c r="M79" i="1" s="1"/>
  <c r="M65" i="1" a="1"/>
  <c r="M65" i="1" s="1"/>
  <c r="M84" i="1" a="1"/>
  <c r="M84" i="1" s="1"/>
  <c r="M71" i="1" a="1"/>
  <c r="M71" i="1" s="1"/>
  <c r="M64" i="1" a="1"/>
  <c r="M64" i="1" s="1"/>
  <c r="M78" i="1" a="1"/>
  <c r="M78" i="1" s="1"/>
  <c r="H87" i="1" a="1"/>
  <c r="H87" i="1" s="1"/>
  <c r="AC65" i="1"/>
  <c r="AF65" i="1"/>
  <c r="AB65" i="1"/>
  <c r="AD65" i="1"/>
  <c r="AE65" i="1"/>
  <c r="AF63" i="1"/>
  <c r="AE63" i="1"/>
  <c r="AD63" i="1"/>
  <c r="AC63" i="1"/>
  <c r="R65" i="1"/>
  <c r="R67" i="1"/>
  <c r="R66" i="1"/>
  <c r="R64" i="1"/>
  <c r="R63" i="1"/>
  <c r="AA35" i="1"/>
  <c r="AI35" i="1"/>
  <c r="AP35" i="1"/>
  <c r="AD30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A11" i="1"/>
  <c r="AB11" i="1"/>
  <c r="AC11" i="1"/>
  <c r="AD11" i="1"/>
  <c r="AE11" i="1"/>
  <c r="AA12" i="1"/>
  <c r="AB12" i="1"/>
  <c r="AC12" i="1"/>
  <c r="AD12" i="1"/>
  <c r="AE12" i="1"/>
  <c r="AA13" i="1"/>
  <c r="AB13" i="1"/>
  <c r="AC13" i="1"/>
  <c r="AD13" i="1"/>
  <c r="AE13" i="1"/>
  <c r="AA14" i="1"/>
  <c r="AB14" i="1"/>
  <c r="AC14" i="1"/>
  <c r="AD14" i="1"/>
  <c r="AE14" i="1"/>
  <c r="AA15" i="1"/>
  <c r="AB15" i="1"/>
  <c r="AC15" i="1"/>
  <c r="AD15" i="1"/>
  <c r="AE15" i="1"/>
  <c r="AA16" i="1"/>
  <c r="AB16" i="1"/>
  <c r="AC16" i="1"/>
  <c r="AD16" i="1"/>
  <c r="AE16" i="1"/>
  <c r="AA17" i="1"/>
  <c r="AB17" i="1"/>
  <c r="AC17" i="1"/>
  <c r="AD17" i="1"/>
  <c r="AE17" i="1"/>
  <c r="AA18" i="1"/>
  <c r="AB18" i="1"/>
  <c r="AC18" i="1"/>
  <c r="AD18" i="1"/>
  <c r="AE18" i="1"/>
  <c r="AA19" i="1"/>
  <c r="AB19" i="1"/>
  <c r="AC19" i="1"/>
  <c r="AD19" i="1"/>
  <c r="AE19" i="1"/>
  <c r="AA20" i="1"/>
  <c r="AB20" i="1"/>
  <c r="AC20" i="1"/>
  <c r="AD20" i="1"/>
  <c r="AE20" i="1"/>
  <c r="AA21" i="1"/>
  <c r="AB21" i="1"/>
  <c r="AC21" i="1"/>
  <c r="AD21" i="1"/>
  <c r="AE21" i="1"/>
  <c r="AA22" i="1"/>
  <c r="AB22" i="1"/>
  <c r="AC22" i="1"/>
  <c r="AD22" i="1"/>
  <c r="AE22" i="1"/>
  <c r="AA23" i="1"/>
  <c r="AB23" i="1"/>
  <c r="AC23" i="1"/>
  <c r="AD23" i="1"/>
  <c r="AE23" i="1"/>
  <c r="AA24" i="1"/>
  <c r="AB24" i="1"/>
  <c r="AC24" i="1"/>
  <c r="AD24" i="1"/>
  <c r="AE24" i="1"/>
  <c r="AA25" i="1"/>
  <c r="AB25" i="1"/>
  <c r="AC25" i="1"/>
  <c r="AD25" i="1"/>
  <c r="AE25" i="1"/>
  <c r="AA26" i="1"/>
  <c r="AB26" i="1"/>
  <c r="AC26" i="1"/>
  <c r="AD26" i="1"/>
  <c r="AE26" i="1"/>
  <c r="AA27" i="1"/>
  <c r="AB27" i="1"/>
  <c r="AC27" i="1"/>
  <c r="AD27" i="1"/>
  <c r="AE27" i="1"/>
  <c r="AA28" i="1"/>
  <c r="AB28" i="1"/>
  <c r="AC28" i="1"/>
  <c r="AD28" i="1"/>
  <c r="AE28" i="1"/>
  <c r="AA29" i="1"/>
  <c r="AB29" i="1"/>
  <c r="AC29" i="1"/>
  <c r="AD29" i="1"/>
  <c r="AE29" i="1"/>
  <c r="AA30" i="1"/>
  <c r="AB30" i="1"/>
  <c r="AC30" i="1"/>
  <c r="AE30" i="1"/>
  <c r="AE6" i="1"/>
  <c r="AD6" i="1"/>
  <c r="AC6" i="1"/>
  <c r="AB6" i="1"/>
  <c r="AA6" i="1"/>
  <c r="AH52" i="1"/>
  <c r="AH51" i="1"/>
  <c r="AH53" i="1"/>
  <c r="AH50" i="1"/>
  <c r="AH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<sst xmlns="http://schemas.openxmlformats.org/spreadsheetml/2006/main" count="1868" uniqueCount="1167">
  <si>
    <t>INDICES</t>
  </si>
  <si>
    <t>k = shelf index</t>
  </si>
  <si>
    <t>i  =  product index</t>
  </si>
  <si>
    <t>DECISION VARIABLES</t>
  </si>
  <si>
    <t>PARAMETERS</t>
  </si>
  <si>
    <t>OBJECTIVE FUNCTION</t>
  </si>
  <si>
    <t>CONSTRAINS</t>
  </si>
  <si>
    <t>i\k</t>
  </si>
  <si>
    <t>Number: N(i,k)=Number of product i in shelf k per allocation</t>
  </si>
  <si>
    <t>pi(i) : profit made by selling one unit of product i</t>
  </si>
  <si>
    <t>bi : width of a facing for product i</t>
  </si>
  <si>
    <t>dp(i) : depth of product i</t>
  </si>
  <si>
    <t>d(i) : coefficient for demand rate for product i per unit width and one facing</t>
  </si>
  <si>
    <t>B(i) : space elasticity factor for product i</t>
  </si>
  <si>
    <t>sl(i): lower bound on the shelf inv</t>
  </si>
  <si>
    <t>su(i): upper bound on the shelf inv</t>
  </si>
  <si>
    <t>w(k) : width of shelf k</t>
  </si>
  <si>
    <t>ds(k): Depth of shelf k</t>
  </si>
  <si>
    <t>y(k) : Shelf k’s effect on demand</t>
  </si>
  <si>
    <t>I1 : set of product pairs (i1; i2) that cannot be placed on the same shelf.</t>
  </si>
  <si>
    <t>I2: set of product pairs (i1; i2) that will be included together in the assortment.</t>
  </si>
  <si>
    <t>&lt;=</t>
  </si>
  <si>
    <t>1-RULE 1</t>
  </si>
  <si>
    <t>helpful formula delete later</t>
  </si>
  <si>
    <t>3-RULE(3,4) (2)</t>
  </si>
  <si>
    <t>&gt;=</t>
  </si>
  <si>
    <t>=</t>
  </si>
  <si>
    <t>Column</t>
  </si>
  <si>
    <t>x(i,j,k)= Is there going to be j facings of product i at shelf k.</t>
  </si>
  <si>
    <t>x(i,1,k)</t>
  </si>
  <si>
    <t>x(i,4,k)</t>
  </si>
  <si>
    <t>x(i,3,k)</t>
  </si>
  <si>
    <t>x(i,2,k)</t>
  </si>
  <si>
    <t>j=</t>
  </si>
  <si>
    <t>2-RULE(3,4) (1)</t>
  </si>
  <si>
    <t>Decision Helper Data</t>
  </si>
  <si>
    <t>Z(i,k)=j from 1 to 4 sum of X(i,j,k)</t>
  </si>
  <si>
    <t>4-RULE 6</t>
  </si>
  <si>
    <t>5-RULE 7</t>
  </si>
  <si>
    <t>6-RULE 8</t>
  </si>
  <si>
    <t>OpenSolver Sensitivity Report - CBC</t>
  </si>
  <si>
    <t>Worksheet: [IE407-Q2-v2.xlsx] Sayfa1 Sensitivity</t>
  </si>
  <si>
    <t>Decision Variables</t>
  </si>
  <si>
    <t>Cells</t>
  </si>
  <si>
    <t>Name</t>
  </si>
  <si>
    <t>Final Value</t>
  </si>
  <si>
    <t>Reduced Costs</t>
  </si>
  <si>
    <t>Objective Value</t>
  </si>
  <si>
    <t>Allowable Increase</t>
  </si>
  <si>
    <t>Allowable Decrease</t>
  </si>
  <si>
    <t>AI6</t>
  </si>
  <si>
    <t>AJ6</t>
  </si>
  <si>
    <t>AK6</t>
  </si>
  <si>
    <t>AL6</t>
  </si>
  <si>
    <t>AM6</t>
  </si>
  <si>
    <t>AI7</t>
  </si>
  <si>
    <t>AJ7</t>
  </si>
  <si>
    <t>AK7</t>
  </si>
  <si>
    <t>AL7</t>
  </si>
  <si>
    <t>AM7</t>
  </si>
  <si>
    <t>AI8</t>
  </si>
  <si>
    <t>AJ8</t>
  </si>
  <si>
    <t>AK8</t>
  </si>
  <si>
    <t>AL8</t>
  </si>
  <si>
    <t>AM8</t>
  </si>
  <si>
    <t>AI9</t>
  </si>
  <si>
    <t>AJ9</t>
  </si>
  <si>
    <t>AK9</t>
  </si>
  <si>
    <t>AL9</t>
  </si>
  <si>
    <t>AM9</t>
  </si>
  <si>
    <t>AI10</t>
  </si>
  <si>
    <t>AJ10</t>
  </si>
  <si>
    <t>AK10</t>
  </si>
  <si>
    <t>AL10</t>
  </si>
  <si>
    <t>AM10</t>
  </si>
  <si>
    <t>AI11</t>
  </si>
  <si>
    <t>AJ11</t>
  </si>
  <si>
    <t>AK11</t>
  </si>
  <si>
    <t>AL11</t>
  </si>
  <si>
    <t>AM11</t>
  </si>
  <si>
    <t>AI12</t>
  </si>
  <si>
    <t>AJ12</t>
  </si>
  <si>
    <t>AK12</t>
  </si>
  <si>
    <t>AL12</t>
  </si>
  <si>
    <t>AM12</t>
  </si>
  <si>
    <t>AI13</t>
  </si>
  <si>
    <t>AJ13</t>
  </si>
  <si>
    <t>AK13</t>
  </si>
  <si>
    <t>AL13</t>
  </si>
  <si>
    <t>AM13</t>
  </si>
  <si>
    <t>AI14</t>
  </si>
  <si>
    <t>AJ14</t>
  </si>
  <si>
    <t>AK14</t>
  </si>
  <si>
    <t>AL14</t>
  </si>
  <si>
    <t>AM14</t>
  </si>
  <si>
    <t>AI15</t>
  </si>
  <si>
    <t>AJ15</t>
  </si>
  <si>
    <t>AK15</t>
  </si>
  <si>
    <t>AL15</t>
  </si>
  <si>
    <t>AM15</t>
  </si>
  <si>
    <t>AI16</t>
  </si>
  <si>
    <t>AJ16</t>
  </si>
  <si>
    <t>AK16</t>
  </si>
  <si>
    <t>AL16</t>
  </si>
  <si>
    <t>AM16</t>
  </si>
  <si>
    <t>AI17</t>
  </si>
  <si>
    <t>AJ17</t>
  </si>
  <si>
    <t>AK17</t>
  </si>
  <si>
    <t>AL17</t>
  </si>
  <si>
    <t>AM17</t>
  </si>
  <si>
    <t>AI18</t>
  </si>
  <si>
    <t>AJ18</t>
  </si>
  <si>
    <t>AK18</t>
  </si>
  <si>
    <t>AL18</t>
  </si>
  <si>
    <t>AM18</t>
  </si>
  <si>
    <t>AI19</t>
  </si>
  <si>
    <t>AJ19</t>
  </si>
  <si>
    <t>AK19</t>
  </si>
  <si>
    <t>AL19</t>
  </si>
  <si>
    <t>AM19</t>
  </si>
  <si>
    <t>AI20</t>
  </si>
  <si>
    <t>AJ20</t>
  </si>
  <si>
    <t>AK20</t>
  </si>
  <si>
    <t>AL20</t>
  </si>
  <si>
    <t>AM20</t>
  </si>
  <si>
    <t>AI21</t>
  </si>
  <si>
    <t>AJ21</t>
  </si>
  <si>
    <t>AK21</t>
  </si>
  <si>
    <t>AL21</t>
  </si>
  <si>
    <t>AM21</t>
  </si>
  <si>
    <t>AI22</t>
  </si>
  <si>
    <t>AJ22</t>
  </si>
  <si>
    <t>AK22</t>
  </si>
  <si>
    <t>AL22</t>
  </si>
  <si>
    <t>AM22</t>
  </si>
  <si>
    <t>AI23</t>
  </si>
  <si>
    <t>AJ23</t>
  </si>
  <si>
    <t>AK23</t>
  </si>
  <si>
    <t>AL23</t>
  </si>
  <si>
    <t>AM23</t>
  </si>
  <si>
    <t>AI24</t>
  </si>
  <si>
    <t>AJ24</t>
  </si>
  <si>
    <t>AK24</t>
  </si>
  <si>
    <t>AL24</t>
  </si>
  <si>
    <t>AM24</t>
  </si>
  <si>
    <t>AI25</t>
  </si>
  <si>
    <t>AJ25</t>
  </si>
  <si>
    <t>AK25</t>
  </si>
  <si>
    <t>AL25</t>
  </si>
  <si>
    <t>AM25</t>
  </si>
  <si>
    <t>AI26</t>
  </si>
  <si>
    <t>AJ26</t>
  </si>
  <si>
    <t>AK26</t>
  </si>
  <si>
    <t>AL26</t>
  </si>
  <si>
    <t>AM26</t>
  </si>
  <si>
    <t>AI27</t>
  </si>
  <si>
    <t>AJ27</t>
  </si>
  <si>
    <t>AK27</t>
  </si>
  <si>
    <t>AL27</t>
  </si>
  <si>
    <t>AM27</t>
  </si>
  <si>
    <t>AI28</t>
  </si>
  <si>
    <t>AJ28</t>
  </si>
  <si>
    <t>AK28</t>
  </si>
  <si>
    <t>AL28</t>
  </si>
  <si>
    <t>AM28</t>
  </si>
  <si>
    <t>AI29</t>
  </si>
  <si>
    <t>AJ29</t>
  </si>
  <si>
    <t>AK29</t>
  </si>
  <si>
    <t>AL29</t>
  </si>
  <si>
    <t>AM29</t>
  </si>
  <si>
    <t>AI30</t>
  </si>
  <si>
    <t>AJ30</t>
  </si>
  <si>
    <t>AK30</t>
  </si>
  <si>
    <t>AL30</t>
  </si>
  <si>
    <t>AM30</t>
  </si>
  <si>
    <t>AP6</t>
  </si>
  <si>
    <t>AQ6</t>
  </si>
  <si>
    <t>AR6</t>
  </si>
  <si>
    <t>AS6</t>
  </si>
  <si>
    <t>AT6</t>
  </si>
  <si>
    <t>AP7</t>
  </si>
  <si>
    <t>AQ7</t>
  </si>
  <si>
    <t>AR7</t>
  </si>
  <si>
    <t>AS7</t>
  </si>
  <si>
    <t>AT7</t>
  </si>
  <si>
    <t>AP8</t>
  </si>
  <si>
    <t>AQ8</t>
  </si>
  <si>
    <t>AR8</t>
  </si>
  <si>
    <t>AS8</t>
  </si>
  <si>
    <t>AT8</t>
  </si>
  <si>
    <t>AP9</t>
  </si>
  <si>
    <t>AQ9</t>
  </si>
  <si>
    <t>AR9</t>
  </si>
  <si>
    <t>AS9</t>
  </si>
  <si>
    <t>AT9</t>
  </si>
  <si>
    <t>AP10</t>
  </si>
  <si>
    <t>AQ10</t>
  </si>
  <si>
    <t>AR10</t>
  </si>
  <si>
    <t>AS10</t>
  </si>
  <si>
    <t>AT10</t>
  </si>
  <si>
    <t>AP11</t>
  </si>
  <si>
    <t>AQ11</t>
  </si>
  <si>
    <t>AR11</t>
  </si>
  <si>
    <t>AS11</t>
  </si>
  <si>
    <t>AT11</t>
  </si>
  <si>
    <t>AP12</t>
  </si>
  <si>
    <t>AQ12</t>
  </si>
  <si>
    <t>AR12</t>
  </si>
  <si>
    <t>AS12</t>
  </si>
  <si>
    <t>AT12</t>
  </si>
  <si>
    <t>AP13</t>
  </si>
  <si>
    <t>AQ13</t>
  </si>
  <si>
    <t>AR13</t>
  </si>
  <si>
    <t>AS13</t>
  </si>
  <si>
    <t>AT13</t>
  </si>
  <si>
    <t>AP14</t>
  </si>
  <si>
    <t>AQ14</t>
  </si>
  <si>
    <t>AR14</t>
  </si>
  <si>
    <t>AS14</t>
  </si>
  <si>
    <t>AT14</t>
  </si>
  <si>
    <t>AP15</t>
  </si>
  <si>
    <t>AQ15</t>
  </si>
  <si>
    <t>AR15</t>
  </si>
  <si>
    <t>AS15</t>
  </si>
  <si>
    <t>AT15</t>
  </si>
  <si>
    <t>AP16</t>
  </si>
  <si>
    <t>AQ16</t>
  </si>
  <si>
    <t>AR16</t>
  </si>
  <si>
    <t>AS16</t>
  </si>
  <si>
    <t>AT16</t>
  </si>
  <si>
    <t>AP17</t>
  </si>
  <si>
    <t>AQ17</t>
  </si>
  <si>
    <t>AR17</t>
  </si>
  <si>
    <t>AS17</t>
  </si>
  <si>
    <t>AT17</t>
  </si>
  <si>
    <t>AP18</t>
  </si>
  <si>
    <t>AQ18</t>
  </si>
  <si>
    <t>AR18</t>
  </si>
  <si>
    <t>AS18</t>
  </si>
  <si>
    <t>AT18</t>
  </si>
  <si>
    <t>AP19</t>
  </si>
  <si>
    <t>AQ19</t>
  </si>
  <si>
    <t>AR19</t>
  </si>
  <si>
    <t>AS19</t>
  </si>
  <si>
    <t>AT19</t>
  </si>
  <si>
    <t>AP20</t>
  </si>
  <si>
    <t>AQ20</t>
  </si>
  <si>
    <t>AR20</t>
  </si>
  <si>
    <t>AS20</t>
  </si>
  <si>
    <t>AT20</t>
  </si>
  <si>
    <t>AP21</t>
  </si>
  <si>
    <t>AQ21</t>
  </si>
  <si>
    <t>AR21</t>
  </si>
  <si>
    <t>AS21</t>
  </si>
  <si>
    <t>AT21</t>
  </si>
  <si>
    <t>AP22</t>
  </si>
  <si>
    <t>AQ22</t>
  </si>
  <si>
    <t>AR22</t>
  </si>
  <si>
    <t>AS22</t>
  </si>
  <si>
    <t>AT22</t>
  </si>
  <si>
    <t>AP23</t>
  </si>
  <si>
    <t>AQ23</t>
  </si>
  <si>
    <t>AR23</t>
  </si>
  <si>
    <t>AS23</t>
  </si>
  <si>
    <t>AT23</t>
  </si>
  <si>
    <t>AP24</t>
  </si>
  <si>
    <t>AQ24</t>
  </si>
  <si>
    <t>AR24</t>
  </si>
  <si>
    <t>AS24</t>
  </si>
  <si>
    <t>AT24</t>
  </si>
  <si>
    <t>AP25</t>
  </si>
  <si>
    <t>AQ25</t>
  </si>
  <si>
    <t>AR25</t>
  </si>
  <si>
    <t>AS25</t>
  </si>
  <si>
    <t>AT25</t>
  </si>
  <si>
    <t>AP26</t>
  </si>
  <si>
    <t>AQ26</t>
  </si>
  <si>
    <t>AR26</t>
  </si>
  <si>
    <t>AS26</t>
  </si>
  <si>
    <t>AT26</t>
  </si>
  <si>
    <t>AP27</t>
  </si>
  <si>
    <t>AQ27</t>
  </si>
  <si>
    <t>AR27</t>
  </si>
  <si>
    <t>AS27</t>
  </si>
  <si>
    <t>AT27</t>
  </si>
  <si>
    <t>AP28</t>
  </si>
  <si>
    <t>AQ28</t>
  </si>
  <si>
    <t>AR28</t>
  </si>
  <si>
    <t>AS28</t>
  </si>
  <si>
    <t>AT28</t>
  </si>
  <si>
    <t>AP29</t>
  </si>
  <si>
    <t>AQ29</t>
  </si>
  <si>
    <t>AR29</t>
  </si>
  <si>
    <t>AS29</t>
  </si>
  <si>
    <t>AT29</t>
  </si>
  <si>
    <t>AP30</t>
  </si>
  <si>
    <t>AQ30</t>
  </si>
  <si>
    <t>AR30</t>
  </si>
  <si>
    <t>AS30</t>
  </si>
  <si>
    <t>AT30</t>
  </si>
  <si>
    <t>AW6</t>
  </si>
  <si>
    <t>AX6</t>
  </si>
  <si>
    <t>AY6</t>
  </si>
  <si>
    <t>AZ6</t>
  </si>
  <si>
    <t>BA6</t>
  </si>
  <si>
    <t>AW7</t>
  </si>
  <si>
    <t>AX7</t>
  </si>
  <si>
    <t>AY7</t>
  </si>
  <si>
    <t>AZ7</t>
  </si>
  <si>
    <t>BA7</t>
  </si>
  <si>
    <t>AW8</t>
  </si>
  <si>
    <t>AX8</t>
  </si>
  <si>
    <t>AY8</t>
  </si>
  <si>
    <t>AZ8</t>
  </si>
  <si>
    <t>BA8</t>
  </si>
  <si>
    <t>AW9</t>
  </si>
  <si>
    <t>AX9</t>
  </si>
  <si>
    <t>AY9</t>
  </si>
  <si>
    <t>AZ9</t>
  </si>
  <si>
    <t>BA9</t>
  </si>
  <si>
    <t>AW10</t>
  </si>
  <si>
    <t>AX10</t>
  </si>
  <si>
    <t>AY10</t>
  </si>
  <si>
    <t>AZ10</t>
  </si>
  <si>
    <t>BA10</t>
  </si>
  <si>
    <t>AW11</t>
  </si>
  <si>
    <t>AX11</t>
  </si>
  <si>
    <t>AY11</t>
  </si>
  <si>
    <t>AZ11</t>
  </si>
  <si>
    <t>BA11</t>
  </si>
  <si>
    <t>AW12</t>
  </si>
  <si>
    <t>AX12</t>
  </si>
  <si>
    <t>AY12</t>
  </si>
  <si>
    <t>AZ12</t>
  </si>
  <si>
    <t>BA12</t>
  </si>
  <si>
    <t>AW13</t>
  </si>
  <si>
    <t>AX13</t>
  </si>
  <si>
    <t>AY13</t>
  </si>
  <si>
    <t>AZ13</t>
  </si>
  <si>
    <t>BA13</t>
  </si>
  <si>
    <t>AW14</t>
  </si>
  <si>
    <t>AX14</t>
  </si>
  <si>
    <t>AY14</t>
  </si>
  <si>
    <t>AZ14</t>
  </si>
  <si>
    <t>BA14</t>
  </si>
  <si>
    <t>AW15</t>
  </si>
  <si>
    <t>AX15</t>
  </si>
  <si>
    <t>AY15</t>
  </si>
  <si>
    <t>AZ15</t>
  </si>
  <si>
    <t>BA15</t>
  </si>
  <si>
    <t>AW16</t>
  </si>
  <si>
    <t>AX16</t>
  </si>
  <si>
    <t>AY16</t>
  </si>
  <si>
    <t>AZ16</t>
  </si>
  <si>
    <t>BA16</t>
  </si>
  <si>
    <t>AW17</t>
  </si>
  <si>
    <t>AX17</t>
  </si>
  <si>
    <t>AY17</t>
  </si>
  <si>
    <t>AZ17</t>
  </si>
  <si>
    <t>BA17</t>
  </si>
  <si>
    <t>AW18</t>
  </si>
  <si>
    <t>AX18</t>
  </si>
  <si>
    <t>AY18</t>
  </si>
  <si>
    <t>AZ18</t>
  </si>
  <si>
    <t>BA18</t>
  </si>
  <si>
    <t>AW19</t>
  </si>
  <si>
    <t>AX19</t>
  </si>
  <si>
    <t>AY19</t>
  </si>
  <si>
    <t>AZ19</t>
  </si>
  <si>
    <t>BA19</t>
  </si>
  <si>
    <t>AW20</t>
  </si>
  <si>
    <t>AX20</t>
  </si>
  <si>
    <t>AY20</t>
  </si>
  <si>
    <t>AZ20</t>
  </si>
  <si>
    <t>BA20</t>
  </si>
  <si>
    <t>AW21</t>
  </si>
  <si>
    <t>AX21</t>
  </si>
  <si>
    <t>AY21</t>
  </si>
  <si>
    <t>AZ21</t>
  </si>
  <si>
    <t>BA21</t>
  </si>
  <si>
    <t>AW22</t>
  </si>
  <si>
    <t>AX22</t>
  </si>
  <si>
    <t>AY22</t>
  </si>
  <si>
    <t>AZ22</t>
  </si>
  <si>
    <t>BA22</t>
  </si>
  <si>
    <t>AW23</t>
  </si>
  <si>
    <t>AX23</t>
  </si>
  <si>
    <t>AY23</t>
  </si>
  <si>
    <t>AZ23</t>
  </si>
  <si>
    <t>BA23</t>
  </si>
  <si>
    <t>AW24</t>
  </si>
  <si>
    <t>AX24</t>
  </si>
  <si>
    <t>AY24</t>
  </si>
  <si>
    <t>AZ24</t>
  </si>
  <si>
    <t>BA24</t>
  </si>
  <si>
    <t>AW25</t>
  </si>
  <si>
    <t>AX25</t>
  </si>
  <si>
    <t>AY25</t>
  </si>
  <si>
    <t>AZ25</t>
  </si>
  <si>
    <t>BA25</t>
  </si>
  <si>
    <t>AW26</t>
  </si>
  <si>
    <t>AX26</t>
  </si>
  <si>
    <t>AY26</t>
  </si>
  <si>
    <t>AZ26</t>
  </si>
  <si>
    <t>BA26</t>
  </si>
  <si>
    <t>AW27</t>
  </si>
  <si>
    <t>AX27</t>
  </si>
  <si>
    <t>AY27</t>
  </si>
  <si>
    <t>AZ27</t>
  </si>
  <si>
    <t>BA27</t>
  </si>
  <si>
    <t>AW28</t>
  </si>
  <si>
    <t>AX28</t>
  </si>
  <si>
    <t>AY28</t>
  </si>
  <si>
    <t>AZ28</t>
  </si>
  <si>
    <t>BA28</t>
  </si>
  <si>
    <t>AW29</t>
  </si>
  <si>
    <t>AX29</t>
  </si>
  <si>
    <t>AY29</t>
  </si>
  <si>
    <t>AZ29</t>
  </si>
  <si>
    <t>BA29</t>
  </si>
  <si>
    <t>AW30</t>
  </si>
  <si>
    <t>AX30</t>
  </si>
  <si>
    <t>AY30</t>
  </si>
  <si>
    <t>AZ30</t>
  </si>
  <si>
    <t>BA30</t>
  </si>
  <si>
    <t>BD6</t>
  </si>
  <si>
    <t>BE6</t>
  </si>
  <si>
    <t>BF6</t>
  </si>
  <si>
    <t>BG6</t>
  </si>
  <si>
    <t>BH6</t>
  </si>
  <si>
    <t>BD7</t>
  </si>
  <si>
    <t>BE7</t>
  </si>
  <si>
    <t>BF7</t>
  </si>
  <si>
    <t>BG7</t>
  </si>
  <si>
    <t>BH7</t>
  </si>
  <si>
    <t>BD8</t>
  </si>
  <si>
    <t>BE8</t>
  </si>
  <si>
    <t>BF8</t>
  </si>
  <si>
    <t>BG8</t>
  </si>
  <si>
    <t>BH8</t>
  </si>
  <si>
    <t>BD9</t>
  </si>
  <si>
    <t>BE9</t>
  </si>
  <si>
    <t>BF9</t>
  </si>
  <si>
    <t>BG9</t>
  </si>
  <si>
    <t>BH9</t>
  </si>
  <si>
    <t>BD10</t>
  </si>
  <si>
    <t>BE10</t>
  </si>
  <si>
    <t>BF10</t>
  </si>
  <si>
    <t>BG10</t>
  </si>
  <si>
    <t>BH10</t>
  </si>
  <si>
    <t>BD11</t>
  </si>
  <si>
    <t>BE11</t>
  </si>
  <si>
    <t>BF11</t>
  </si>
  <si>
    <t>BG11</t>
  </si>
  <si>
    <t>BH11</t>
  </si>
  <si>
    <t>BD12</t>
  </si>
  <si>
    <t>BE12</t>
  </si>
  <si>
    <t>BF12</t>
  </si>
  <si>
    <t>BG12</t>
  </si>
  <si>
    <t>BH12</t>
  </si>
  <si>
    <t>BD13</t>
  </si>
  <si>
    <t>BE13</t>
  </si>
  <si>
    <t>BF13</t>
  </si>
  <si>
    <t>BG13</t>
  </si>
  <si>
    <t>BH13</t>
  </si>
  <si>
    <t>BD14</t>
  </si>
  <si>
    <t>BE14</t>
  </si>
  <si>
    <t>BF14</t>
  </si>
  <si>
    <t>BG14</t>
  </si>
  <si>
    <t>BH14</t>
  </si>
  <si>
    <t>BD15</t>
  </si>
  <si>
    <t>BE15</t>
  </si>
  <si>
    <t>BF15</t>
  </si>
  <si>
    <t>BG15</t>
  </si>
  <si>
    <t>BH15</t>
  </si>
  <si>
    <t>BD16</t>
  </si>
  <si>
    <t>BE16</t>
  </si>
  <si>
    <t>BF16</t>
  </si>
  <si>
    <t>BG16</t>
  </si>
  <si>
    <t>BH16</t>
  </si>
  <si>
    <t>BD17</t>
  </si>
  <si>
    <t>BE17</t>
  </si>
  <si>
    <t>BF17</t>
  </si>
  <si>
    <t>BG17</t>
  </si>
  <si>
    <t>BH17</t>
  </si>
  <si>
    <t>BD18</t>
  </si>
  <si>
    <t>BE18</t>
  </si>
  <si>
    <t>BF18</t>
  </si>
  <si>
    <t>BG18</t>
  </si>
  <si>
    <t>BH18</t>
  </si>
  <si>
    <t>BD19</t>
  </si>
  <si>
    <t>BE19</t>
  </si>
  <si>
    <t>BF19</t>
  </si>
  <si>
    <t>BG19</t>
  </si>
  <si>
    <t>BH19</t>
  </si>
  <si>
    <t>BD20</t>
  </si>
  <si>
    <t>BE20</t>
  </si>
  <si>
    <t>BF20</t>
  </si>
  <si>
    <t>BG20</t>
  </si>
  <si>
    <t>BH20</t>
  </si>
  <si>
    <t>BD21</t>
  </si>
  <si>
    <t>BE21</t>
  </si>
  <si>
    <t>BF21</t>
  </si>
  <si>
    <t>BG21</t>
  </si>
  <si>
    <t>BH21</t>
  </si>
  <si>
    <t>BD22</t>
  </si>
  <si>
    <t>BE22</t>
  </si>
  <si>
    <t>BF22</t>
  </si>
  <si>
    <t>BG22</t>
  </si>
  <si>
    <t>BH22</t>
  </si>
  <si>
    <t>BD23</t>
  </si>
  <si>
    <t>BE23</t>
  </si>
  <si>
    <t>BF23</t>
  </si>
  <si>
    <t>BG23</t>
  </si>
  <si>
    <t>BH23</t>
  </si>
  <si>
    <t>BD24</t>
  </si>
  <si>
    <t>BE24</t>
  </si>
  <si>
    <t>BF24</t>
  </si>
  <si>
    <t>BG24</t>
  </si>
  <si>
    <t>BH24</t>
  </si>
  <si>
    <t>BD25</t>
  </si>
  <si>
    <t>BE25</t>
  </si>
  <si>
    <t>BF25</t>
  </si>
  <si>
    <t>BG25</t>
  </si>
  <si>
    <t>BH25</t>
  </si>
  <si>
    <t>BD26</t>
  </si>
  <si>
    <t>BE26</t>
  </si>
  <si>
    <t>BF26</t>
  </si>
  <si>
    <t>BG26</t>
  </si>
  <si>
    <t>BH26</t>
  </si>
  <si>
    <t>BD27</t>
  </si>
  <si>
    <t>BE27</t>
  </si>
  <si>
    <t>BF27</t>
  </si>
  <si>
    <t>BG27</t>
  </si>
  <si>
    <t>BH27</t>
  </si>
  <si>
    <t>BD28</t>
  </si>
  <si>
    <t>BE28</t>
  </si>
  <si>
    <t>BF28</t>
  </si>
  <si>
    <t>BG28</t>
  </si>
  <si>
    <t>BH28</t>
  </si>
  <si>
    <t>BD29</t>
  </si>
  <si>
    <t>BE29</t>
  </si>
  <si>
    <t>BF29</t>
  </si>
  <si>
    <t>BG29</t>
  </si>
  <si>
    <t>BH29</t>
  </si>
  <si>
    <t>BD30</t>
  </si>
  <si>
    <t>BE30</t>
  </si>
  <si>
    <t>BF30</t>
  </si>
  <si>
    <t>BG30</t>
  </si>
  <si>
    <t>BH30</t>
  </si>
  <si>
    <t>Constraints</t>
  </si>
  <si>
    <t>Shadow Price</t>
  </si>
  <si>
    <t>RHS Value</t>
  </si>
  <si>
    <t>C63&lt;=E63</t>
  </si>
  <si>
    <t>C64&lt;=E64</t>
  </si>
  <si>
    <t>C65&lt;=E65</t>
  </si>
  <si>
    <t>C66&lt;=E66</t>
  </si>
  <si>
    <t>C67&lt;=E67</t>
  </si>
  <si>
    <t>C68&lt;=E68</t>
  </si>
  <si>
    <t>C69&lt;=E69</t>
  </si>
  <si>
    <t>C70&lt;=E70</t>
  </si>
  <si>
    <t>C71&lt;=E71</t>
  </si>
  <si>
    <t>C72&lt;=E72</t>
  </si>
  <si>
    <t>C73&lt;=E73</t>
  </si>
  <si>
    <t>C74&lt;=E74</t>
  </si>
  <si>
    <t>C75&lt;=E75</t>
  </si>
  <si>
    <t>C76&lt;=E76</t>
  </si>
  <si>
    <t>C77&lt;=E77</t>
  </si>
  <si>
    <t>C78&lt;=E78</t>
  </si>
  <si>
    <t>C79&lt;=E79</t>
  </si>
  <si>
    <t>C80&lt;=E80</t>
  </si>
  <si>
    <t>C81&lt;=E81</t>
  </si>
  <si>
    <t>C82&lt;=E82</t>
  </si>
  <si>
    <t>C83&lt;=E83</t>
  </si>
  <si>
    <t>C84&lt;=E84</t>
  </si>
  <si>
    <t>C85&lt;=E85</t>
  </si>
  <si>
    <t>C86&lt;=E86</t>
  </si>
  <si>
    <t>C87&lt;=E87</t>
  </si>
  <si>
    <t>H63&gt;=J63</t>
  </si>
  <si>
    <t>&lt;= k = shelf index</t>
  </si>
  <si>
    <t>H64&gt;=J64</t>
  </si>
  <si>
    <t>H65&gt;=J65</t>
  </si>
  <si>
    <t>H66&gt;=J66</t>
  </si>
  <si>
    <t>H67&gt;=J67</t>
  </si>
  <si>
    <t>H68&gt;=J68</t>
  </si>
  <si>
    <t>H69&gt;=J69</t>
  </si>
  <si>
    <t>H70&gt;=J70</t>
  </si>
  <si>
    <t>H71&gt;=J71</t>
  </si>
  <si>
    <t>H72&gt;=J72</t>
  </si>
  <si>
    <t>H73&gt;=J73</t>
  </si>
  <si>
    <t>H74&gt;=J74</t>
  </si>
  <si>
    <t>H75&gt;=J75</t>
  </si>
  <si>
    <t>H76&gt;=J76</t>
  </si>
  <si>
    <t>H77&gt;=J77</t>
  </si>
  <si>
    <t>H78&gt;=J78</t>
  </si>
  <si>
    <t>H79&gt;=J79</t>
  </si>
  <si>
    <t>H80&gt;=J80</t>
  </si>
  <si>
    <t>H81&gt;=J81</t>
  </si>
  <si>
    <t>H82&gt;=J82</t>
  </si>
  <si>
    <t>H83&gt;=J83</t>
  </si>
  <si>
    <t>H84&gt;=J84</t>
  </si>
  <si>
    <t>H85&gt;=J85</t>
  </si>
  <si>
    <t>H86&gt;=J86</t>
  </si>
  <si>
    <t>H87&gt;=J87</t>
  </si>
  <si>
    <t>M63&lt;=O63</t>
  </si>
  <si>
    <t>M64&lt;=O64</t>
  </si>
  <si>
    <t>M65&lt;=O65</t>
  </si>
  <si>
    <t>M66&lt;=O66</t>
  </si>
  <si>
    <t>M67&lt;=O67</t>
  </si>
  <si>
    <t>M68&lt;=O68</t>
  </si>
  <si>
    <t>M69&lt;=O69</t>
  </si>
  <si>
    <t>M70&lt;=O70</t>
  </si>
  <si>
    <t>M71&lt;=O71</t>
  </si>
  <si>
    <t>M72&lt;=O72</t>
  </si>
  <si>
    <t>M73&lt;=O73</t>
  </si>
  <si>
    <t>M74&lt;=O74</t>
  </si>
  <si>
    <t>M75&lt;=O75</t>
  </si>
  <si>
    <t>M76&lt;=O76</t>
  </si>
  <si>
    <t>M77&lt;=O77</t>
  </si>
  <si>
    <t>M78&lt;=O78</t>
  </si>
  <si>
    <t>M79&lt;=O79</t>
  </si>
  <si>
    <t>M80&lt;=O80</t>
  </si>
  <si>
    <t>M81&lt;=O81</t>
  </si>
  <si>
    <t>M82&lt;=O82</t>
  </si>
  <si>
    <t>M83&lt;=O83</t>
  </si>
  <si>
    <t>M84&lt;=O84</t>
  </si>
  <si>
    <t>M85&lt;=O85</t>
  </si>
  <si>
    <t>M86&lt;=O86</t>
  </si>
  <si>
    <t>M87&lt;=O87</t>
  </si>
  <si>
    <t>R63&lt;=T63</t>
  </si>
  <si>
    <t>&lt;= sl(i): lower bound on the shelf inv</t>
  </si>
  <si>
    <t>R64&lt;=T64</t>
  </si>
  <si>
    <t>R65&lt;=T65</t>
  </si>
  <si>
    <t>R66&lt;=T66</t>
  </si>
  <si>
    <t>R67&lt;=T67</t>
  </si>
  <si>
    <t>W63=Y63</t>
  </si>
  <si>
    <t>W64=Y64</t>
  </si>
  <si>
    <t>W65=Y65</t>
  </si>
  <si>
    <t>W66=Y66</t>
  </si>
  <si>
    <t>AB63&lt;=AH63</t>
  </si>
  <si>
    <t>AC63&lt;=AI63</t>
  </si>
  <si>
    <t>AD63&lt;=AJ63</t>
  </si>
  <si>
    <t>AE63&lt;=AK63</t>
  </si>
  <si>
    <t>AF63&lt;=AL63</t>
  </si>
  <si>
    <t>AB64&lt;=AH64</t>
  </si>
  <si>
    <t>AC64&lt;=AI64</t>
  </si>
  <si>
    <t>AD64&lt;=AJ64</t>
  </si>
  <si>
    <t>AE64&lt;=AK64</t>
  </si>
  <si>
    <t>AF64&lt;=AL64</t>
  </si>
  <si>
    <t>AB65&lt;=AH65</t>
  </si>
  <si>
    <t>AC65&lt;=AI65</t>
  </si>
  <si>
    <t>AD65&lt;=AJ65</t>
  </si>
  <si>
    <t>AE65&lt;=AK65</t>
  </si>
  <si>
    <t>AF65&lt;=AL65</t>
  </si>
  <si>
    <t>AP63&lt;=AV63</t>
  </si>
  <si>
    <t>&lt;= Column</t>
  </si>
  <si>
    <t>AQ63&lt;=AW63</t>
  </si>
  <si>
    <t>&lt;= for j=1</t>
  </si>
  <si>
    <t>AR63&lt;=AX63</t>
  </si>
  <si>
    <t>AS63&lt;=AY63</t>
  </si>
  <si>
    <t>AT63&lt;=AZ63</t>
  </si>
  <si>
    <t>AP64&lt;=AV64</t>
  </si>
  <si>
    <t>AQ64&lt;=AW64</t>
  </si>
  <si>
    <t>AR64&lt;=AX64</t>
  </si>
  <si>
    <t>AS64&lt;=AY64</t>
  </si>
  <si>
    <t>AT64&lt;=AZ64</t>
  </si>
  <si>
    <t>AP65&lt;=AV65</t>
  </si>
  <si>
    <t>AQ65&lt;=AW65</t>
  </si>
  <si>
    <t>AR65&lt;=AX65</t>
  </si>
  <si>
    <t>AS65&lt;=AY65</t>
  </si>
  <si>
    <t>AT65&lt;=AZ65</t>
  </si>
  <si>
    <t>AP66&lt;=AV66</t>
  </si>
  <si>
    <t>AQ66&lt;=AW66</t>
  </si>
  <si>
    <t>AR66&lt;=AX66</t>
  </si>
  <si>
    <t>AS66&lt;=AY66</t>
  </si>
  <si>
    <t>AT66&lt;=AZ66</t>
  </si>
  <si>
    <t>AP67&lt;=AV67</t>
  </si>
  <si>
    <t>AQ67&lt;=AW67</t>
  </si>
  <si>
    <t>AR67&lt;=AX67</t>
  </si>
  <si>
    <t>AS67&lt;=AY67</t>
  </si>
  <si>
    <t>AT67&lt;=AZ67</t>
  </si>
  <si>
    <t>AP68&lt;=AV68</t>
  </si>
  <si>
    <t>AQ68&lt;=AW68</t>
  </si>
  <si>
    <t>AR68&lt;=AX68</t>
  </si>
  <si>
    <t>AS68&lt;=AY68</t>
  </si>
  <si>
    <t>AT68&lt;=AZ68</t>
  </si>
  <si>
    <t>AP69&lt;=AV69</t>
  </si>
  <si>
    <t>AQ69&lt;=AW69</t>
  </si>
  <si>
    <t>AR69&lt;=AX69</t>
  </si>
  <si>
    <t>AS69&lt;=AY69</t>
  </si>
  <si>
    <t>AT69&lt;=AZ69</t>
  </si>
  <si>
    <t>AP70&lt;=AV70</t>
  </si>
  <si>
    <t>AQ70&lt;=AW70</t>
  </si>
  <si>
    <t>AR70&lt;=AX70</t>
  </si>
  <si>
    <t>AS70&lt;=AY70</t>
  </si>
  <si>
    <t>AT70&lt;=AZ70</t>
  </si>
  <si>
    <t>AP71&lt;=AV71</t>
  </si>
  <si>
    <t>AQ71&lt;=AW71</t>
  </si>
  <si>
    <t>AR71&lt;=AX71</t>
  </si>
  <si>
    <t>AS71&lt;=AY71</t>
  </si>
  <si>
    <t>AT71&lt;=AZ71</t>
  </si>
  <si>
    <t>AP72&lt;=AV72</t>
  </si>
  <si>
    <t>AQ72&lt;=AW72</t>
  </si>
  <si>
    <t>AR72&lt;=AX72</t>
  </si>
  <si>
    <t>AS72&lt;=AY72</t>
  </si>
  <si>
    <t>AT72&lt;=AZ72</t>
  </si>
  <si>
    <t>AP73&lt;=AV73</t>
  </si>
  <si>
    <t>AQ73&lt;=AW73</t>
  </si>
  <si>
    <t>AR73&lt;=AX73</t>
  </si>
  <si>
    <t>AS73&lt;=AY73</t>
  </si>
  <si>
    <t>AT73&lt;=AZ73</t>
  </si>
  <si>
    <t>AP74&lt;=AV74</t>
  </si>
  <si>
    <t>AQ74&lt;=AW74</t>
  </si>
  <si>
    <t>AR74&lt;=AX74</t>
  </si>
  <si>
    <t>AS74&lt;=AY74</t>
  </si>
  <si>
    <t>AT74&lt;=AZ74</t>
  </si>
  <si>
    <t>AP75&lt;=AV75</t>
  </si>
  <si>
    <t>AQ75&lt;=AW75</t>
  </si>
  <si>
    <t>AR75&lt;=AX75</t>
  </si>
  <si>
    <t>AS75&lt;=AY75</t>
  </si>
  <si>
    <t>AT75&lt;=AZ75</t>
  </si>
  <si>
    <t>AP76&lt;=AV76</t>
  </si>
  <si>
    <t>AQ76&lt;=AW76</t>
  </si>
  <si>
    <t>AR76&lt;=AX76</t>
  </si>
  <si>
    <t>AS76&lt;=AY76</t>
  </si>
  <si>
    <t>AT76&lt;=AZ76</t>
  </si>
  <si>
    <t>AP77&lt;=AV77</t>
  </si>
  <si>
    <t>AQ77&lt;=AW77</t>
  </si>
  <si>
    <t>AR77&lt;=AX77</t>
  </si>
  <si>
    <t>AS77&lt;=AY77</t>
  </si>
  <si>
    <t>AT77&lt;=AZ77</t>
  </si>
  <si>
    <t>AP78&lt;=AV78</t>
  </si>
  <si>
    <t>AQ78&lt;=AW78</t>
  </si>
  <si>
    <t>AR78&lt;=AX78</t>
  </si>
  <si>
    <t>AS78&lt;=AY78</t>
  </si>
  <si>
    <t>AT78&lt;=AZ78</t>
  </si>
  <si>
    <t>AP79&lt;=AV79</t>
  </si>
  <si>
    <t>AQ79&lt;=AW79</t>
  </si>
  <si>
    <t>AR79&lt;=AX79</t>
  </si>
  <si>
    <t>AS79&lt;=AY79</t>
  </si>
  <si>
    <t>AT79&lt;=AZ79</t>
  </si>
  <si>
    <t>AP80&lt;=AV80</t>
  </si>
  <si>
    <t>AQ80&lt;=AW80</t>
  </si>
  <si>
    <t>AR80&lt;=AX80</t>
  </si>
  <si>
    <t>AS80&lt;=AY80</t>
  </si>
  <si>
    <t>AT80&lt;=AZ80</t>
  </si>
  <si>
    <t>AP81&lt;=AV81</t>
  </si>
  <si>
    <t>AQ81&lt;=AW81</t>
  </si>
  <si>
    <t>AR81&lt;=AX81</t>
  </si>
  <si>
    <t>AS81&lt;=AY81</t>
  </si>
  <si>
    <t>AT81&lt;=AZ81</t>
  </si>
  <si>
    <t>AP82&lt;=AV82</t>
  </si>
  <si>
    <t>AQ82&lt;=AW82</t>
  </si>
  <si>
    <t>AR82&lt;=AX82</t>
  </si>
  <si>
    <t>AS82&lt;=AY82</t>
  </si>
  <si>
    <t>AT82&lt;=AZ82</t>
  </si>
  <si>
    <t>AP83&lt;=AV83</t>
  </si>
  <si>
    <t>AQ83&lt;=AW83</t>
  </si>
  <si>
    <t>AR83&lt;=AX83</t>
  </si>
  <si>
    <t>AS83&lt;=AY83</t>
  </si>
  <si>
    <t>AT83&lt;=AZ83</t>
  </si>
  <si>
    <t>AP84&lt;=AV84</t>
  </si>
  <si>
    <t>AQ84&lt;=AW84</t>
  </si>
  <si>
    <t>AR84&lt;=AX84</t>
  </si>
  <si>
    <t>AS84&lt;=AY84</t>
  </si>
  <si>
    <t>AT84&lt;=AZ84</t>
  </si>
  <si>
    <t>AP85&lt;=AV85</t>
  </si>
  <si>
    <t>AQ85&lt;=AW85</t>
  </si>
  <si>
    <t>AR85&lt;=AX85</t>
  </si>
  <si>
    <t>AS85&lt;=AY85</t>
  </si>
  <si>
    <t>AT85&lt;=AZ85</t>
  </si>
  <si>
    <t>AP86&lt;=AV86</t>
  </si>
  <si>
    <t>AQ86&lt;=AW86</t>
  </si>
  <si>
    <t>AR86&lt;=AX86</t>
  </si>
  <si>
    <t>AS86&lt;=AY86</t>
  </si>
  <si>
    <t>AT86&lt;=AZ86</t>
  </si>
  <si>
    <t>AP87&lt;=AV87</t>
  </si>
  <si>
    <t>AQ87&lt;=AW87</t>
  </si>
  <si>
    <t>AR87&lt;=AX87</t>
  </si>
  <si>
    <t>AS87&lt;=AY87</t>
  </si>
  <si>
    <t>AT87&lt;=AZ87</t>
  </si>
  <si>
    <t>BC63&lt;=BI63</t>
  </si>
  <si>
    <t>&lt;= j=</t>
  </si>
  <si>
    <t>BD63&lt;=BJ63</t>
  </si>
  <si>
    <t>&lt;= for j=2</t>
  </si>
  <si>
    <t>BE63&lt;=BK63</t>
  </si>
  <si>
    <t>BF63&lt;=BL63</t>
  </si>
  <si>
    <t>BG63&lt;=BM63</t>
  </si>
  <si>
    <t>BC64&lt;=BI64</t>
  </si>
  <si>
    <t>BD64&lt;=BJ64</t>
  </si>
  <si>
    <t>BE64&lt;=BK64</t>
  </si>
  <si>
    <t>BF64&lt;=BL64</t>
  </si>
  <si>
    <t>BG64&lt;=BM64</t>
  </si>
  <si>
    <t>BC65&lt;=BI65</t>
  </si>
  <si>
    <t>BD65&lt;=BJ65</t>
  </si>
  <si>
    <t>BE65&lt;=BK65</t>
  </si>
  <si>
    <t>BF65&lt;=BL65</t>
  </si>
  <si>
    <t>BG65&lt;=BM65</t>
  </si>
  <si>
    <t>BC66&lt;=BI66</t>
  </si>
  <si>
    <t>BD66&lt;=BJ66</t>
  </si>
  <si>
    <t>BE66&lt;=BK66</t>
  </si>
  <si>
    <t>BF66&lt;=BL66</t>
  </si>
  <si>
    <t>BG66&lt;=BM66</t>
  </si>
  <si>
    <t>BC67&lt;=BI67</t>
  </si>
  <si>
    <t>BD67&lt;=BJ67</t>
  </si>
  <si>
    <t>BE67&lt;=BK67</t>
  </si>
  <si>
    <t>BF67&lt;=BL67</t>
  </si>
  <si>
    <t>BG67&lt;=BM67</t>
  </si>
  <si>
    <t>BC68&lt;=BI68</t>
  </si>
  <si>
    <t>BD68&lt;=BJ68</t>
  </si>
  <si>
    <t>BE68&lt;=BK68</t>
  </si>
  <si>
    <t>BF68&lt;=BL68</t>
  </si>
  <si>
    <t>BG68&lt;=BM68</t>
  </si>
  <si>
    <t>BC69&lt;=BI69</t>
  </si>
  <si>
    <t>BD69&lt;=BJ69</t>
  </si>
  <si>
    <t>BE69&lt;=BK69</t>
  </si>
  <si>
    <t>BF69&lt;=BL69</t>
  </si>
  <si>
    <t>BG69&lt;=BM69</t>
  </si>
  <si>
    <t>BC70&lt;=BI70</t>
  </si>
  <si>
    <t>BD70&lt;=BJ70</t>
  </si>
  <si>
    <t>BE70&lt;=BK70</t>
  </si>
  <si>
    <t>BF70&lt;=BL70</t>
  </si>
  <si>
    <t>BG70&lt;=BM70</t>
  </si>
  <si>
    <t>BC71&lt;=BI71</t>
  </si>
  <si>
    <t>BD71&lt;=BJ71</t>
  </si>
  <si>
    <t>BE71&lt;=BK71</t>
  </si>
  <si>
    <t>BF71&lt;=BL71</t>
  </si>
  <si>
    <t>BG71&lt;=BM71</t>
  </si>
  <si>
    <t>BC72&lt;=BI72</t>
  </si>
  <si>
    <t>BD72&lt;=BJ72</t>
  </si>
  <si>
    <t>BE72&lt;=BK72</t>
  </si>
  <si>
    <t>BF72&lt;=BL72</t>
  </si>
  <si>
    <t>BG72&lt;=BM72</t>
  </si>
  <si>
    <t>BC73&lt;=BI73</t>
  </si>
  <si>
    <t>BD73&lt;=BJ73</t>
  </si>
  <si>
    <t>BE73&lt;=BK73</t>
  </si>
  <si>
    <t>BF73&lt;=BL73</t>
  </si>
  <si>
    <t>BG73&lt;=BM73</t>
  </si>
  <si>
    <t>BC74&lt;=BI74</t>
  </si>
  <si>
    <t>BD74&lt;=BJ74</t>
  </si>
  <si>
    <t>BE74&lt;=BK74</t>
  </si>
  <si>
    <t>BF74&lt;=BL74</t>
  </si>
  <si>
    <t>BG74&lt;=BM74</t>
  </si>
  <si>
    <t>BC75&lt;=BI75</t>
  </si>
  <si>
    <t>BD75&lt;=BJ75</t>
  </si>
  <si>
    <t>BE75&lt;=BK75</t>
  </si>
  <si>
    <t>BF75&lt;=BL75</t>
  </si>
  <si>
    <t>BG75&lt;=BM75</t>
  </si>
  <si>
    <t>BC76&lt;=BI76</t>
  </si>
  <si>
    <t>BD76&lt;=BJ76</t>
  </si>
  <si>
    <t>BE76&lt;=BK76</t>
  </si>
  <si>
    <t>BF76&lt;=BL76</t>
  </si>
  <si>
    <t>BG76&lt;=BM76</t>
  </si>
  <si>
    <t>BC77&lt;=BI77</t>
  </si>
  <si>
    <t>BD77&lt;=BJ77</t>
  </si>
  <si>
    <t>BE77&lt;=BK77</t>
  </si>
  <si>
    <t>BF77&lt;=BL77</t>
  </si>
  <si>
    <t>BG77&lt;=BM77</t>
  </si>
  <si>
    <t>BC78&lt;=BI78</t>
  </si>
  <si>
    <t>BD78&lt;=BJ78</t>
  </si>
  <si>
    <t>BE78&lt;=BK78</t>
  </si>
  <si>
    <t>BF78&lt;=BL78</t>
  </si>
  <si>
    <t>BG78&lt;=BM78</t>
  </si>
  <si>
    <t>BC79&lt;=BI79</t>
  </si>
  <si>
    <t>BD79&lt;=BJ79</t>
  </si>
  <si>
    <t>BE79&lt;=BK79</t>
  </si>
  <si>
    <t>BF79&lt;=BL79</t>
  </si>
  <si>
    <t>BG79&lt;=BM79</t>
  </si>
  <si>
    <t>BC80&lt;=BI80</t>
  </si>
  <si>
    <t>BD80&lt;=BJ80</t>
  </si>
  <si>
    <t>BE80&lt;=BK80</t>
  </si>
  <si>
    <t>BF80&lt;=BL80</t>
  </si>
  <si>
    <t>BG80&lt;=BM80</t>
  </si>
  <si>
    <t>BC81&lt;=BI81</t>
  </si>
  <si>
    <t>BD81&lt;=BJ81</t>
  </si>
  <si>
    <t>BE81&lt;=BK81</t>
  </si>
  <si>
    <t>BF81&lt;=BL81</t>
  </si>
  <si>
    <t>BG81&lt;=BM81</t>
  </si>
  <si>
    <t>BC82&lt;=BI82</t>
  </si>
  <si>
    <t>BD82&lt;=BJ82</t>
  </si>
  <si>
    <t>BE82&lt;=BK82</t>
  </si>
  <si>
    <t>BF82&lt;=BL82</t>
  </si>
  <si>
    <t>BG82&lt;=BM82</t>
  </si>
  <si>
    <t>BC83&lt;=BI83</t>
  </si>
  <si>
    <t>BD83&lt;=BJ83</t>
  </si>
  <si>
    <t>BE83&lt;=BK83</t>
  </si>
  <si>
    <t>BF83&lt;=BL83</t>
  </si>
  <si>
    <t>BG83&lt;=BM83</t>
  </si>
  <si>
    <t>BC84&lt;=BI84</t>
  </si>
  <si>
    <t>BD84&lt;=BJ84</t>
  </si>
  <si>
    <t>BE84&lt;=BK84</t>
  </si>
  <si>
    <t>BF84&lt;=BL84</t>
  </si>
  <si>
    <t>BG84&lt;=BM84</t>
  </si>
  <si>
    <t>BC85&lt;=BI85</t>
  </si>
  <si>
    <t>BD85&lt;=BJ85</t>
  </si>
  <si>
    <t>BE85&lt;=BK85</t>
  </si>
  <si>
    <t>BF85&lt;=BL85</t>
  </si>
  <si>
    <t>BG85&lt;=BM85</t>
  </si>
  <si>
    <t>BC86&lt;=BI86</t>
  </si>
  <si>
    <t>BD86&lt;=BJ86</t>
  </si>
  <si>
    <t>BE86&lt;=BK86</t>
  </si>
  <si>
    <t>BF86&lt;=BL86</t>
  </si>
  <si>
    <t>BG86&lt;=BM86</t>
  </si>
  <si>
    <t>BC87&lt;=BI87</t>
  </si>
  <si>
    <t>BD87&lt;=BJ87</t>
  </si>
  <si>
    <t>BE87&lt;=BK87</t>
  </si>
  <si>
    <t>BF87&lt;=BL87</t>
  </si>
  <si>
    <t>BG87&lt;=BM87</t>
  </si>
  <si>
    <t>BP63&lt;=BV63</t>
  </si>
  <si>
    <t>BQ63&lt;=BW63</t>
  </si>
  <si>
    <t>&lt;= for j=3</t>
  </si>
  <si>
    <t>BR63&lt;=BX63</t>
  </si>
  <si>
    <t>BS63&lt;=BY63</t>
  </si>
  <si>
    <t>BT63&lt;=BZ63</t>
  </si>
  <si>
    <t>BP64&lt;=BV64</t>
  </si>
  <si>
    <t>BQ64&lt;=BW64</t>
  </si>
  <si>
    <t>BR64&lt;=BX64</t>
  </si>
  <si>
    <t>BS64&lt;=BY64</t>
  </si>
  <si>
    <t>BT64&lt;=BZ64</t>
  </si>
  <si>
    <t>BP65&lt;=BV65</t>
  </si>
  <si>
    <t>BQ65&lt;=BW65</t>
  </si>
  <si>
    <t>BR65&lt;=BX65</t>
  </si>
  <si>
    <t>BS65&lt;=BY65</t>
  </si>
  <si>
    <t>BT65&lt;=BZ65</t>
  </si>
  <si>
    <t>BP66&lt;=BV66</t>
  </si>
  <si>
    <t>BQ66&lt;=BW66</t>
  </si>
  <si>
    <t>BR66&lt;=BX66</t>
  </si>
  <si>
    <t>BS66&lt;=BY66</t>
  </si>
  <si>
    <t>BT66&lt;=BZ66</t>
  </si>
  <si>
    <t>BP67&lt;=BV67</t>
  </si>
  <si>
    <t>BQ67&lt;=BW67</t>
  </si>
  <si>
    <t>BR67&lt;=BX67</t>
  </si>
  <si>
    <t>BS67&lt;=BY67</t>
  </si>
  <si>
    <t>BT67&lt;=BZ67</t>
  </si>
  <si>
    <t>BP68&lt;=BV68</t>
  </si>
  <si>
    <t>BQ68&lt;=BW68</t>
  </si>
  <si>
    <t>BR68&lt;=BX68</t>
  </si>
  <si>
    <t>BS68&lt;=BY68</t>
  </si>
  <si>
    <t>BT68&lt;=BZ68</t>
  </si>
  <si>
    <t>BP69&lt;=BV69</t>
  </si>
  <si>
    <t>BQ69&lt;=BW69</t>
  </si>
  <si>
    <t>BR69&lt;=BX69</t>
  </si>
  <si>
    <t>BS69&lt;=BY69</t>
  </si>
  <si>
    <t>BT69&lt;=BZ69</t>
  </si>
  <si>
    <t>BP70&lt;=BV70</t>
  </si>
  <si>
    <t>BQ70&lt;=BW70</t>
  </si>
  <si>
    <t>BR70&lt;=BX70</t>
  </si>
  <si>
    <t>BS70&lt;=BY70</t>
  </si>
  <si>
    <t>BT70&lt;=BZ70</t>
  </si>
  <si>
    <t>BP71&lt;=BV71</t>
  </si>
  <si>
    <t>BQ71&lt;=BW71</t>
  </si>
  <si>
    <t>BR71&lt;=BX71</t>
  </si>
  <si>
    <t>BS71&lt;=BY71</t>
  </si>
  <si>
    <t>BT71&lt;=BZ71</t>
  </si>
  <si>
    <t>BP72&lt;=BV72</t>
  </si>
  <si>
    <t>BQ72&lt;=BW72</t>
  </si>
  <si>
    <t>BR72&lt;=BX72</t>
  </si>
  <si>
    <t>BS72&lt;=BY72</t>
  </si>
  <si>
    <t>BT72&lt;=BZ72</t>
  </si>
  <si>
    <t>BP73&lt;=BV73</t>
  </si>
  <si>
    <t>BQ73&lt;=BW73</t>
  </si>
  <si>
    <t>BR73&lt;=BX73</t>
  </si>
  <si>
    <t>BS73&lt;=BY73</t>
  </si>
  <si>
    <t>BT73&lt;=BZ73</t>
  </si>
  <si>
    <t>BP74&lt;=BV74</t>
  </si>
  <si>
    <t>BQ74&lt;=BW74</t>
  </si>
  <si>
    <t>BR74&lt;=BX74</t>
  </si>
  <si>
    <t>BS74&lt;=BY74</t>
  </si>
  <si>
    <t>BT74&lt;=BZ74</t>
  </si>
  <si>
    <t>BP75&lt;=BV75</t>
  </si>
  <si>
    <t>BQ75&lt;=BW75</t>
  </si>
  <si>
    <t>BR75&lt;=BX75</t>
  </si>
  <si>
    <t>BS75&lt;=BY75</t>
  </si>
  <si>
    <t>BT75&lt;=BZ75</t>
  </si>
  <si>
    <t>BP76&lt;=BV76</t>
  </si>
  <si>
    <t>BQ76&lt;=BW76</t>
  </si>
  <si>
    <t>BR76&lt;=BX76</t>
  </si>
  <si>
    <t>BS76&lt;=BY76</t>
  </si>
  <si>
    <t>BT76&lt;=BZ76</t>
  </si>
  <si>
    <t>BP77&lt;=BV77</t>
  </si>
  <si>
    <t>BQ77&lt;=BW77</t>
  </si>
  <si>
    <t>BR77&lt;=BX77</t>
  </si>
  <si>
    <t>BS77&lt;=BY77</t>
  </si>
  <si>
    <t>BT77&lt;=BZ77</t>
  </si>
  <si>
    <t>BP78&lt;=BV78</t>
  </si>
  <si>
    <t>BQ78&lt;=BW78</t>
  </si>
  <si>
    <t>BR78&lt;=BX78</t>
  </si>
  <si>
    <t>BS78&lt;=BY78</t>
  </si>
  <si>
    <t>BT78&lt;=BZ78</t>
  </si>
  <si>
    <t>BP79&lt;=BV79</t>
  </si>
  <si>
    <t>BQ79&lt;=BW79</t>
  </si>
  <si>
    <t>BR79&lt;=BX79</t>
  </si>
  <si>
    <t>BS79&lt;=BY79</t>
  </si>
  <si>
    <t>BT79&lt;=BZ79</t>
  </si>
  <si>
    <t>BP80&lt;=BV80</t>
  </si>
  <si>
    <t>BQ80&lt;=BW80</t>
  </si>
  <si>
    <t>BR80&lt;=BX80</t>
  </si>
  <si>
    <t>BS80&lt;=BY80</t>
  </si>
  <si>
    <t>BT80&lt;=BZ80</t>
  </si>
  <si>
    <t>BP81&lt;=BV81</t>
  </si>
  <si>
    <t>BQ81&lt;=BW81</t>
  </si>
  <si>
    <t>BR81&lt;=BX81</t>
  </si>
  <si>
    <t>BS81&lt;=BY81</t>
  </si>
  <si>
    <t>BT81&lt;=BZ81</t>
  </si>
  <si>
    <t>BP82&lt;=BV82</t>
  </si>
  <si>
    <t>BQ82&lt;=BW82</t>
  </si>
  <si>
    <t>BR82&lt;=BX82</t>
  </si>
  <si>
    <t>BS82&lt;=BY82</t>
  </si>
  <si>
    <t>BT82&lt;=BZ82</t>
  </si>
  <si>
    <t>BP83&lt;=BV83</t>
  </si>
  <si>
    <t>BQ83&lt;=BW83</t>
  </si>
  <si>
    <t>BR83&lt;=BX83</t>
  </si>
  <si>
    <t>BS83&lt;=BY83</t>
  </si>
  <si>
    <t>BT83&lt;=BZ83</t>
  </si>
  <si>
    <t>BP84&lt;=BV84</t>
  </si>
  <si>
    <t>BQ84&lt;=BW84</t>
  </si>
  <si>
    <t>BR84&lt;=BX84</t>
  </si>
  <si>
    <t>BS84&lt;=BY84</t>
  </si>
  <si>
    <t>BT84&lt;=BZ84</t>
  </si>
  <si>
    <t>BP85&lt;=BV85</t>
  </si>
  <si>
    <t>BQ85&lt;=BW85</t>
  </si>
  <si>
    <t>BR85&lt;=BX85</t>
  </si>
  <si>
    <t>BS85&lt;=BY85</t>
  </si>
  <si>
    <t>BT85&lt;=BZ85</t>
  </si>
  <si>
    <t>BP86&lt;=BV86</t>
  </si>
  <si>
    <t>BQ86&lt;=BW86</t>
  </si>
  <si>
    <t>BR86&lt;=BX86</t>
  </si>
  <si>
    <t>BS86&lt;=BY86</t>
  </si>
  <si>
    <t>BT86&lt;=BZ86</t>
  </si>
  <si>
    <t>BP87&lt;=BV87</t>
  </si>
  <si>
    <t>BQ87&lt;=BW87</t>
  </si>
  <si>
    <t>BR87&lt;=BX87</t>
  </si>
  <si>
    <t>BS87&lt;=BY87</t>
  </si>
  <si>
    <t>BT87&lt;=BZ87</t>
  </si>
  <si>
    <t>CC63&lt;=CI63</t>
  </si>
  <si>
    <t>CD63&lt;=CJ63</t>
  </si>
  <si>
    <t>&lt;= for j=4</t>
  </si>
  <si>
    <t>CE63&lt;=CK63</t>
  </si>
  <si>
    <t>CF63&lt;=CL63</t>
  </si>
  <si>
    <t>CG63&lt;=CM63</t>
  </si>
  <si>
    <t>CC64&lt;=CI64</t>
  </si>
  <si>
    <t>CD64&lt;=CJ64</t>
  </si>
  <si>
    <t>CE64&lt;=CK64</t>
  </si>
  <si>
    <t>CF64&lt;=CL64</t>
  </si>
  <si>
    <t>CG64&lt;=CM64</t>
  </si>
  <si>
    <t>CC65&lt;=CI65</t>
  </si>
  <si>
    <t>CD65&lt;=CJ65</t>
  </si>
  <si>
    <t>CE65&lt;=CK65</t>
  </si>
  <si>
    <t>CF65&lt;=CL65</t>
  </si>
  <si>
    <t>CG65&lt;=CM65</t>
  </si>
  <si>
    <t>CC66&lt;=CI66</t>
  </si>
  <si>
    <t>CD66&lt;=CJ66</t>
  </si>
  <si>
    <t>CE66&lt;=CK66</t>
  </si>
  <si>
    <t>CF66&lt;=CL66</t>
  </si>
  <si>
    <t>CG66&lt;=CM66</t>
  </si>
  <si>
    <t>CC67&lt;=CI67</t>
  </si>
  <si>
    <t>CD67&lt;=CJ67</t>
  </si>
  <si>
    <t>CE67&lt;=CK67</t>
  </si>
  <si>
    <t>CF67&lt;=CL67</t>
  </si>
  <si>
    <t>CG67&lt;=CM67</t>
  </si>
  <si>
    <t>CC68&lt;=CI68</t>
  </si>
  <si>
    <t>CD68&lt;=CJ68</t>
  </si>
  <si>
    <t>CE68&lt;=CK68</t>
  </si>
  <si>
    <t>CF68&lt;=CL68</t>
  </si>
  <si>
    <t>CG68&lt;=CM68</t>
  </si>
  <si>
    <t>CC69&lt;=CI69</t>
  </si>
  <si>
    <t>CD69&lt;=CJ69</t>
  </si>
  <si>
    <t>CE69&lt;=CK69</t>
  </si>
  <si>
    <t>CF69&lt;=CL69</t>
  </si>
  <si>
    <t>CG69&lt;=CM69</t>
  </si>
  <si>
    <t>CC70&lt;=CI70</t>
  </si>
  <si>
    <t>CD70&lt;=CJ70</t>
  </si>
  <si>
    <t>CE70&lt;=CK70</t>
  </si>
  <si>
    <t>CF70&lt;=CL70</t>
  </si>
  <si>
    <t>CG70&lt;=CM70</t>
  </si>
  <si>
    <t>CC71&lt;=CI71</t>
  </si>
  <si>
    <t>CD71&lt;=CJ71</t>
  </si>
  <si>
    <t>CE71&lt;=CK71</t>
  </si>
  <si>
    <t>CF71&lt;=CL71</t>
  </si>
  <si>
    <t>CG71&lt;=CM71</t>
  </si>
  <si>
    <t>CC72&lt;=CI72</t>
  </si>
  <si>
    <t>CD72&lt;=CJ72</t>
  </si>
  <si>
    <t>CE72&lt;=CK72</t>
  </si>
  <si>
    <t>CF72&lt;=CL72</t>
  </si>
  <si>
    <t>CG72&lt;=CM72</t>
  </si>
  <si>
    <t>CC73&lt;=CI73</t>
  </si>
  <si>
    <t>CD73&lt;=CJ73</t>
  </si>
  <si>
    <t>CE73&lt;=CK73</t>
  </si>
  <si>
    <t>CF73&lt;=CL73</t>
  </si>
  <si>
    <t>CG73&lt;=CM73</t>
  </si>
  <si>
    <t>CC74&lt;=CI74</t>
  </si>
  <si>
    <t>CD74&lt;=CJ74</t>
  </si>
  <si>
    <t>CE74&lt;=CK74</t>
  </si>
  <si>
    <t>CF74&lt;=CL74</t>
  </si>
  <si>
    <t>CG74&lt;=CM74</t>
  </si>
  <si>
    <t>CC75&lt;=CI75</t>
  </si>
  <si>
    <t>CD75&lt;=CJ75</t>
  </si>
  <si>
    <t>CE75&lt;=CK75</t>
  </si>
  <si>
    <t>CF75&lt;=CL75</t>
  </si>
  <si>
    <t>CG75&lt;=CM75</t>
  </si>
  <si>
    <t>CC76&lt;=CI76</t>
  </si>
  <si>
    <t>CD76&lt;=CJ76</t>
  </si>
  <si>
    <t>CE76&lt;=CK76</t>
  </si>
  <si>
    <t>CF76&lt;=CL76</t>
  </si>
  <si>
    <t>CG76&lt;=CM76</t>
  </si>
  <si>
    <t>CC77&lt;=CI77</t>
  </si>
  <si>
    <t>CD77&lt;=CJ77</t>
  </si>
  <si>
    <t>CE77&lt;=CK77</t>
  </si>
  <si>
    <t>CF77&lt;=CL77</t>
  </si>
  <si>
    <t>CG77&lt;=CM77</t>
  </si>
  <si>
    <t>CC78&lt;=CI78</t>
  </si>
  <si>
    <t>CD78&lt;=CJ78</t>
  </si>
  <si>
    <t>CE78&lt;=CK78</t>
  </si>
  <si>
    <t>CF78&lt;=CL78</t>
  </si>
  <si>
    <t>CG78&lt;=CM78</t>
  </si>
  <si>
    <t>CC79&lt;=CI79</t>
  </si>
  <si>
    <t>CD79&lt;=CJ79</t>
  </si>
  <si>
    <t>CE79&lt;=CK79</t>
  </si>
  <si>
    <t>CF79&lt;=CL79</t>
  </si>
  <si>
    <t>CG79&lt;=CM79</t>
  </si>
  <si>
    <t>CC80&lt;=CI80</t>
  </si>
  <si>
    <t>CD80&lt;=CJ80</t>
  </si>
  <si>
    <t>CE80&lt;=CK80</t>
  </si>
  <si>
    <t>CF80&lt;=CL80</t>
  </si>
  <si>
    <t>CG80&lt;=CM80</t>
  </si>
  <si>
    <t>CC81&lt;=CI81</t>
  </si>
  <si>
    <t>CD81&lt;=CJ81</t>
  </si>
  <si>
    <t>CE81&lt;=CK81</t>
  </si>
  <si>
    <t>CF81&lt;=CL81</t>
  </si>
  <si>
    <t>CG81&lt;=CM81</t>
  </si>
  <si>
    <t>CC82&lt;=CI82</t>
  </si>
  <si>
    <t>CD82&lt;=CJ82</t>
  </si>
  <si>
    <t>CE82&lt;=CK82</t>
  </si>
  <si>
    <t>CF82&lt;=CL82</t>
  </si>
  <si>
    <t>CG82&lt;=CM82</t>
  </si>
  <si>
    <t>CC83&lt;=CI83</t>
  </si>
  <si>
    <t>CD83&lt;=CJ83</t>
  </si>
  <si>
    <t>CE83&lt;=CK83</t>
  </si>
  <si>
    <t>CF83&lt;=CL83</t>
  </si>
  <si>
    <t>CG83&lt;=CM83</t>
  </si>
  <si>
    <t>CC84&lt;=CI84</t>
  </si>
  <si>
    <t>CD84&lt;=CJ84</t>
  </si>
  <si>
    <t>CE84&lt;=CK84</t>
  </si>
  <si>
    <t>CF84&lt;=CL84</t>
  </si>
  <si>
    <t>CG84&lt;=CM84</t>
  </si>
  <si>
    <t>CC85&lt;=CI85</t>
  </si>
  <si>
    <t>CD85&lt;=CJ85</t>
  </si>
  <si>
    <t>CE85&lt;=CK85</t>
  </si>
  <si>
    <t>CF85&lt;=CL85</t>
  </si>
  <si>
    <t>CG85&lt;=CM85</t>
  </si>
  <si>
    <t>CC86&lt;=CI86</t>
  </si>
  <si>
    <t>CD86&lt;=CJ86</t>
  </si>
  <si>
    <t>CE86&lt;=CK86</t>
  </si>
  <si>
    <t>CF86&lt;=CL86</t>
  </si>
  <si>
    <t>CG86&lt;=CM86</t>
  </si>
  <si>
    <t>CC87&lt;=CI87</t>
  </si>
  <si>
    <t>CD87&lt;=CJ87</t>
  </si>
  <si>
    <t>CE87&lt;=CK87</t>
  </si>
  <si>
    <t>CF87&lt;=CL87</t>
  </si>
  <si>
    <t>CG87&lt;=CM87</t>
  </si>
  <si>
    <t>Report Created: 11.01.2021 01:32:53</t>
  </si>
  <si>
    <t>j = allocation count index</t>
  </si>
  <si>
    <t>f(i,k)^(Bi)=j from 1 to 4 sum of (j)^(Bi)*X(i,j,k)</t>
  </si>
  <si>
    <t>f(i,k)=j from 1 to 4 sum of (j)*X(i,j,k)</t>
  </si>
  <si>
    <t>used for constrains</t>
  </si>
  <si>
    <t>used for objective function</t>
  </si>
  <si>
    <t>7-New Constrain: Products 3 and 8 must be in the same shelf if assorted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</si>
</sst>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3" xfId="1" applyFont="1" applyBorder="1"/>
    <xf numFmtId="0" fontId="2" fillId="0" borderId="4" xfId="0" applyFont="1" applyBorder="1"/>
    <xf numFmtId="0" fontId="2" fillId="0" borderId="2" xfId="1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5" xfId="1" applyFont="1" applyBorder="1"/>
    <xf numFmtId="0" fontId="2" fillId="0" borderId="0" xfId="1" applyFont="1" applyBorder="1"/>
    <xf numFmtId="0" fontId="3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9" xfId="0" applyFont="1" applyBorder="1"/>
    <xf numFmtId="0" fontId="3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11" xfId="0" applyFont="1" applyBorder="1"/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horizontal="left" vertical="center" wrapText="1" indent="5"/>
    </xf>
    <xf numFmtId="0" fontId="4" fillId="0" borderId="0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4" fillId="0" borderId="0" xfId="0" applyFont="1" applyBorder="1" applyAlignment="1">
      <alignment horizontal="right" vertical="center" indent="5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/>
    <xf numFmtId="0" fontId="4" fillId="0" borderId="5" xfId="0" applyFont="1" applyBorder="1" applyAlignment="1">
      <alignment horizontal="right" vertical="center" indent="5"/>
    </xf>
    <xf numFmtId="0" fontId="2" fillId="0" borderId="4" xfId="1" applyFont="1" applyBorder="1"/>
    <xf numFmtId="0" fontId="2" fillId="0" borderId="6" xfId="1" applyFont="1" applyBorder="1"/>
    <xf numFmtId="0" fontId="2" fillId="0" borderId="8" xfId="1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1" applyFont="1"/>
    <xf numFmtId="0" fontId="2" fillId="0" borderId="0" xfId="1" applyFont="1" applyFill="1"/>
    <xf numFmtId="0" fontId="2" fillId="0" borderId="0" xfId="1" applyFont="1" applyFill="1" applyBorder="1"/>
    <xf numFmtId="0" fontId="2" fillId="0" borderId="10" xfId="1" applyFont="1" applyBorder="1"/>
    <xf numFmtId="0" fontId="2" fillId="0" borderId="9" xfId="1" applyFont="1" applyBorder="1"/>
    <xf numFmtId="1" fontId="2" fillId="0" borderId="0" xfId="1" applyNumberFormat="1" applyFont="1" applyBorder="1"/>
    <xf numFmtId="0" fontId="4" fillId="0" borderId="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0" xfId="0" applyFont="1"/>
    <xf numFmtId="0" fontId="2" fillId="0" borderId="21" xfId="0" applyFont="1" applyBorder="1"/>
    <xf numFmtId="0" fontId="2" fillId="0" borderId="22" xfId="0" applyFont="1" applyBorder="1"/>
  </cellXfs>
  <cellStyles count="2">
    <cellStyle name="Normal" xfId="0" builtinId="0"/>
    <cellStyle name="Normal 2" xfId="1" xr:uid="{59B187D2-48F5-43E7-B528-D6E24A306F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38</xdr:col>
      <xdr:colOff>617219</xdr:colOff>
      <xdr:row>30</xdr:row>
      <xdr:rowOff>0</xdr:rowOff>
    </xdr:to>
    <xdr:sp macro="" textlink="">
      <xdr:nvSpPr>
        <xdr:cNvPr id="78" name="OpenSolver1">
          <a:extLst>
            <a:ext uri="{FF2B5EF4-FFF2-40B4-BE49-F238E27FC236}">
              <a16:creationId xmlns:a16="http://schemas.microsoft.com/office/drawing/2014/main" id="{1ABC0328-A141-4652-A514-70507B79AE26}"/>
            </a:ext>
          </a:extLst>
        </xdr:cNvPr>
        <xdr:cNvSpPr/>
      </xdr:nvSpPr>
      <xdr:spPr>
        <a:xfrm>
          <a:off x="22258020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731519</xdr:colOff>
      <xdr:row>5</xdr:row>
      <xdr:rowOff>0</xdr:rowOff>
    </xdr:from>
    <xdr:to>
      <xdr:col>46</xdr:col>
      <xdr:colOff>0</xdr:colOff>
      <xdr:row>30</xdr:row>
      <xdr:rowOff>0</xdr:rowOff>
    </xdr:to>
    <xdr:sp macro="" textlink="">
      <xdr:nvSpPr>
        <xdr:cNvPr id="79" name="OpenSolver2">
          <a:extLst>
            <a:ext uri="{FF2B5EF4-FFF2-40B4-BE49-F238E27FC236}">
              <a16:creationId xmlns:a16="http://schemas.microsoft.com/office/drawing/2014/main" id="{A342B5E4-F544-417B-91BA-803256B6126B}"/>
            </a:ext>
          </a:extLst>
        </xdr:cNvPr>
        <xdr:cNvSpPr/>
      </xdr:nvSpPr>
      <xdr:spPr>
        <a:xfrm>
          <a:off x="26814779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678179</xdr:colOff>
      <xdr:row>5</xdr:row>
      <xdr:rowOff>0</xdr:rowOff>
    </xdr:from>
    <xdr:to>
      <xdr:col>52</xdr:col>
      <xdr:colOff>609599</xdr:colOff>
      <xdr:row>30</xdr:row>
      <xdr:rowOff>0</xdr:rowOff>
    </xdr:to>
    <xdr:sp macro="" textlink="">
      <xdr:nvSpPr>
        <xdr:cNvPr id="80" name="OpenSolver3">
          <a:extLst>
            <a:ext uri="{FF2B5EF4-FFF2-40B4-BE49-F238E27FC236}">
              <a16:creationId xmlns:a16="http://schemas.microsoft.com/office/drawing/2014/main" id="{19D921BF-082B-47C2-AB76-CFFE18562C11}"/>
            </a:ext>
          </a:extLst>
        </xdr:cNvPr>
        <xdr:cNvSpPr/>
      </xdr:nvSpPr>
      <xdr:spPr>
        <a:xfrm>
          <a:off x="31234379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1</xdr:colOff>
      <xdr:row>5</xdr:row>
      <xdr:rowOff>0</xdr:rowOff>
    </xdr:from>
    <xdr:to>
      <xdr:col>60</xdr:col>
      <xdr:colOff>1</xdr:colOff>
      <xdr:row>30</xdr:row>
      <xdr:rowOff>0</xdr:rowOff>
    </xdr:to>
    <xdr:sp macro="" textlink="">
      <xdr:nvSpPr>
        <xdr:cNvPr id="81" name="OpenSolver4">
          <a:extLst>
            <a:ext uri="{FF2B5EF4-FFF2-40B4-BE49-F238E27FC236}">
              <a16:creationId xmlns:a16="http://schemas.microsoft.com/office/drawing/2014/main" id="{C2CBDDFC-AFE5-4E65-955B-D33FE6AF90A1}"/>
            </a:ext>
          </a:extLst>
        </xdr:cNvPr>
        <xdr:cNvSpPr/>
      </xdr:nvSpPr>
      <xdr:spPr>
        <a:xfrm>
          <a:off x="3557016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82" name="OpenSolver5">
          <a:extLst>
            <a:ext uri="{FF2B5EF4-FFF2-40B4-BE49-F238E27FC236}">
              <a16:creationId xmlns:a16="http://schemas.microsoft.com/office/drawing/2014/main" id="{B4FCC519-DF5B-4D59-89D1-E9707772DBE7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83" name="OpenSolver6">
          <a:extLst>
            <a:ext uri="{FF2B5EF4-FFF2-40B4-BE49-F238E27FC236}">
              <a16:creationId xmlns:a16="http://schemas.microsoft.com/office/drawing/2014/main" id="{B1F7A098-5BF3-4AFA-B250-DB8AEE8C92B0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1</xdr:rowOff>
    </xdr:to>
    <xdr:sp macro="" textlink="">
      <xdr:nvSpPr>
        <xdr:cNvPr id="84" name="OpenSolver7">
          <a:extLst>
            <a:ext uri="{FF2B5EF4-FFF2-40B4-BE49-F238E27FC236}">
              <a16:creationId xmlns:a16="http://schemas.microsoft.com/office/drawing/2014/main" id="{1C4B7D13-4FEA-4F75-8B5E-FFFDC2C9EB96}"/>
            </a:ext>
          </a:extLst>
        </xdr:cNvPr>
        <xdr:cNvSpPr/>
      </xdr:nvSpPr>
      <xdr:spPr>
        <a:xfrm>
          <a:off x="1485900" y="12329160"/>
          <a:ext cx="75438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1</xdr:rowOff>
    </xdr:to>
    <xdr:sp macro="" textlink="">
      <xdr:nvSpPr>
        <xdr:cNvPr id="85" name="OpenSolver8">
          <a:extLst>
            <a:ext uri="{FF2B5EF4-FFF2-40B4-BE49-F238E27FC236}">
              <a16:creationId xmlns:a16="http://schemas.microsoft.com/office/drawing/2014/main" id="{213B9961-A24B-4325-8794-85AE6E511D86}"/>
            </a:ext>
          </a:extLst>
        </xdr:cNvPr>
        <xdr:cNvSpPr/>
      </xdr:nvSpPr>
      <xdr:spPr>
        <a:xfrm>
          <a:off x="31089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99061</xdr:rowOff>
    </xdr:from>
    <xdr:to>
      <xdr:col>4</xdr:col>
      <xdr:colOff>0</xdr:colOff>
      <xdr:row>74</xdr:row>
      <xdr:rowOff>99061</xdr:rowOff>
    </xdr:to>
    <xdr:cxnSp macro="">
      <xdr:nvCxnSpPr>
        <xdr:cNvPr id="86" name="OpenSolver9">
          <a:extLst>
            <a:ext uri="{FF2B5EF4-FFF2-40B4-BE49-F238E27FC236}">
              <a16:creationId xmlns:a16="http://schemas.microsoft.com/office/drawing/2014/main" id="{36E13004-7DB2-49E4-B4F7-C41D0736D046}"/>
            </a:ext>
          </a:extLst>
        </xdr:cNvPr>
        <xdr:cNvCxnSpPr>
          <a:stCxn id="84" idx="3"/>
          <a:endCxn id="85" idx="1"/>
        </xdr:cNvCxnSpPr>
      </xdr:nvCxnSpPr>
      <xdr:spPr>
        <a:xfrm>
          <a:off x="2240280" y="14805661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170181</xdr:rowOff>
    </xdr:from>
    <xdr:to>
      <xdr:col>3</xdr:col>
      <xdr:colOff>624840</xdr:colOff>
      <xdr:row>75</xdr:row>
      <xdr:rowOff>27941</xdr:rowOff>
    </xdr:to>
    <xdr:sp macro="" textlink="">
      <xdr:nvSpPr>
        <xdr:cNvPr id="87" name="OpenSolver10">
          <a:extLst>
            <a:ext uri="{FF2B5EF4-FFF2-40B4-BE49-F238E27FC236}">
              <a16:creationId xmlns:a16="http://schemas.microsoft.com/office/drawing/2014/main" id="{5C6AC16B-5E9E-4926-8F6A-0D29875EDAE5}"/>
            </a:ext>
          </a:extLst>
        </xdr:cNvPr>
        <xdr:cNvSpPr/>
      </xdr:nvSpPr>
      <xdr:spPr>
        <a:xfrm>
          <a:off x="248412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1</xdr:rowOff>
    </xdr:to>
    <xdr:sp macro="" textlink="">
      <xdr:nvSpPr>
        <xdr:cNvPr id="88" name="OpenSolver11">
          <a:extLst>
            <a:ext uri="{FF2B5EF4-FFF2-40B4-BE49-F238E27FC236}">
              <a16:creationId xmlns:a16="http://schemas.microsoft.com/office/drawing/2014/main" id="{209CE62E-9836-4BEF-84BA-D04C5E3D079F}"/>
            </a:ext>
          </a:extLst>
        </xdr:cNvPr>
        <xdr:cNvSpPr/>
      </xdr:nvSpPr>
      <xdr:spPr>
        <a:xfrm>
          <a:off x="51054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1</xdr:rowOff>
    </xdr:to>
    <xdr:sp macro="" textlink="">
      <xdr:nvSpPr>
        <xdr:cNvPr id="89" name="OpenSolver12">
          <a:extLst>
            <a:ext uri="{FF2B5EF4-FFF2-40B4-BE49-F238E27FC236}">
              <a16:creationId xmlns:a16="http://schemas.microsoft.com/office/drawing/2014/main" id="{9898B303-1B8A-4C15-97D6-7767114BABA4}"/>
            </a:ext>
          </a:extLst>
        </xdr:cNvPr>
        <xdr:cNvSpPr/>
      </xdr:nvSpPr>
      <xdr:spPr>
        <a:xfrm>
          <a:off x="65532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99061</xdr:rowOff>
    </xdr:from>
    <xdr:to>
      <xdr:col>9</xdr:col>
      <xdr:colOff>0</xdr:colOff>
      <xdr:row>74</xdr:row>
      <xdr:rowOff>99061</xdr:rowOff>
    </xdr:to>
    <xdr:cxnSp macro="">
      <xdr:nvCxnSpPr>
        <xdr:cNvPr id="90" name="OpenSolver13">
          <a:extLst>
            <a:ext uri="{FF2B5EF4-FFF2-40B4-BE49-F238E27FC236}">
              <a16:creationId xmlns:a16="http://schemas.microsoft.com/office/drawing/2014/main" id="{453A05F1-E5E0-4395-A4C0-97AAFB1090F2}"/>
            </a:ext>
          </a:extLst>
        </xdr:cNvPr>
        <xdr:cNvCxnSpPr>
          <a:stCxn id="88" idx="3"/>
          <a:endCxn id="89" idx="1"/>
        </xdr:cNvCxnSpPr>
      </xdr:nvCxnSpPr>
      <xdr:spPr>
        <a:xfrm>
          <a:off x="5722620" y="14805661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170181</xdr:rowOff>
    </xdr:from>
    <xdr:to>
      <xdr:col>8</xdr:col>
      <xdr:colOff>605790</xdr:colOff>
      <xdr:row>75</xdr:row>
      <xdr:rowOff>27941</xdr:rowOff>
    </xdr:to>
    <xdr:sp macro="" textlink="">
      <xdr:nvSpPr>
        <xdr:cNvPr id="91" name="OpenSolver14">
          <a:extLst>
            <a:ext uri="{FF2B5EF4-FFF2-40B4-BE49-F238E27FC236}">
              <a16:creationId xmlns:a16="http://schemas.microsoft.com/office/drawing/2014/main" id="{5CDD051E-8482-4CF1-965E-33F29246E2BE}"/>
            </a:ext>
          </a:extLst>
        </xdr:cNvPr>
        <xdr:cNvSpPr/>
      </xdr:nvSpPr>
      <xdr:spPr>
        <a:xfrm>
          <a:off x="594741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1</xdr:rowOff>
    </xdr:to>
    <xdr:sp macro="" textlink="">
      <xdr:nvSpPr>
        <xdr:cNvPr id="92" name="OpenSolver15">
          <a:extLst>
            <a:ext uri="{FF2B5EF4-FFF2-40B4-BE49-F238E27FC236}">
              <a16:creationId xmlns:a16="http://schemas.microsoft.com/office/drawing/2014/main" id="{D80B1B14-3A03-4BC2-9261-8C74E73634C0}"/>
            </a:ext>
          </a:extLst>
        </xdr:cNvPr>
        <xdr:cNvSpPr/>
      </xdr:nvSpPr>
      <xdr:spPr>
        <a:xfrm>
          <a:off x="84048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1</xdr:rowOff>
    </xdr:to>
    <xdr:sp macro="" textlink="">
      <xdr:nvSpPr>
        <xdr:cNvPr id="93" name="OpenSolver16">
          <a:extLst>
            <a:ext uri="{FF2B5EF4-FFF2-40B4-BE49-F238E27FC236}">
              <a16:creationId xmlns:a16="http://schemas.microsoft.com/office/drawing/2014/main" id="{F4655F56-9469-416C-B2B2-96084DAD59E5}"/>
            </a:ext>
          </a:extLst>
        </xdr:cNvPr>
        <xdr:cNvSpPr/>
      </xdr:nvSpPr>
      <xdr:spPr>
        <a:xfrm>
          <a:off x="96393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99061</xdr:rowOff>
    </xdr:from>
    <xdr:to>
      <xdr:col>14</xdr:col>
      <xdr:colOff>0</xdr:colOff>
      <xdr:row>74</xdr:row>
      <xdr:rowOff>99061</xdr:rowOff>
    </xdr:to>
    <xdr:cxnSp macro="">
      <xdr:nvCxnSpPr>
        <xdr:cNvPr id="94" name="OpenSolver17">
          <a:extLst>
            <a:ext uri="{FF2B5EF4-FFF2-40B4-BE49-F238E27FC236}">
              <a16:creationId xmlns:a16="http://schemas.microsoft.com/office/drawing/2014/main" id="{6092337C-4774-4D1F-A1FF-35247999F96E}"/>
            </a:ext>
          </a:extLst>
        </xdr:cNvPr>
        <xdr:cNvCxnSpPr>
          <a:stCxn id="92" idx="3"/>
          <a:endCxn id="93" idx="1"/>
        </xdr:cNvCxnSpPr>
      </xdr:nvCxnSpPr>
      <xdr:spPr>
        <a:xfrm>
          <a:off x="9022080" y="14805661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170181</xdr:rowOff>
    </xdr:from>
    <xdr:to>
      <xdr:col>13</xdr:col>
      <xdr:colOff>499110</xdr:colOff>
      <xdr:row>75</xdr:row>
      <xdr:rowOff>27941</xdr:rowOff>
    </xdr:to>
    <xdr:sp macro="" textlink="">
      <xdr:nvSpPr>
        <xdr:cNvPr id="95" name="OpenSolver18">
          <a:extLst>
            <a:ext uri="{FF2B5EF4-FFF2-40B4-BE49-F238E27FC236}">
              <a16:creationId xmlns:a16="http://schemas.microsoft.com/office/drawing/2014/main" id="{81581D8C-B245-4DD5-9F4B-5A9648C3B392}"/>
            </a:ext>
          </a:extLst>
        </xdr:cNvPr>
        <xdr:cNvSpPr/>
      </xdr:nvSpPr>
      <xdr:spPr>
        <a:xfrm>
          <a:off x="914019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17</xdr:col>
      <xdr:colOff>617219</xdr:colOff>
      <xdr:row>67</xdr:row>
      <xdr:rowOff>1</xdr:rowOff>
    </xdr:to>
    <xdr:sp macro="" textlink="">
      <xdr:nvSpPr>
        <xdr:cNvPr id="96" name="OpenSolver19">
          <a:extLst>
            <a:ext uri="{FF2B5EF4-FFF2-40B4-BE49-F238E27FC236}">
              <a16:creationId xmlns:a16="http://schemas.microsoft.com/office/drawing/2014/main" id="{B5CEBA30-06F2-4F5B-B472-18CC2CF4BCA5}"/>
            </a:ext>
          </a:extLst>
        </xdr:cNvPr>
        <xdr:cNvSpPr/>
      </xdr:nvSpPr>
      <xdr:spPr>
        <a:xfrm>
          <a:off x="11551920" y="12329160"/>
          <a:ext cx="617219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1</xdr:colOff>
      <xdr:row>67</xdr:row>
      <xdr:rowOff>1</xdr:rowOff>
    </xdr:to>
    <xdr:sp macro="" textlink="">
      <xdr:nvSpPr>
        <xdr:cNvPr id="97" name="OpenSolver20">
          <a:extLst>
            <a:ext uri="{FF2B5EF4-FFF2-40B4-BE49-F238E27FC236}">
              <a16:creationId xmlns:a16="http://schemas.microsoft.com/office/drawing/2014/main" id="{F48FB8E4-3AF6-42E3-B3CB-D8FEA96C9035}"/>
            </a:ext>
          </a:extLst>
        </xdr:cNvPr>
        <xdr:cNvSpPr/>
      </xdr:nvSpPr>
      <xdr:spPr>
        <a:xfrm>
          <a:off x="12778740" y="12329160"/>
          <a:ext cx="617221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17</xdr:col>
      <xdr:colOff>617219</xdr:colOff>
      <xdr:row>64</xdr:row>
      <xdr:rowOff>99061</xdr:rowOff>
    </xdr:from>
    <xdr:to>
      <xdr:col>19</xdr:col>
      <xdr:colOff>0</xdr:colOff>
      <xdr:row>64</xdr:row>
      <xdr:rowOff>99061</xdr:rowOff>
    </xdr:to>
    <xdr:cxnSp macro="">
      <xdr:nvCxnSpPr>
        <xdr:cNvPr id="98" name="OpenSolver21">
          <a:extLst>
            <a:ext uri="{FF2B5EF4-FFF2-40B4-BE49-F238E27FC236}">
              <a16:creationId xmlns:a16="http://schemas.microsoft.com/office/drawing/2014/main" id="{F861840B-CE2B-41B0-8A3D-DAFED86629AA}"/>
            </a:ext>
          </a:extLst>
        </xdr:cNvPr>
        <xdr:cNvCxnSpPr>
          <a:stCxn id="96" idx="3"/>
          <a:endCxn id="97" idx="1"/>
        </xdr:cNvCxnSpPr>
      </xdr:nvCxnSpPr>
      <xdr:spPr>
        <a:xfrm>
          <a:off x="12169139" y="12824461"/>
          <a:ext cx="609601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170181</xdr:rowOff>
    </xdr:from>
    <xdr:to>
      <xdr:col>18</xdr:col>
      <xdr:colOff>495300</xdr:colOff>
      <xdr:row>65</xdr:row>
      <xdr:rowOff>27941</xdr:rowOff>
    </xdr:to>
    <xdr:sp macro="" textlink="">
      <xdr:nvSpPr>
        <xdr:cNvPr id="99" name="OpenSolver22">
          <a:extLst>
            <a:ext uri="{FF2B5EF4-FFF2-40B4-BE49-F238E27FC236}">
              <a16:creationId xmlns:a16="http://schemas.microsoft.com/office/drawing/2014/main" id="{B0E82737-08DA-446C-842E-7894EA982429}"/>
            </a:ext>
          </a:extLst>
        </xdr:cNvPr>
        <xdr:cNvSpPr/>
      </xdr:nvSpPr>
      <xdr:spPr>
        <a:xfrm>
          <a:off x="12283440" y="126974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65</xdr:row>
      <xdr:rowOff>198119</xdr:rowOff>
    </xdr:to>
    <xdr:sp macro="" textlink="">
      <xdr:nvSpPr>
        <xdr:cNvPr id="100" name="OpenSolver23">
          <a:extLst>
            <a:ext uri="{FF2B5EF4-FFF2-40B4-BE49-F238E27FC236}">
              <a16:creationId xmlns:a16="http://schemas.microsoft.com/office/drawing/2014/main" id="{760B8027-7349-430E-B010-C15F61AF4715}"/>
            </a:ext>
          </a:extLst>
        </xdr:cNvPr>
        <xdr:cNvSpPr/>
      </xdr:nvSpPr>
      <xdr:spPr>
        <a:xfrm>
          <a:off x="1462278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65</xdr:row>
      <xdr:rowOff>198119</xdr:rowOff>
    </xdr:to>
    <xdr:sp macro="" textlink="">
      <xdr:nvSpPr>
        <xdr:cNvPr id="101" name="OpenSolver24">
          <a:extLst>
            <a:ext uri="{FF2B5EF4-FFF2-40B4-BE49-F238E27FC236}">
              <a16:creationId xmlns:a16="http://schemas.microsoft.com/office/drawing/2014/main" id="{ED2FA4B2-3F2A-4D83-BC91-EDA50F8BB0A5}"/>
            </a:ext>
          </a:extLst>
        </xdr:cNvPr>
        <xdr:cNvSpPr/>
      </xdr:nvSpPr>
      <xdr:spPr>
        <a:xfrm>
          <a:off x="1592580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0</xdr:colOff>
      <xdr:row>64</xdr:row>
      <xdr:rowOff>0</xdr:rowOff>
    </xdr:to>
    <xdr:cxnSp macro="">
      <xdr:nvCxnSpPr>
        <xdr:cNvPr id="102" name="OpenSolver25">
          <a:extLst>
            <a:ext uri="{FF2B5EF4-FFF2-40B4-BE49-F238E27FC236}">
              <a16:creationId xmlns:a16="http://schemas.microsoft.com/office/drawing/2014/main" id="{E6A58FD4-6EAE-4B35-AA76-6BDFE590E5B8}"/>
            </a:ext>
          </a:extLst>
        </xdr:cNvPr>
        <xdr:cNvCxnSpPr>
          <a:stCxn id="100" idx="3"/>
          <a:endCxn id="101" idx="1"/>
        </xdr:cNvCxnSpPr>
      </xdr:nvCxnSpPr>
      <xdr:spPr>
        <a:xfrm>
          <a:off x="15240000" y="1272540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63</xdr:row>
      <xdr:rowOff>71120</xdr:rowOff>
    </xdr:from>
    <xdr:to>
      <xdr:col>23</xdr:col>
      <xdr:colOff>533400</xdr:colOff>
      <xdr:row>64</xdr:row>
      <xdr:rowOff>127000</xdr:rowOff>
    </xdr:to>
    <xdr:sp macro="" textlink="">
      <xdr:nvSpPr>
        <xdr:cNvPr id="103" name="OpenSolver26">
          <a:extLst>
            <a:ext uri="{FF2B5EF4-FFF2-40B4-BE49-F238E27FC236}">
              <a16:creationId xmlns:a16="http://schemas.microsoft.com/office/drawing/2014/main" id="{89803477-9F71-4F39-AE30-E10CA4B04305}"/>
            </a:ext>
          </a:extLst>
        </xdr:cNvPr>
        <xdr:cNvSpPr/>
      </xdr:nvSpPr>
      <xdr:spPr>
        <a:xfrm>
          <a:off x="15392400" y="12598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1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104" name="OpenSolver27">
          <a:extLst>
            <a:ext uri="{FF2B5EF4-FFF2-40B4-BE49-F238E27FC236}">
              <a16:creationId xmlns:a16="http://schemas.microsoft.com/office/drawing/2014/main" id="{6280D681-F93F-4AC6-B4A3-A14490A9B231}"/>
            </a:ext>
          </a:extLst>
        </xdr:cNvPr>
        <xdr:cNvSpPr/>
      </xdr:nvSpPr>
      <xdr:spPr>
        <a:xfrm>
          <a:off x="17777461" y="12329160"/>
          <a:ext cx="3131819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38</xdr:col>
      <xdr:colOff>0</xdr:colOff>
      <xdr:row>65</xdr:row>
      <xdr:rowOff>0</xdr:rowOff>
    </xdr:to>
    <xdr:sp macro="" textlink="">
      <xdr:nvSpPr>
        <xdr:cNvPr id="105" name="OpenSolver28">
          <a:extLst>
            <a:ext uri="{FF2B5EF4-FFF2-40B4-BE49-F238E27FC236}">
              <a16:creationId xmlns:a16="http://schemas.microsoft.com/office/drawing/2014/main" id="{A6081EE9-C81F-434D-B417-0BFEB682EC8D}"/>
            </a:ext>
          </a:extLst>
        </xdr:cNvPr>
        <xdr:cNvSpPr/>
      </xdr:nvSpPr>
      <xdr:spPr>
        <a:xfrm>
          <a:off x="21526500" y="12329160"/>
          <a:ext cx="3322320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33</xdr:col>
      <xdr:colOff>0</xdr:colOff>
      <xdr:row>63</xdr:row>
      <xdr:rowOff>99060</xdr:rowOff>
    </xdr:to>
    <xdr:cxnSp macro="">
      <xdr:nvCxnSpPr>
        <xdr:cNvPr id="106" name="OpenSolver29">
          <a:extLst>
            <a:ext uri="{FF2B5EF4-FFF2-40B4-BE49-F238E27FC236}">
              <a16:creationId xmlns:a16="http://schemas.microsoft.com/office/drawing/2014/main" id="{44B38B33-09B5-4D5A-87FF-64F88FBB83A7}"/>
            </a:ext>
          </a:extLst>
        </xdr:cNvPr>
        <xdr:cNvCxnSpPr>
          <a:stCxn id="104" idx="3"/>
          <a:endCxn id="105" idx="1"/>
        </xdr:cNvCxnSpPr>
      </xdr:nvCxnSpPr>
      <xdr:spPr>
        <a:xfrm>
          <a:off x="20909280" y="12626340"/>
          <a:ext cx="61722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118111</xdr:colOff>
      <xdr:row>62</xdr:row>
      <xdr:rowOff>170180</xdr:rowOff>
    </xdr:from>
    <xdr:to>
      <xdr:col>32</xdr:col>
      <xdr:colOff>499111</xdr:colOff>
      <xdr:row>64</xdr:row>
      <xdr:rowOff>27940</xdr:rowOff>
    </xdr:to>
    <xdr:sp macro="" textlink="">
      <xdr:nvSpPr>
        <xdr:cNvPr id="107" name="OpenSolver30">
          <a:extLst>
            <a:ext uri="{FF2B5EF4-FFF2-40B4-BE49-F238E27FC236}">
              <a16:creationId xmlns:a16="http://schemas.microsoft.com/office/drawing/2014/main" id="{B8E786BE-8ED7-40B5-AB56-5B01F4CAE9CD}"/>
            </a:ext>
          </a:extLst>
        </xdr:cNvPr>
        <xdr:cNvSpPr/>
      </xdr:nvSpPr>
      <xdr:spPr>
        <a:xfrm>
          <a:off x="21027391" y="1249934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70</xdr:row>
      <xdr:rowOff>198119</xdr:rowOff>
    </xdr:from>
    <xdr:to>
      <xdr:col>23</xdr:col>
      <xdr:colOff>0</xdr:colOff>
      <xdr:row>75</xdr:row>
      <xdr:rowOff>198119</xdr:rowOff>
    </xdr:to>
    <xdr:sp macro="" textlink="">
      <xdr:nvSpPr>
        <xdr:cNvPr id="108" name="OpenSolver31">
          <a:extLst>
            <a:ext uri="{FF2B5EF4-FFF2-40B4-BE49-F238E27FC236}">
              <a16:creationId xmlns:a16="http://schemas.microsoft.com/office/drawing/2014/main" id="{6A2C1F76-F79B-4113-AE4F-D38155647CD8}"/>
            </a:ext>
          </a:extLst>
        </xdr:cNvPr>
        <xdr:cNvSpPr/>
      </xdr:nvSpPr>
      <xdr:spPr>
        <a:xfrm>
          <a:off x="14622780" y="14112239"/>
          <a:ext cx="617220" cy="9906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24</xdr:col>
      <xdr:colOff>0</xdr:colOff>
      <xdr:row>70</xdr:row>
      <xdr:rowOff>198119</xdr:rowOff>
    </xdr:from>
    <xdr:to>
      <xdr:col>25</xdr:col>
      <xdr:colOff>0</xdr:colOff>
      <xdr:row>75</xdr:row>
      <xdr:rowOff>198119</xdr:rowOff>
    </xdr:to>
    <xdr:sp macro="" textlink="">
      <xdr:nvSpPr>
        <xdr:cNvPr id="109" name="OpenSolver32">
          <a:extLst>
            <a:ext uri="{FF2B5EF4-FFF2-40B4-BE49-F238E27FC236}">
              <a16:creationId xmlns:a16="http://schemas.microsoft.com/office/drawing/2014/main" id="{3108B472-69A1-4FFE-80CB-6E9DBB75CD9A}"/>
            </a:ext>
          </a:extLst>
        </xdr:cNvPr>
        <xdr:cNvSpPr/>
      </xdr:nvSpPr>
      <xdr:spPr>
        <a:xfrm>
          <a:off x="15925800" y="14112239"/>
          <a:ext cx="617220" cy="9906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CC0099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73</xdr:row>
      <xdr:rowOff>99059</xdr:rowOff>
    </xdr:from>
    <xdr:to>
      <xdr:col>24</xdr:col>
      <xdr:colOff>0</xdr:colOff>
      <xdr:row>73</xdr:row>
      <xdr:rowOff>99059</xdr:rowOff>
    </xdr:to>
    <xdr:cxnSp macro="">
      <xdr:nvCxnSpPr>
        <xdr:cNvPr id="110" name="OpenSolver33">
          <a:extLst>
            <a:ext uri="{FF2B5EF4-FFF2-40B4-BE49-F238E27FC236}">
              <a16:creationId xmlns:a16="http://schemas.microsoft.com/office/drawing/2014/main" id="{0200D30D-255E-48FE-8CC6-BDEDDDAA403B}"/>
            </a:ext>
          </a:extLst>
        </xdr:cNvPr>
        <xdr:cNvCxnSpPr>
          <a:stCxn id="108" idx="3"/>
          <a:endCxn id="109" idx="1"/>
        </xdr:cNvCxnSpPr>
      </xdr:nvCxnSpPr>
      <xdr:spPr>
        <a:xfrm>
          <a:off x="15240000" y="14607539"/>
          <a:ext cx="685800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72</xdr:row>
      <xdr:rowOff>170179</xdr:rowOff>
    </xdr:from>
    <xdr:to>
      <xdr:col>23</xdr:col>
      <xdr:colOff>533400</xdr:colOff>
      <xdr:row>74</xdr:row>
      <xdr:rowOff>27939</xdr:rowOff>
    </xdr:to>
    <xdr:sp macro="" textlink="">
      <xdr:nvSpPr>
        <xdr:cNvPr id="111" name="OpenSolver34">
          <a:extLst>
            <a:ext uri="{FF2B5EF4-FFF2-40B4-BE49-F238E27FC236}">
              <a16:creationId xmlns:a16="http://schemas.microsoft.com/office/drawing/2014/main" id="{AF995997-BE07-4B79-9153-7FC7947C6420}"/>
            </a:ext>
          </a:extLst>
        </xdr:cNvPr>
        <xdr:cNvSpPr/>
      </xdr:nvSpPr>
      <xdr:spPr>
        <a:xfrm>
          <a:off x="15489382" y="14218688"/>
          <a:ext cx="381000" cy="245687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38</xdr:col>
      <xdr:colOff>617219</xdr:colOff>
      <xdr:row>30</xdr:row>
      <xdr:rowOff>0</xdr:rowOff>
    </xdr:to>
    <xdr:sp macro="" textlink="">
      <xdr:nvSpPr>
        <xdr:cNvPr id="112" name="OpenSolver35">
          <a:extLst>
            <a:ext uri="{FF2B5EF4-FFF2-40B4-BE49-F238E27FC236}">
              <a16:creationId xmlns:a16="http://schemas.microsoft.com/office/drawing/2014/main" id="{5A50E7DD-D84F-47E2-B8F5-36D00EA3B71F}"/>
            </a:ext>
          </a:extLst>
        </xdr:cNvPr>
        <xdr:cNvSpPr/>
      </xdr:nvSpPr>
      <xdr:spPr>
        <a:xfrm>
          <a:off x="22270720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5080</xdr:colOff>
      <xdr:row>4</xdr:row>
      <xdr:rowOff>139700</xdr:rowOff>
    </xdr:from>
    <xdr:to>
      <xdr:col>34</xdr:col>
      <xdr:colOff>326322</xdr:colOff>
      <xdr:row>5</xdr:row>
      <xdr:rowOff>68580</xdr:rowOff>
    </xdr:to>
    <xdr:sp macro="" textlink="">
      <xdr:nvSpPr>
        <xdr:cNvPr id="113" name="OpenSolver36">
          <a:extLst>
            <a:ext uri="{FF2B5EF4-FFF2-40B4-BE49-F238E27FC236}">
              <a16:creationId xmlns:a16="http://schemas.microsoft.com/office/drawing/2014/main" id="{3DD1D675-273E-49AD-B1EF-CB44C4D24830}"/>
            </a:ext>
          </a:extLst>
        </xdr:cNvPr>
        <xdr:cNvSpPr/>
      </xdr:nvSpPr>
      <xdr:spPr>
        <a:xfrm>
          <a:off x="22263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12699</xdr:colOff>
      <xdr:row>5</xdr:row>
      <xdr:rowOff>12700</xdr:rowOff>
    </xdr:from>
    <xdr:to>
      <xdr:col>46</xdr:col>
      <xdr:colOff>0</xdr:colOff>
      <xdr:row>30</xdr:row>
      <xdr:rowOff>0</xdr:rowOff>
    </xdr:to>
    <xdr:sp macro="" textlink="">
      <xdr:nvSpPr>
        <xdr:cNvPr id="114" name="OpenSolver37">
          <a:extLst>
            <a:ext uri="{FF2B5EF4-FFF2-40B4-BE49-F238E27FC236}">
              <a16:creationId xmlns:a16="http://schemas.microsoft.com/office/drawing/2014/main" id="{6F828920-99BD-4060-ABB9-210FA60B079C}"/>
            </a:ext>
          </a:extLst>
        </xdr:cNvPr>
        <xdr:cNvSpPr/>
      </xdr:nvSpPr>
      <xdr:spPr>
        <a:xfrm>
          <a:off x="26827479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726440</xdr:colOff>
      <xdr:row>4</xdr:row>
      <xdr:rowOff>139700</xdr:rowOff>
    </xdr:from>
    <xdr:to>
      <xdr:col>41</xdr:col>
      <xdr:colOff>316162</xdr:colOff>
      <xdr:row>5</xdr:row>
      <xdr:rowOff>68580</xdr:rowOff>
    </xdr:to>
    <xdr:sp macro="" textlink="">
      <xdr:nvSpPr>
        <xdr:cNvPr id="115" name="OpenSolver38">
          <a:extLst>
            <a:ext uri="{FF2B5EF4-FFF2-40B4-BE49-F238E27FC236}">
              <a16:creationId xmlns:a16="http://schemas.microsoft.com/office/drawing/2014/main" id="{99DC5434-0ACA-4BED-9D4F-6D2350D112EE}"/>
            </a:ext>
          </a:extLst>
        </xdr:cNvPr>
        <xdr:cNvSpPr/>
      </xdr:nvSpPr>
      <xdr:spPr>
        <a:xfrm>
          <a:off x="26809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12699</xdr:colOff>
      <xdr:row>5</xdr:row>
      <xdr:rowOff>12700</xdr:rowOff>
    </xdr:from>
    <xdr:to>
      <xdr:col>52</xdr:col>
      <xdr:colOff>609599</xdr:colOff>
      <xdr:row>30</xdr:row>
      <xdr:rowOff>0</xdr:rowOff>
    </xdr:to>
    <xdr:sp macro="" textlink="">
      <xdr:nvSpPr>
        <xdr:cNvPr id="116" name="OpenSolver39">
          <a:extLst>
            <a:ext uri="{FF2B5EF4-FFF2-40B4-BE49-F238E27FC236}">
              <a16:creationId xmlns:a16="http://schemas.microsoft.com/office/drawing/2014/main" id="{6B784EA4-6E04-42BF-A9D5-AD91B71FC08F}"/>
            </a:ext>
          </a:extLst>
        </xdr:cNvPr>
        <xdr:cNvSpPr/>
      </xdr:nvSpPr>
      <xdr:spPr>
        <a:xfrm>
          <a:off x="31247079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673100</xdr:colOff>
      <xdr:row>4</xdr:row>
      <xdr:rowOff>139700</xdr:rowOff>
    </xdr:from>
    <xdr:to>
      <xdr:col>48</xdr:col>
      <xdr:colOff>316162</xdr:colOff>
      <xdr:row>5</xdr:row>
      <xdr:rowOff>68580</xdr:rowOff>
    </xdr:to>
    <xdr:sp macro="" textlink="">
      <xdr:nvSpPr>
        <xdr:cNvPr id="117" name="OpenSolver40">
          <a:extLst>
            <a:ext uri="{FF2B5EF4-FFF2-40B4-BE49-F238E27FC236}">
              <a16:creationId xmlns:a16="http://schemas.microsoft.com/office/drawing/2014/main" id="{4E397ADA-0F65-4C4C-B290-A736D810958B}"/>
            </a:ext>
          </a:extLst>
        </xdr:cNvPr>
        <xdr:cNvSpPr/>
      </xdr:nvSpPr>
      <xdr:spPr>
        <a:xfrm>
          <a:off x="31229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12701</xdr:colOff>
      <xdr:row>5</xdr:row>
      <xdr:rowOff>12700</xdr:rowOff>
    </xdr:from>
    <xdr:to>
      <xdr:col>60</xdr:col>
      <xdr:colOff>1</xdr:colOff>
      <xdr:row>30</xdr:row>
      <xdr:rowOff>0</xdr:rowOff>
    </xdr:to>
    <xdr:sp macro="" textlink="">
      <xdr:nvSpPr>
        <xdr:cNvPr id="118" name="OpenSolver41">
          <a:extLst>
            <a:ext uri="{FF2B5EF4-FFF2-40B4-BE49-F238E27FC236}">
              <a16:creationId xmlns:a16="http://schemas.microsoft.com/office/drawing/2014/main" id="{3D6257EF-8C83-421F-B7DA-5DAC2DBC5246}"/>
            </a:ext>
          </a:extLst>
        </xdr:cNvPr>
        <xdr:cNvSpPr/>
      </xdr:nvSpPr>
      <xdr:spPr>
        <a:xfrm>
          <a:off x="3558286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2540</xdr:colOff>
      <xdr:row>4</xdr:row>
      <xdr:rowOff>139700</xdr:rowOff>
    </xdr:from>
    <xdr:to>
      <xdr:col>55</xdr:col>
      <xdr:colOff>323782</xdr:colOff>
      <xdr:row>5</xdr:row>
      <xdr:rowOff>68580</xdr:rowOff>
    </xdr:to>
    <xdr:sp macro="" textlink="">
      <xdr:nvSpPr>
        <xdr:cNvPr id="119" name="OpenSolver42">
          <a:extLst>
            <a:ext uri="{FF2B5EF4-FFF2-40B4-BE49-F238E27FC236}">
              <a16:creationId xmlns:a16="http://schemas.microsoft.com/office/drawing/2014/main" id="{4BE3D936-27D7-4D61-8F8F-60339FCABCC9}"/>
            </a:ext>
          </a:extLst>
        </xdr:cNvPr>
        <xdr:cNvSpPr/>
      </xdr:nvSpPr>
      <xdr:spPr>
        <a:xfrm>
          <a:off x="35572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F775-B2FF-4E4F-8C33-CE9A4FBF8F7B}">
  <dimension ref="A1:H1109"/>
  <sheetViews>
    <sheetView showGridLines="0" workbookViewId="0">
      <selection activeCell="B6" sqref="B6:H6"/>
    </sheetView>
  </sheetViews>
  <sheetFormatPr defaultRowHeight="14.4" x14ac:dyDescent="0.3"/>
  <cols>
    <col min="1" max="1" width="5.77734375" style="56" customWidth="1"/>
    <col min="2" max="2" width="12.33203125" bestFit="1" customWidth="1"/>
    <col min="3" max="3" width="30.77734375" bestFit="1" customWidth="1"/>
    <col min="4" max="4" width="12" bestFit="1" customWidth="1"/>
    <col min="5" max="5" width="12.88671875" bestFit="1" customWidth="1"/>
    <col min="6" max="6" width="13.77734375" bestFit="1" customWidth="1"/>
    <col min="7" max="7" width="16.44140625" bestFit="1" customWidth="1"/>
    <col min="8" max="8" width="17.21875" bestFit="1" customWidth="1"/>
  </cols>
  <sheetData>
    <row r="1" spans="1:8" ht="15" x14ac:dyDescent="0.3">
      <c r="A1" s="56" t="s">
        <v>40</v>
      </c>
    </row>
    <row r="2" spans="1:8" ht="15" x14ac:dyDescent="0.3">
      <c r="A2" s="56" t="s">
        <v>41</v>
      </c>
      <c r="B2" s="46"/>
      <c r="C2" s="46"/>
      <c r="D2" s="46"/>
      <c r="E2" s="46"/>
      <c r="F2" s="46"/>
      <c r="G2" s="46"/>
      <c r="H2" s="46"/>
    </row>
    <row r="3" spans="1:8" ht="15" x14ac:dyDescent="0.3">
      <c r="A3" s="56" t="s">
        <v>1160</v>
      </c>
      <c r="B3" s="46"/>
      <c r="C3" s="46"/>
      <c r="D3" s="46"/>
      <c r="E3" s="46"/>
      <c r="F3" s="46"/>
      <c r="G3" s="46"/>
      <c r="H3" s="46"/>
    </row>
    <row r="4" spans="1:8" ht="15" x14ac:dyDescent="0.3">
      <c r="B4" s="46"/>
      <c r="C4" s="46"/>
      <c r="D4" s="46"/>
      <c r="E4" s="46"/>
      <c r="F4" s="46"/>
      <c r="G4" s="46"/>
      <c r="H4" s="46"/>
    </row>
    <row r="5" spans="1:8" ht="15.75" thickBot="1" x14ac:dyDescent="0.35">
      <c r="A5" s="56" t="s">
        <v>42</v>
      </c>
      <c r="B5" s="46"/>
      <c r="C5" s="46"/>
      <c r="D5" s="46"/>
      <c r="E5" s="46"/>
      <c r="F5" s="46"/>
      <c r="G5" s="46"/>
      <c r="H5" s="46"/>
    </row>
    <row r="6" spans="1:8" ht="15.75" thickBot="1" x14ac:dyDescent="0.35">
      <c r="B6" s="53" t="s">
        <v>43</v>
      </c>
      <c r="C6" s="54" t="s">
        <v>44</v>
      </c>
      <c r="D6" s="54" t="s">
        <v>45</v>
      </c>
      <c r="E6" s="54" t="s">
        <v>46</v>
      </c>
      <c r="F6" s="54" t="s">
        <v>47</v>
      </c>
      <c r="G6" s="54" t="s">
        <v>48</v>
      </c>
      <c r="H6" s="55" t="s">
        <v>49</v>
      </c>
    </row>
    <row r="7" spans="1:8" ht="15" x14ac:dyDescent="0.3">
      <c r="B7" s="47" t="s">
        <v>50</v>
      </c>
      <c r="C7" s="48"/>
      <c r="D7" s="48">
        <v>0</v>
      </c>
      <c r="E7" s="48">
        <v>-19.235289999999999</v>
      </c>
      <c r="F7" s="48">
        <v>47.43416490254458</v>
      </c>
      <c r="G7" s="48">
        <v>19.235289819999998</v>
      </c>
      <c r="H7" s="49">
        <v>1E+100</v>
      </c>
    </row>
    <row r="8" spans="1:8" ht="15" x14ac:dyDescent="0.3">
      <c r="B8" s="47" t="s">
        <v>51</v>
      </c>
      <c r="C8" s="48"/>
      <c r="D8" s="48">
        <v>0</v>
      </c>
      <c r="E8" s="48">
        <v>-23.966915</v>
      </c>
      <c r="F8" s="48">
        <v>113.84199576603714</v>
      </c>
      <c r="G8" s="48">
        <v>23.96691491</v>
      </c>
      <c r="H8" s="49">
        <v>1E+100</v>
      </c>
    </row>
    <row r="9" spans="1:8" ht="15" x14ac:dyDescent="0.3">
      <c r="B9" s="47" t="s">
        <v>52</v>
      </c>
      <c r="C9" s="48"/>
      <c r="D9" s="48">
        <v>0</v>
      </c>
      <c r="E9" s="48">
        <v>-124.67538999999999</v>
      </c>
      <c r="F9" s="48">
        <v>189.73665961006191</v>
      </c>
      <c r="G9" s="48">
        <v>124.6753946</v>
      </c>
      <c r="H9" s="49">
        <v>1E+100</v>
      </c>
    </row>
    <row r="10" spans="1:8" ht="15" x14ac:dyDescent="0.3">
      <c r="B10" s="47" t="s">
        <v>53</v>
      </c>
      <c r="C10" s="48"/>
      <c r="D10" s="48">
        <v>0</v>
      </c>
      <c r="E10" s="48">
        <v>-23.966915</v>
      </c>
      <c r="F10" s="48">
        <v>113.84199576603714</v>
      </c>
      <c r="G10" s="48">
        <v>23.96691491</v>
      </c>
      <c r="H10" s="49">
        <v>1E+100</v>
      </c>
    </row>
    <row r="11" spans="1:8" ht="15" x14ac:dyDescent="0.3">
      <c r="B11" s="47" t="s">
        <v>54</v>
      </c>
      <c r="C11" s="48"/>
      <c r="D11" s="48">
        <v>0</v>
      </c>
      <c r="E11" s="48">
        <v>-19.235289999999999</v>
      </c>
      <c r="F11" s="48">
        <v>47.43416490254458</v>
      </c>
      <c r="G11" s="48">
        <v>19.235289819999998</v>
      </c>
      <c r="H11" s="49">
        <v>1E+100</v>
      </c>
    </row>
    <row r="12" spans="1:8" ht="15" x14ac:dyDescent="0.3">
      <c r="B12" s="47" t="s">
        <v>55</v>
      </c>
      <c r="C12" s="48"/>
      <c r="D12" s="48">
        <v>0</v>
      </c>
      <c r="E12" s="48">
        <v>-1.8077513999999999</v>
      </c>
      <c r="F12" s="48">
        <v>31.03691147826612</v>
      </c>
      <c r="G12" s="48">
        <v>1.8077514459999999</v>
      </c>
      <c r="H12" s="49">
        <v>1E+100</v>
      </c>
    </row>
    <row r="13" spans="1:8" ht="15" x14ac:dyDescent="0.3">
      <c r="B13" s="47" t="s">
        <v>56</v>
      </c>
      <c r="C13" s="48"/>
      <c r="D13" s="48">
        <v>0</v>
      </c>
      <c r="E13" s="48">
        <v>-22.381585999999999</v>
      </c>
      <c r="F13" s="48">
        <v>74.488587547908537</v>
      </c>
      <c r="G13" s="48">
        <v>22.381585730000001</v>
      </c>
      <c r="H13" s="49">
        <v>1E+100</v>
      </c>
    </row>
    <row r="14" spans="1:8" ht="15" x14ac:dyDescent="0.3">
      <c r="B14" s="47" t="s">
        <v>57</v>
      </c>
      <c r="C14" s="48"/>
      <c r="D14" s="48">
        <v>0</v>
      </c>
      <c r="E14" s="48">
        <v>-131.66535999999999</v>
      </c>
      <c r="F14" s="48">
        <v>124.1476459131809</v>
      </c>
      <c r="G14" s="48">
        <v>131.6653566</v>
      </c>
      <c r="H14" s="49">
        <v>1E+100</v>
      </c>
    </row>
    <row r="15" spans="1:8" ht="15" x14ac:dyDescent="0.3">
      <c r="B15" s="47" t="s">
        <v>58</v>
      </c>
      <c r="C15" s="48"/>
      <c r="D15" s="48">
        <v>0</v>
      </c>
      <c r="E15" s="48">
        <v>-22.381585999999999</v>
      </c>
      <c r="F15" s="48">
        <v>74.488587547908537</v>
      </c>
      <c r="G15" s="48">
        <v>22.381585730000001</v>
      </c>
      <c r="H15" s="49">
        <v>1E+100</v>
      </c>
    </row>
    <row r="16" spans="1:8" ht="15" x14ac:dyDescent="0.3">
      <c r="B16" s="47" t="s">
        <v>59</v>
      </c>
      <c r="C16" s="48"/>
      <c r="D16" s="48">
        <v>0</v>
      </c>
      <c r="E16" s="48">
        <v>-1.8077513999999999</v>
      </c>
      <c r="F16" s="48">
        <v>31.03691147826612</v>
      </c>
      <c r="G16" s="48">
        <v>1.8077514459999999</v>
      </c>
      <c r="H16" s="49">
        <v>1E+100</v>
      </c>
    </row>
    <row r="17" spans="2:8" ht="15" x14ac:dyDescent="0.3">
      <c r="B17" s="47" t="s">
        <v>60</v>
      </c>
      <c r="C17" s="48"/>
      <c r="D17" s="48">
        <v>0</v>
      </c>
      <c r="E17" s="48">
        <v>-67.060198</v>
      </c>
      <c r="F17" s="48">
        <v>48.619697900721803</v>
      </c>
      <c r="G17" s="48">
        <v>67.060198389999996</v>
      </c>
      <c r="H17" s="49">
        <v>1E+100</v>
      </c>
    </row>
    <row r="18" spans="2:8" ht="15" x14ac:dyDescent="0.3">
      <c r="B18" s="47" t="s">
        <v>61</v>
      </c>
      <c r="C18" s="48"/>
      <c r="D18" s="48">
        <v>0</v>
      </c>
      <c r="E18" s="48">
        <v>-34.562348999999998</v>
      </c>
      <c r="F18" s="48">
        <v>116.68727496184874</v>
      </c>
      <c r="G18" s="48">
        <v>34.562349300000001</v>
      </c>
      <c r="H18" s="49">
        <v>1E+100</v>
      </c>
    </row>
    <row r="19" spans="2:8" ht="15" x14ac:dyDescent="0.3">
      <c r="B19" s="47" t="s">
        <v>62</v>
      </c>
      <c r="C19" s="48"/>
      <c r="D19" s="48">
        <v>0</v>
      </c>
      <c r="E19" s="48">
        <v>-45.072403999999999</v>
      </c>
      <c r="F19" s="48">
        <v>194.47879160312004</v>
      </c>
      <c r="G19" s="48">
        <v>45.072404450000001</v>
      </c>
      <c r="H19" s="49">
        <v>1E+100</v>
      </c>
    </row>
    <row r="20" spans="2:8" ht="15" x14ac:dyDescent="0.3">
      <c r="B20" s="47" t="s">
        <v>63</v>
      </c>
      <c r="C20" s="48"/>
      <c r="D20" s="48">
        <v>0</v>
      </c>
      <c r="E20" s="48">
        <v>-34.562348999999998</v>
      </c>
      <c r="F20" s="48">
        <v>116.68727496184874</v>
      </c>
      <c r="G20" s="48">
        <v>34.562349300000001</v>
      </c>
      <c r="H20" s="49">
        <v>1E+100</v>
      </c>
    </row>
    <row r="21" spans="2:8" ht="15" x14ac:dyDescent="0.3">
      <c r="B21" s="47" t="s">
        <v>64</v>
      </c>
      <c r="C21" s="48"/>
      <c r="D21" s="48">
        <v>0</v>
      </c>
      <c r="E21" s="48">
        <v>-67.060198</v>
      </c>
      <c r="F21" s="48">
        <v>48.619697900721803</v>
      </c>
      <c r="G21" s="48">
        <v>67.060198389999996</v>
      </c>
      <c r="H21" s="49">
        <v>1E+100</v>
      </c>
    </row>
    <row r="22" spans="2:8" ht="15" x14ac:dyDescent="0.3">
      <c r="B22" s="47" t="s">
        <v>65</v>
      </c>
      <c r="C22" s="48"/>
      <c r="D22" s="48">
        <v>0</v>
      </c>
      <c r="E22" s="48">
        <v>-4.2435944000000001</v>
      </c>
      <c r="F22" s="48">
        <v>15.495618196669966</v>
      </c>
      <c r="G22" s="48">
        <v>4.2435943600000003</v>
      </c>
      <c r="H22" s="49">
        <v>1E+100</v>
      </c>
    </row>
    <row r="23" spans="2:8" ht="15" x14ac:dyDescent="0.3">
      <c r="B23" s="47" t="s">
        <v>66</v>
      </c>
      <c r="C23" s="48"/>
      <c r="D23" s="48">
        <v>0</v>
      </c>
      <c r="E23" s="48">
        <v>-32.347347999999997</v>
      </c>
      <c r="F23" s="48">
        <v>37.189483672147617</v>
      </c>
      <c r="G23" s="48">
        <v>32.347348050000001</v>
      </c>
      <c r="H23" s="49">
        <v>1E+100</v>
      </c>
    </row>
    <row r="24" spans="2:8" ht="15" x14ac:dyDescent="0.3">
      <c r="B24" s="47" t="s">
        <v>67</v>
      </c>
      <c r="C24" s="48"/>
      <c r="D24" s="48">
        <v>0</v>
      </c>
      <c r="E24" s="48">
        <v>-131.17655999999999</v>
      </c>
      <c r="F24" s="48">
        <v>61.982472786912695</v>
      </c>
      <c r="G24" s="48">
        <v>131.1765594</v>
      </c>
      <c r="H24" s="49">
        <v>1E+100</v>
      </c>
    </row>
    <row r="25" spans="2:8" ht="15" x14ac:dyDescent="0.3">
      <c r="B25" s="47" t="s">
        <v>68</v>
      </c>
      <c r="C25" s="48"/>
      <c r="D25" s="48">
        <v>0</v>
      </c>
      <c r="E25" s="48">
        <v>-32.347347999999997</v>
      </c>
      <c r="F25" s="48">
        <v>37.189483672147617</v>
      </c>
      <c r="G25" s="48">
        <v>32.347348050000001</v>
      </c>
      <c r="H25" s="49">
        <v>1E+100</v>
      </c>
    </row>
    <row r="26" spans="2:8" ht="15" x14ac:dyDescent="0.3">
      <c r="B26" s="47" t="s">
        <v>69</v>
      </c>
      <c r="C26" s="48"/>
      <c r="D26" s="48">
        <v>0</v>
      </c>
      <c r="E26" s="48">
        <v>-4.2435944000000001</v>
      </c>
      <c r="F26" s="48">
        <v>15.495618196669966</v>
      </c>
      <c r="G26" s="48">
        <v>4.2435943600000003</v>
      </c>
      <c r="H26" s="49">
        <v>1E+100</v>
      </c>
    </row>
    <row r="27" spans="2:8" ht="15" x14ac:dyDescent="0.3">
      <c r="B27" s="47" t="s">
        <v>70</v>
      </c>
      <c r="C27" s="48"/>
      <c r="D27" s="48">
        <v>0</v>
      </c>
      <c r="E27" s="48">
        <v>-444.92178999999999</v>
      </c>
      <c r="F27" s="48">
        <v>99.33926826773677</v>
      </c>
      <c r="G27" s="48">
        <v>444.92179229999999</v>
      </c>
      <c r="H27" s="49">
        <v>1E+100</v>
      </c>
    </row>
    <row r="28" spans="2:8" ht="15" x14ac:dyDescent="0.3">
      <c r="B28" s="47" t="s">
        <v>71</v>
      </c>
      <c r="C28" s="48"/>
      <c r="D28" s="48">
        <v>0</v>
      </c>
      <c r="E28" s="48">
        <v>-369.87232999999998</v>
      </c>
      <c r="F28" s="48">
        <v>238.41424384270795</v>
      </c>
      <c r="G28" s="48">
        <v>369.87232710000001</v>
      </c>
      <c r="H28" s="49">
        <v>1E+100</v>
      </c>
    </row>
    <row r="29" spans="2:8" x14ac:dyDescent="0.3">
      <c r="B29" s="47" t="s">
        <v>72</v>
      </c>
      <c r="C29" s="48"/>
      <c r="D29" s="48">
        <v>0</v>
      </c>
      <c r="E29" s="48">
        <v>-369.87232999999998</v>
      </c>
      <c r="F29" s="48">
        <v>397.35707307129633</v>
      </c>
      <c r="G29" s="48">
        <v>369.87232710000001</v>
      </c>
      <c r="H29" s="49">
        <v>1E+100</v>
      </c>
    </row>
    <row r="30" spans="2:8" x14ac:dyDescent="0.3">
      <c r="B30" s="47" t="s">
        <v>73</v>
      </c>
      <c r="C30" s="48"/>
      <c r="D30" s="48">
        <v>0</v>
      </c>
      <c r="E30" s="48">
        <v>-369.87232999999998</v>
      </c>
      <c r="F30" s="48">
        <v>238.41424384270795</v>
      </c>
      <c r="G30" s="48">
        <v>369.87232710000001</v>
      </c>
      <c r="H30" s="49">
        <v>1E+100</v>
      </c>
    </row>
    <row r="31" spans="2:8" x14ac:dyDescent="0.3">
      <c r="B31" s="47" t="s">
        <v>74</v>
      </c>
      <c r="C31" s="48"/>
      <c r="D31" s="48">
        <v>0</v>
      </c>
      <c r="E31" s="48">
        <v>-444.92178999999999</v>
      </c>
      <c r="F31" s="48">
        <v>99.33926826773677</v>
      </c>
      <c r="G31" s="48">
        <v>444.92179229999999</v>
      </c>
      <c r="H31" s="49">
        <v>1E+100</v>
      </c>
    </row>
    <row r="32" spans="2:8" x14ac:dyDescent="0.3">
      <c r="B32" s="47" t="s">
        <v>75</v>
      </c>
      <c r="C32" s="48"/>
      <c r="D32" s="48">
        <v>0</v>
      </c>
      <c r="E32" s="48">
        <v>-2.5856175000000001</v>
      </c>
      <c r="F32" s="48">
        <v>14.333707577548921</v>
      </c>
      <c r="G32" s="48">
        <v>2.5856174709999999</v>
      </c>
      <c r="H32" s="49">
        <v>1E+100</v>
      </c>
    </row>
    <row r="33" spans="2:8" x14ac:dyDescent="0.3">
      <c r="B33" s="47" t="s">
        <v>76</v>
      </c>
      <c r="C33" s="48"/>
      <c r="D33" s="48">
        <v>0</v>
      </c>
      <c r="E33" s="48">
        <v>-25.202100000000002</v>
      </c>
      <c r="F33" s="48">
        <v>34.400898186024278</v>
      </c>
      <c r="G33" s="48">
        <v>25.202100430000002</v>
      </c>
      <c r="H33" s="49">
        <v>1E+100</v>
      </c>
    </row>
    <row r="34" spans="2:8" x14ac:dyDescent="0.3">
      <c r="B34" s="47" t="s">
        <v>77</v>
      </c>
      <c r="C34" s="48"/>
      <c r="D34" s="48">
        <v>0</v>
      </c>
      <c r="E34" s="48">
        <v>-108.23005000000001</v>
      </c>
      <c r="F34" s="48">
        <v>57.334830310195684</v>
      </c>
      <c r="G34" s="48">
        <v>108.23005449999999</v>
      </c>
      <c r="H34" s="49">
        <v>1E+100</v>
      </c>
    </row>
    <row r="35" spans="2:8" x14ac:dyDescent="0.3">
      <c r="B35" s="47" t="s">
        <v>78</v>
      </c>
      <c r="C35" s="48"/>
      <c r="D35" s="48">
        <v>0</v>
      </c>
      <c r="E35" s="48">
        <v>-25.202100000000002</v>
      </c>
      <c r="F35" s="48">
        <v>34.400898186024278</v>
      </c>
      <c r="G35" s="48">
        <v>25.202100430000002</v>
      </c>
      <c r="H35" s="49">
        <v>1E+100</v>
      </c>
    </row>
    <row r="36" spans="2:8" x14ac:dyDescent="0.3">
      <c r="B36" s="47" t="s">
        <v>79</v>
      </c>
      <c r="C36" s="48"/>
      <c r="D36" s="48">
        <v>0</v>
      </c>
      <c r="E36" s="48">
        <v>-2.5856175000000001</v>
      </c>
      <c r="F36" s="48">
        <v>14.333707577548921</v>
      </c>
      <c r="G36" s="48">
        <v>2.5856174709999999</v>
      </c>
      <c r="H36" s="49">
        <v>1E+100</v>
      </c>
    </row>
    <row r="37" spans="2:8" x14ac:dyDescent="0.3">
      <c r="B37" s="47" t="s">
        <v>80</v>
      </c>
      <c r="C37" s="48"/>
      <c r="D37" s="48">
        <v>0</v>
      </c>
      <c r="E37" s="48">
        <v>-14.878988</v>
      </c>
      <c r="F37" s="48">
        <v>10.5</v>
      </c>
      <c r="G37" s="48">
        <v>14.87898757</v>
      </c>
      <c r="H37" s="49">
        <v>1E+100</v>
      </c>
    </row>
    <row r="38" spans="2:8" x14ac:dyDescent="0.3">
      <c r="B38" s="47" t="s">
        <v>81</v>
      </c>
      <c r="C38" s="48"/>
      <c r="D38" s="48">
        <v>0</v>
      </c>
      <c r="E38" s="48">
        <v>-64.204498000000001</v>
      </c>
      <c r="F38" s="48">
        <v>25.199999999953434</v>
      </c>
      <c r="G38" s="48">
        <v>64.204497930000002</v>
      </c>
      <c r="H38" s="49">
        <v>1E+100</v>
      </c>
    </row>
    <row r="39" spans="2:8" x14ac:dyDescent="0.3">
      <c r="B39" s="47" t="s">
        <v>82</v>
      </c>
      <c r="C39" s="48"/>
      <c r="D39" s="48">
        <v>0</v>
      </c>
      <c r="E39" s="48">
        <v>-206.34733</v>
      </c>
      <c r="F39" s="48">
        <v>42</v>
      </c>
      <c r="G39" s="48">
        <v>206.3473272</v>
      </c>
      <c r="H39" s="49">
        <v>1E+100</v>
      </c>
    </row>
    <row r="40" spans="2:8" x14ac:dyDescent="0.3">
      <c r="B40" s="47" t="s">
        <v>83</v>
      </c>
      <c r="C40" s="48"/>
      <c r="D40" s="48">
        <v>0</v>
      </c>
      <c r="E40" s="48">
        <v>-64.204498000000001</v>
      </c>
      <c r="F40" s="48">
        <v>25.199999999953434</v>
      </c>
      <c r="G40" s="48">
        <v>64.204497930000002</v>
      </c>
      <c r="H40" s="49">
        <v>1E+100</v>
      </c>
    </row>
    <row r="41" spans="2:8" x14ac:dyDescent="0.3">
      <c r="B41" s="47" t="s">
        <v>84</v>
      </c>
      <c r="C41" s="48"/>
      <c r="D41" s="48">
        <v>0</v>
      </c>
      <c r="E41" s="48">
        <v>-14.878988</v>
      </c>
      <c r="F41" s="48">
        <v>10.5</v>
      </c>
      <c r="G41" s="48">
        <v>14.87898757</v>
      </c>
      <c r="H41" s="49">
        <v>1E+100</v>
      </c>
    </row>
    <row r="42" spans="2:8" x14ac:dyDescent="0.3">
      <c r="B42" s="47" t="s">
        <v>85</v>
      </c>
      <c r="C42" s="48"/>
      <c r="D42" s="48">
        <v>0</v>
      </c>
      <c r="E42" s="48">
        <v>-0.25088157999999999</v>
      </c>
      <c r="F42" s="48">
        <v>14.585909370216541</v>
      </c>
      <c r="G42" s="48">
        <v>0.25088158179999998</v>
      </c>
      <c r="H42" s="49">
        <v>1E+100</v>
      </c>
    </row>
    <row r="43" spans="2:8" x14ac:dyDescent="0.3">
      <c r="B43" s="47" t="s">
        <v>86</v>
      </c>
      <c r="C43" s="48"/>
      <c r="D43" s="48">
        <v>0</v>
      </c>
      <c r="E43" s="48">
        <v>-15.400335999999999</v>
      </c>
      <c r="F43" s="48">
        <v>35.006182488519698</v>
      </c>
      <c r="G43" s="48">
        <v>15.40033644</v>
      </c>
      <c r="H43" s="49">
        <v>1E+100</v>
      </c>
    </row>
    <row r="44" spans="2:8" x14ac:dyDescent="0.3">
      <c r="B44" s="47" t="s">
        <v>87</v>
      </c>
      <c r="C44" s="48"/>
      <c r="D44" s="48">
        <v>0</v>
      </c>
      <c r="E44" s="48">
        <v>-80.364452999999997</v>
      </c>
      <c r="F44" s="48">
        <v>58.343637480866164</v>
      </c>
      <c r="G44" s="48">
        <v>80.364453240000003</v>
      </c>
      <c r="H44" s="49">
        <v>1E+100</v>
      </c>
    </row>
    <row r="45" spans="2:8" x14ac:dyDescent="0.3">
      <c r="B45" s="47" t="s">
        <v>88</v>
      </c>
      <c r="C45" s="48"/>
      <c r="D45" s="48">
        <v>0</v>
      </c>
      <c r="E45" s="48">
        <v>-15.400335999999999</v>
      </c>
      <c r="F45" s="48">
        <v>35.006182488519698</v>
      </c>
      <c r="G45" s="48">
        <v>15.40033644</v>
      </c>
      <c r="H45" s="49">
        <v>1E+100</v>
      </c>
    </row>
    <row r="46" spans="2:8" x14ac:dyDescent="0.3">
      <c r="B46" s="47" t="s">
        <v>89</v>
      </c>
      <c r="C46" s="48"/>
      <c r="D46" s="48">
        <v>0</v>
      </c>
      <c r="E46" s="48">
        <v>-0.25088157999999999</v>
      </c>
      <c r="F46" s="48">
        <v>14.585909370216541</v>
      </c>
      <c r="G46" s="48">
        <v>0.25088158179999998</v>
      </c>
      <c r="H46" s="49">
        <v>1E+100</v>
      </c>
    </row>
    <row r="47" spans="2:8" x14ac:dyDescent="0.3">
      <c r="B47" s="47" t="s">
        <v>90</v>
      </c>
      <c r="C47" s="48"/>
      <c r="D47" s="48">
        <v>0</v>
      </c>
      <c r="E47" s="48">
        <v>-72.808864</v>
      </c>
      <c r="F47" s="48">
        <v>50.746028679423034</v>
      </c>
      <c r="G47" s="48">
        <v>72.808864139999997</v>
      </c>
      <c r="H47" s="49">
        <v>1E+100</v>
      </c>
    </row>
    <row r="48" spans="2:8" x14ac:dyDescent="0.3">
      <c r="B48" s="47" t="s">
        <v>91</v>
      </c>
      <c r="C48" s="48"/>
      <c r="D48" s="48">
        <v>0</v>
      </c>
      <c r="E48" s="48">
        <v>-65.789934000000002</v>
      </c>
      <c r="F48" s="48">
        <v>121.79046883061528</v>
      </c>
      <c r="G48" s="48">
        <v>65.789934340000002</v>
      </c>
      <c r="H48" s="49">
        <v>1E+100</v>
      </c>
    </row>
    <row r="49" spans="2:8" x14ac:dyDescent="0.3">
      <c r="B49" s="47" t="s">
        <v>92</v>
      </c>
      <c r="C49" s="48"/>
      <c r="D49" s="48">
        <v>0</v>
      </c>
      <c r="E49" s="48">
        <v>-143.53912</v>
      </c>
      <c r="F49" s="48">
        <v>202.98411471780855</v>
      </c>
      <c r="G49" s="48">
        <v>143.53911769999999</v>
      </c>
      <c r="H49" s="49">
        <v>1E+100</v>
      </c>
    </row>
    <row r="50" spans="2:8" x14ac:dyDescent="0.3">
      <c r="B50" s="47" t="s">
        <v>93</v>
      </c>
      <c r="C50" s="48"/>
      <c r="D50" s="48">
        <v>0</v>
      </c>
      <c r="E50" s="48">
        <v>-65.789934000000002</v>
      </c>
      <c r="F50" s="48">
        <v>121.79046883061528</v>
      </c>
      <c r="G50" s="48">
        <v>65.789934340000002</v>
      </c>
      <c r="H50" s="49">
        <v>1E+100</v>
      </c>
    </row>
    <row r="51" spans="2:8" x14ac:dyDescent="0.3">
      <c r="B51" s="47" t="s">
        <v>94</v>
      </c>
      <c r="C51" s="48"/>
      <c r="D51" s="48">
        <v>0</v>
      </c>
      <c r="E51" s="48">
        <v>-72.808864</v>
      </c>
      <c r="F51" s="48">
        <v>50.746028679423034</v>
      </c>
      <c r="G51" s="48">
        <v>72.808864139999997</v>
      </c>
      <c r="H51" s="49">
        <v>1E+100</v>
      </c>
    </row>
    <row r="52" spans="2:8" x14ac:dyDescent="0.3">
      <c r="B52" s="47" t="s">
        <v>95</v>
      </c>
      <c r="C52" s="48"/>
      <c r="D52" s="48">
        <v>0</v>
      </c>
      <c r="E52" s="48">
        <v>-53.722976000000003</v>
      </c>
      <c r="F52" s="48">
        <v>52.053980919532478</v>
      </c>
      <c r="G52" s="48">
        <v>53.722976019999997</v>
      </c>
      <c r="H52" s="49">
        <v>1E+100</v>
      </c>
    </row>
    <row r="53" spans="2:8" x14ac:dyDescent="0.3">
      <c r="B53" s="47" t="s">
        <v>96</v>
      </c>
      <c r="C53" s="48"/>
      <c r="D53" s="48">
        <v>0</v>
      </c>
      <c r="E53" s="48">
        <v>-51.986859000000003</v>
      </c>
      <c r="F53" s="48">
        <v>124.92955420701765</v>
      </c>
      <c r="G53" s="48">
        <v>51.986858679999997</v>
      </c>
      <c r="H53" s="49">
        <v>1E+100</v>
      </c>
    </row>
    <row r="54" spans="2:8" x14ac:dyDescent="0.3">
      <c r="B54" s="47" t="s">
        <v>97</v>
      </c>
      <c r="C54" s="48"/>
      <c r="D54" s="48">
        <v>0</v>
      </c>
      <c r="E54" s="48">
        <v>-145.30363</v>
      </c>
      <c r="F54" s="48">
        <v>208.21592367836274</v>
      </c>
      <c r="G54" s="48">
        <v>145.3036328</v>
      </c>
      <c r="H54" s="49">
        <v>1E+100</v>
      </c>
    </row>
    <row r="55" spans="2:8" x14ac:dyDescent="0.3">
      <c r="B55" s="47" t="s">
        <v>98</v>
      </c>
      <c r="C55" s="48"/>
      <c r="D55" s="48">
        <v>0</v>
      </c>
      <c r="E55" s="48">
        <v>-51.986859000000003</v>
      </c>
      <c r="F55" s="48">
        <v>124.92955420701765</v>
      </c>
      <c r="G55" s="48">
        <v>51.986858679999997</v>
      </c>
      <c r="H55" s="49">
        <v>1E+100</v>
      </c>
    </row>
    <row r="56" spans="2:8" x14ac:dyDescent="0.3">
      <c r="B56" s="47" t="s">
        <v>99</v>
      </c>
      <c r="C56" s="48"/>
      <c r="D56" s="48">
        <v>0</v>
      </c>
      <c r="E56" s="48">
        <v>-53.722976000000003</v>
      </c>
      <c r="F56" s="48">
        <v>52.053980919532478</v>
      </c>
      <c r="G56" s="48">
        <v>53.722976019999997</v>
      </c>
      <c r="H56" s="49">
        <v>1E+100</v>
      </c>
    </row>
    <row r="57" spans="2:8" x14ac:dyDescent="0.3">
      <c r="B57" s="47" t="s">
        <v>100</v>
      </c>
      <c r="C57" s="48"/>
      <c r="D57" s="48">
        <v>0</v>
      </c>
      <c r="E57" s="48">
        <v>-5.1614440000000004</v>
      </c>
      <c r="F57" s="48">
        <v>14.577768528484739</v>
      </c>
      <c r="G57" s="48">
        <v>5.161444028</v>
      </c>
      <c r="H57" s="49">
        <v>1E+100</v>
      </c>
    </row>
    <row r="58" spans="2:8" x14ac:dyDescent="0.3">
      <c r="B58" s="47" t="s">
        <v>101</v>
      </c>
      <c r="C58" s="48"/>
      <c r="D58" s="48">
        <v>0</v>
      </c>
      <c r="E58" s="48">
        <v>-34.550187000000001</v>
      </c>
      <c r="F58" s="48">
        <v>34.986644468270242</v>
      </c>
      <c r="G58" s="48">
        <v>34.55018725</v>
      </c>
      <c r="H58" s="49">
        <v>1E+100</v>
      </c>
    </row>
    <row r="59" spans="2:8" x14ac:dyDescent="0.3">
      <c r="B59" s="47" t="s">
        <v>102</v>
      </c>
      <c r="C59" s="48"/>
      <c r="D59" s="48">
        <v>0</v>
      </c>
      <c r="E59" s="48">
        <v>-134.84796</v>
      </c>
      <c r="F59" s="48">
        <v>58.311074113822542</v>
      </c>
      <c r="G59" s="48">
        <v>134.8479581</v>
      </c>
      <c r="H59" s="49">
        <v>1E+100</v>
      </c>
    </row>
    <row r="60" spans="2:8" x14ac:dyDescent="0.3">
      <c r="B60" s="47" t="s">
        <v>103</v>
      </c>
      <c r="C60" s="48"/>
      <c r="D60" s="48">
        <v>0</v>
      </c>
      <c r="E60" s="48">
        <v>-34.550187000000001</v>
      </c>
      <c r="F60" s="48">
        <v>34.986644468270242</v>
      </c>
      <c r="G60" s="48">
        <v>34.55018725</v>
      </c>
      <c r="H60" s="49">
        <v>1E+100</v>
      </c>
    </row>
    <row r="61" spans="2:8" x14ac:dyDescent="0.3">
      <c r="B61" s="47" t="s">
        <v>104</v>
      </c>
      <c r="C61" s="48"/>
      <c r="D61" s="48">
        <v>0</v>
      </c>
      <c r="E61" s="48">
        <v>-5.1614440000000004</v>
      </c>
      <c r="F61" s="48">
        <v>14.577768528484739</v>
      </c>
      <c r="G61" s="48">
        <v>5.161444028</v>
      </c>
      <c r="H61" s="49">
        <v>1E+100</v>
      </c>
    </row>
    <row r="62" spans="2:8" x14ac:dyDescent="0.3">
      <c r="B62" s="47" t="s">
        <v>105</v>
      </c>
      <c r="C62" s="48"/>
      <c r="D62" s="48">
        <v>0</v>
      </c>
      <c r="E62" s="48">
        <v>-181.91245000000001</v>
      </c>
      <c r="F62" s="48">
        <v>50.734576457412913</v>
      </c>
      <c r="G62" s="48">
        <v>181.9124496</v>
      </c>
      <c r="H62" s="49">
        <v>1E+100</v>
      </c>
    </row>
    <row r="63" spans="2:8" x14ac:dyDescent="0.3">
      <c r="B63" s="47" t="s">
        <v>106</v>
      </c>
      <c r="C63" s="48"/>
      <c r="D63" s="48">
        <v>0</v>
      </c>
      <c r="E63" s="48">
        <v>-146.45376999999999</v>
      </c>
      <c r="F63" s="48">
        <v>121.76298349781428</v>
      </c>
      <c r="G63" s="48">
        <v>146.45377049999999</v>
      </c>
      <c r="H63" s="49">
        <v>1E+100</v>
      </c>
    </row>
    <row r="64" spans="2:8" x14ac:dyDescent="0.3">
      <c r="B64" s="47" t="s">
        <v>107</v>
      </c>
      <c r="C64" s="48"/>
      <c r="D64" s="48">
        <v>0</v>
      </c>
      <c r="E64" s="48">
        <v>-153.58001999999999</v>
      </c>
      <c r="F64" s="48">
        <v>202.93830582976807</v>
      </c>
      <c r="G64" s="48">
        <v>153.58001999999999</v>
      </c>
      <c r="H64" s="49">
        <v>1E+100</v>
      </c>
    </row>
    <row r="65" spans="2:8" x14ac:dyDescent="0.3">
      <c r="B65" s="47" t="s">
        <v>108</v>
      </c>
      <c r="C65" s="48"/>
      <c r="D65" s="48">
        <v>0</v>
      </c>
      <c r="E65" s="48">
        <v>-146.45376999999999</v>
      </c>
      <c r="F65" s="48">
        <v>121.76298349781428</v>
      </c>
      <c r="G65" s="48">
        <v>146.45377049999999</v>
      </c>
      <c r="H65" s="49">
        <v>1E+100</v>
      </c>
    </row>
    <row r="66" spans="2:8" x14ac:dyDescent="0.3">
      <c r="B66" s="47" t="s">
        <v>109</v>
      </c>
      <c r="C66" s="48"/>
      <c r="D66" s="48">
        <v>0</v>
      </c>
      <c r="E66" s="48">
        <v>-181.91245000000001</v>
      </c>
      <c r="F66" s="48">
        <v>50.734576457412913</v>
      </c>
      <c r="G66" s="48">
        <v>181.9124496</v>
      </c>
      <c r="H66" s="49">
        <v>1E+100</v>
      </c>
    </row>
    <row r="67" spans="2:8" x14ac:dyDescent="0.3">
      <c r="B67" s="47" t="s">
        <v>110</v>
      </c>
      <c r="C67" s="48"/>
      <c r="D67" s="48">
        <v>0</v>
      </c>
      <c r="E67" s="48">
        <v>-13.057734999999999</v>
      </c>
      <c r="F67" s="48">
        <v>6.681477242265828</v>
      </c>
      <c r="G67" s="48">
        <v>13.05773531</v>
      </c>
      <c r="H67" s="49">
        <v>1E+100</v>
      </c>
    </row>
    <row r="68" spans="2:8" x14ac:dyDescent="0.3">
      <c r="B68" s="47" t="s">
        <v>111</v>
      </c>
      <c r="C68" s="48"/>
      <c r="D68" s="48">
        <v>0</v>
      </c>
      <c r="E68" s="48">
        <v>-53.501286</v>
      </c>
      <c r="F68" s="48">
        <v>16.035545381368138</v>
      </c>
      <c r="G68" s="48">
        <v>53.50128634</v>
      </c>
      <c r="H68" s="49">
        <v>1E+100</v>
      </c>
    </row>
    <row r="69" spans="2:8" x14ac:dyDescent="0.3">
      <c r="B69" s="47" t="s">
        <v>112</v>
      </c>
      <c r="C69" s="48"/>
      <c r="D69" s="48">
        <v>0</v>
      </c>
      <c r="E69" s="48">
        <v>-166.43312</v>
      </c>
      <c r="F69" s="48">
        <v>26.725908968830481</v>
      </c>
      <c r="G69" s="48">
        <v>166.43312330000001</v>
      </c>
      <c r="H69" s="49">
        <v>1E+100</v>
      </c>
    </row>
    <row r="70" spans="2:8" x14ac:dyDescent="0.3">
      <c r="B70" s="47" t="s">
        <v>113</v>
      </c>
      <c r="C70" s="48"/>
      <c r="D70" s="48">
        <v>0</v>
      </c>
      <c r="E70" s="48">
        <v>-53.501286</v>
      </c>
      <c r="F70" s="48">
        <v>16.035545381368138</v>
      </c>
      <c r="G70" s="48">
        <v>53.50128634</v>
      </c>
      <c r="H70" s="49">
        <v>1E+100</v>
      </c>
    </row>
    <row r="71" spans="2:8" x14ac:dyDescent="0.3">
      <c r="B71" s="47" t="s">
        <v>114</v>
      </c>
      <c r="C71" s="48"/>
      <c r="D71" s="48">
        <v>0</v>
      </c>
      <c r="E71" s="48">
        <v>-13.057734999999999</v>
      </c>
      <c r="F71" s="48">
        <v>6.681477242265828</v>
      </c>
      <c r="G71" s="48">
        <v>13.05773531</v>
      </c>
      <c r="H71" s="49">
        <v>1E+100</v>
      </c>
    </row>
    <row r="72" spans="2:8" x14ac:dyDescent="0.3">
      <c r="B72" s="47" t="s">
        <v>115</v>
      </c>
      <c r="C72" s="48"/>
      <c r="D72" s="48">
        <v>0</v>
      </c>
      <c r="E72" s="48">
        <v>-1070.9782</v>
      </c>
      <c r="F72" s="48">
        <v>154.38242556038313</v>
      </c>
      <c r="G72" s="48">
        <v>1070.978171</v>
      </c>
      <c r="H72" s="49">
        <v>1E+100</v>
      </c>
    </row>
    <row r="73" spans="2:8" x14ac:dyDescent="0.3">
      <c r="B73" s="47" t="s">
        <v>116</v>
      </c>
      <c r="C73" s="48"/>
      <c r="D73" s="48">
        <v>0</v>
      </c>
      <c r="E73" s="48">
        <v>-911.75433999999996</v>
      </c>
      <c r="F73" s="48">
        <v>370.51782134501263</v>
      </c>
      <c r="G73" s="48">
        <v>911.75434029999997</v>
      </c>
      <c r="H73" s="49">
        <v>1E+100</v>
      </c>
    </row>
    <row r="74" spans="2:8" x14ac:dyDescent="0.3">
      <c r="B74" s="47" t="s">
        <v>117</v>
      </c>
      <c r="C74" s="48"/>
      <c r="D74" s="48">
        <v>0</v>
      </c>
      <c r="E74" s="48">
        <v>-806.02497000000005</v>
      </c>
      <c r="F74" s="48">
        <v>617.52970224164892</v>
      </c>
      <c r="G74" s="48">
        <v>806.02497430000005</v>
      </c>
      <c r="H74" s="49">
        <v>1E+100</v>
      </c>
    </row>
    <row r="75" spans="2:8" x14ac:dyDescent="0.3">
      <c r="B75" s="47" t="s">
        <v>118</v>
      </c>
      <c r="C75" s="48"/>
      <c r="D75" s="48">
        <v>0</v>
      </c>
      <c r="E75" s="48">
        <v>-911.75433999999996</v>
      </c>
      <c r="F75" s="48">
        <v>370.51782134501263</v>
      </c>
      <c r="G75" s="48">
        <v>911.75434029999997</v>
      </c>
      <c r="H75" s="49">
        <v>1E+100</v>
      </c>
    </row>
    <row r="76" spans="2:8" x14ac:dyDescent="0.3">
      <c r="B76" s="47" t="s">
        <v>119</v>
      </c>
      <c r="C76" s="48"/>
      <c r="D76" s="48">
        <v>0</v>
      </c>
      <c r="E76" s="48">
        <v>-1070.9782</v>
      </c>
      <c r="F76" s="48">
        <v>154.38242556038313</v>
      </c>
      <c r="G76" s="48">
        <v>1070.978171</v>
      </c>
      <c r="H76" s="49">
        <v>1E+100</v>
      </c>
    </row>
    <row r="77" spans="2:8" x14ac:dyDescent="0.3">
      <c r="B77" s="47" t="s">
        <v>120</v>
      </c>
      <c r="C77" s="48"/>
      <c r="D77" s="48">
        <v>0</v>
      </c>
      <c r="E77" s="48">
        <v>-514.62149999999997</v>
      </c>
      <c r="F77" s="48">
        <v>111.64126309484709</v>
      </c>
      <c r="G77" s="48">
        <v>514.62150429999997</v>
      </c>
      <c r="H77" s="49">
        <v>1E+100</v>
      </c>
    </row>
    <row r="78" spans="2:8" x14ac:dyDescent="0.3">
      <c r="B78" s="47" t="s">
        <v>121</v>
      </c>
      <c r="C78" s="48"/>
      <c r="D78" s="48">
        <v>0</v>
      </c>
      <c r="E78" s="48">
        <v>-422.34924999999998</v>
      </c>
      <c r="F78" s="48">
        <v>267.93903142749332</v>
      </c>
      <c r="G78" s="48">
        <v>422.3492463</v>
      </c>
      <c r="H78" s="49">
        <v>1E+100</v>
      </c>
    </row>
    <row r="79" spans="2:8" x14ac:dyDescent="0.3">
      <c r="B79" s="47" t="s">
        <v>122</v>
      </c>
      <c r="C79" s="48"/>
      <c r="D79" s="48">
        <v>0</v>
      </c>
      <c r="E79" s="48">
        <v>-402.66604999999998</v>
      </c>
      <c r="F79" s="48">
        <v>446.56505237927195</v>
      </c>
      <c r="G79" s="48">
        <v>402.6660546</v>
      </c>
      <c r="H79" s="49">
        <v>1E+100</v>
      </c>
    </row>
    <row r="80" spans="2:8" x14ac:dyDescent="0.3">
      <c r="B80" s="47" t="s">
        <v>123</v>
      </c>
      <c r="C80" s="48"/>
      <c r="D80" s="48">
        <v>0</v>
      </c>
      <c r="E80" s="48">
        <v>-422.34924999999998</v>
      </c>
      <c r="F80" s="48">
        <v>267.93903142749332</v>
      </c>
      <c r="G80" s="48">
        <v>422.3492463</v>
      </c>
      <c r="H80" s="49">
        <v>1E+100</v>
      </c>
    </row>
    <row r="81" spans="2:8" x14ac:dyDescent="0.3">
      <c r="B81" s="47" t="s">
        <v>124</v>
      </c>
      <c r="C81" s="48"/>
      <c r="D81" s="48">
        <v>0</v>
      </c>
      <c r="E81" s="48">
        <v>-514.62149999999997</v>
      </c>
      <c r="F81" s="48">
        <v>111.64126309484709</v>
      </c>
      <c r="G81" s="48">
        <v>514.62150429999997</v>
      </c>
      <c r="H81" s="49">
        <v>1E+100</v>
      </c>
    </row>
    <row r="82" spans="2:8" x14ac:dyDescent="0.3">
      <c r="B82" s="47" t="s">
        <v>125</v>
      </c>
      <c r="C82" s="48"/>
      <c r="D82" s="48">
        <v>0</v>
      </c>
      <c r="E82" s="48">
        <v>-55.279501000000003</v>
      </c>
      <c r="F82" s="48">
        <v>9.5779115832410753</v>
      </c>
      <c r="G82" s="48">
        <v>55.279501099999997</v>
      </c>
      <c r="H82" s="49">
        <v>1E+100</v>
      </c>
    </row>
    <row r="83" spans="2:8" x14ac:dyDescent="0.3">
      <c r="B83" s="47" t="s">
        <v>126</v>
      </c>
      <c r="C83" s="48"/>
      <c r="D83" s="48">
        <v>0</v>
      </c>
      <c r="E83" s="48">
        <v>-205.49117000000001</v>
      </c>
      <c r="F83" s="48">
        <v>22.986987799871713</v>
      </c>
      <c r="G83" s="48">
        <v>205.4911736</v>
      </c>
      <c r="H83" s="49">
        <v>1E+100</v>
      </c>
    </row>
    <row r="84" spans="2:8" x14ac:dyDescent="0.3">
      <c r="B84" s="47" t="s">
        <v>127</v>
      </c>
      <c r="C84" s="48"/>
      <c r="D84" s="48">
        <v>0</v>
      </c>
      <c r="E84" s="48">
        <v>-596.35374999999999</v>
      </c>
      <c r="F84" s="48">
        <v>38.311646333080716</v>
      </c>
      <c r="G84" s="48">
        <v>596.35374530000001</v>
      </c>
      <c r="H84" s="49">
        <v>1E+100</v>
      </c>
    </row>
    <row r="85" spans="2:8" x14ac:dyDescent="0.3">
      <c r="B85" s="47" t="s">
        <v>128</v>
      </c>
      <c r="C85" s="48"/>
      <c r="D85" s="48">
        <v>0</v>
      </c>
      <c r="E85" s="48">
        <v>-205.49117000000001</v>
      </c>
      <c r="F85" s="48">
        <v>22.986987799871713</v>
      </c>
      <c r="G85" s="48">
        <v>205.4911736</v>
      </c>
      <c r="H85" s="49">
        <v>1E+100</v>
      </c>
    </row>
    <row r="86" spans="2:8" x14ac:dyDescent="0.3">
      <c r="B86" s="47" t="s">
        <v>129</v>
      </c>
      <c r="C86" s="48"/>
      <c r="D86" s="48">
        <v>0</v>
      </c>
      <c r="E86" s="48">
        <v>-55.279501000000003</v>
      </c>
      <c r="F86" s="48">
        <v>9.5779115832410753</v>
      </c>
      <c r="G86" s="48">
        <v>55.279501099999997</v>
      </c>
      <c r="H86" s="49">
        <v>1E+100</v>
      </c>
    </row>
    <row r="87" spans="2:8" x14ac:dyDescent="0.3">
      <c r="B87" s="47" t="s">
        <v>130</v>
      </c>
      <c r="C87" s="48"/>
      <c r="D87" s="48">
        <v>0</v>
      </c>
      <c r="E87" s="48">
        <v>-42.557662000000001</v>
      </c>
      <c r="F87" s="48">
        <v>27.939525644527748</v>
      </c>
      <c r="G87" s="48">
        <v>42.557662059999998</v>
      </c>
      <c r="H87" s="49">
        <v>1E+100</v>
      </c>
    </row>
    <row r="88" spans="2:8" x14ac:dyDescent="0.3">
      <c r="B88" s="47" t="s">
        <v>131</v>
      </c>
      <c r="C88" s="48"/>
      <c r="D88" s="48">
        <v>0</v>
      </c>
      <c r="E88" s="48">
        <v>-181.29096999999999</v>
      </c>
      <c r="F88" s="48">
        <v>67.054861546959728</v>
      </c>
      <c r="G88" s="48">
        <v>181.290966</v>
      </c>
      <c r="H88" s="49">
        <v>1E+100</v>
      </c>
    </row>
    <row r="89" spans="2:8" x14ac:dyDescent="0.3">
      <c r="B89" s="47" t="s">
        <v>132</v>
      </c>
      <c r="C89" s="48"/>
      <c r="D89" s="48">
        <v>0</v>
      </c>
      <c r="E89" s="48">
        <v>-578.09558000000004</v>
      </c>
      <c r="F89" s="48">
        <v>111.75810257834382</v>
      </c>
      <c r="G89" s="48">
        <v>578.09558400000003</v>
      </c>
      <c r="H89" s="49">
        <v>1E+100</v>
      </c>
    </row>
    <row r="90" spans="2:8" x14ac:dyDescent="0.3">
      <c r="B90" s="47" t="s">
        <v>133</v>
      </c>
      <c r="C90" s="48"/>
      <c r="D90" s="48">
        <v>0</v>
      </c>
      <c r="E90" s="48">
        <v>-181.29096999999999</v>
      </c>
      <c r="F90" s="48">
        <v>67.054861546959728</v>
      </c>
      <c r="G90" s="48">
        <v>181.290966</v>
      </c>
      <c r="H90" s="49">
        <v>1E+100</v>
      </c>
    </row>
    <row r="91" spans="2:8" x14ac:dyDescent="0.3">
      <c r="B91" s="47" t="s">
        <v>134</v>
      </c>
      <c r="C91" s="48"/>
      <c r="D91" s="48">
        <v>0</v>
      </c>
      <c r="E91" s="48">
        <v>-42.557662000000001</v>
      </c>
      <c r="F91" s="48">
        <v>27.939525644527748</v>
      </c>
      <c r="G91" s="48">
        <v>42.557662059999998</v>
      </c>
      <c r="H91" s="49">
        <v>1E+100</v>
      </c>
    </row>
    <row r="92" spans="2:8" x14ac:dyDescent="0.3">
      <c r="B92" s="47" t="s">
        <v>135</v>
      </c>
      <c r="C92" s="48"/>
      <c r="D92" s="48">
        <v>0</v>
      </c>
      <c r="E92" s="48">
        <v>-23.822427999999999</v>
      </c>
      <c r="F92" s="48">
        <v>24.115659640985541</v>
      </c>
      <c r="G92" s="48">
        <v>23.822427999999999</v>
      </c>
      <c r="H92" s="49">
        <v>1E+100</v>
      </c>
    </row>
    <row r="93" spans="2:8" x14ac:dyDescent="0.3">
      <c r="B93" s="47" t="s">
        <v>136</v>
      </c>
      <c r="C93" s="48"/>
      <c r="D93" s="48">
        <v>0</v>
      </c>
      <c r="E93" s="48">
        <v>-110.99758</v>
      </c>
      <c r="F93" s="48">
        <v>57.877583138411865</v>
      </c>
      <c r="G93" s="48">
        <v>110.99757959999999</v>
      </c>
      <c r="H93" s="49">
        <v>1E+100</v>
      </c>
    </row>
    <row r="94" spans="2:8" x14ac:dyDescent="0.3">
      <c r="B94" s="47" t="s">
        <v>137</v>
      </c>
      <c r="C94" s="48"/>
      <c r="D94" s="48">
        <v>0</v>
      </c>
      <c r="E94" s="48">
        <v>-372.63787000000002</v>
      </c>
      <c r="F94" s="48">
        <v>96.462638564174995</v>
      </c>
      <c r="G94" s="48">
        <v>372.63786829999998</v>
      </c>
      <c r="H94" s="49">
        <v>1E+100</v>
      </c>
    </row>
    <row r="95" spans="2:8" x14ac:dyDescent="0.3">
      <c r="B95" s="47" t="s">
        <v>138</v>
      </c>
      <c r="C95" s="48"/>
      <c r="D95" s="48">
        <v>0</v>
      </c>
      <c r="E95" s="48">
        <v>-110.99758</v>
      </c>
      <c r="F95" s="48">
        <v>57.877583138411865</v>
      </c>
      <c r="G95" s="48">
        <v>110.99757959999999</v>
      </c>
      <c r="H95" s="49">
        <v>1E+100</v>
      </c>
    </row>
    <row r="96" spans="2:8" x14ac:dyDescent="0.3">
      <c r="B96" s="47" t="s">
        <v>139</v>
      </c>
      <c r="C96" s="48"/>
      <c r="D96" s="48">
        <v>0</v>
      </c>
      <c r="E96" s="48">
        <v>-23.822427999999999</v>
      </c>
      <c r="F96" s="48">
        <v>24.115659640985541</v>
      </c>
      <c r="G96" s="48">
        <v>23.822427999999999</v>
      </c>
      <c r="H96" s="49">
        <v>1E+100</v>
      </c>
    </row>
    <row r="97" spans="2:8" x14ac:dyDescent="0.3">
      <c r="B97" s="47" t="s">
        <v>140</v>
      </c>
      <c r="C97" s="48"/>
      <c r="D97" s="48">
        <v>0</v>
      </c>
      <c r="E97" s="48">
        <v>-19.954277999999999</v>
      </c>
      <c r="F97" s="48">
        <v>22.344035058631562</v>
      </c>
      <c r="G97" s="48">
        <v>19.954277560000001</v>
      </c>
      <c r="H97" s="49">
        <v>1E+100</v>
      </c>
    </row>
    <row r="98" spans="2:8" x14ac:dyDescent="0.3">
      <c r="B98" s="47" t="s">
        <v>141</v>
      </c>
      <c r="C98" s="48"/>
      <c r="D98" s="48">
        <v>0</v>
      </c>
      <c r="E98" s="48">
        <v>-95.381811999999996</v>
      </c>
      <c r="F98" s="48">
        <v>53.625684140715748</v>
      </c>
      <c r="G98" s="48">
        <v>95.381812400000001</v>
      </c>
      <c r="H98" s="49">
        <v>1E+100</v>
      </c>
    </row>
    <row r="99" spans="2:8" x14ac:dyDescent="0.3">
      <c r="B99" s="47" t="s">
        <v>142</v>
      </c>
      <c r="C99" s="48"/>
      <c r="D99" s="48">
        <v>0</v>
      </c>
      <c r="E99" s="48">
        <v>-324.53607</v>
      </c>
      <c r="F99" s="48">
        <v>89.376140234642662</v>
      </c>
      <c r="G99" s="48">
        <v>324.53607169999998</v>
      </c>
      <c r="H99" s="49">
        <v>1E+100</v>
      </c>
    </row>
    <row r="100" spans="2:8" x14ac:dyDescent="0.3">
      <c r="B100" s="47" t="s">
        <v>143</v>
      </c>
      <c r="C100" s="48"/>
      <c r="D100" s="48">
        <v>0</v>
      </c>
      <c r="E100" s="48">
        <v>-95.381811999999996</v>
      </c>
      <c r="F100" s="48">
        <v>53.625684140715748</v>
      </c>
      <c r="G100" s="48">
        <v>95.381812400000001</v>
      </c>
      <c r="H100" s="49">
        <v>1E+100</v>
      </c>
    </row>
    <row r="101" spans="2:8" x14ac:dyDescent="0.3">
      <c r="B101" s="47" t="s">
        <v>144</v>
      </c>
      <c r="C101" s="48"/>
      <c r="D101" s="48">
        <v>0</v>
      </c>
      <c r="E101" s="48">
        <v>-19.954277999999999</v>
      </c>
      <c r="F101" s="48">
        <v>22.344035058631562</v>
      </c>
      <c r="G101" s="48">
        <v>19.954277560000001</v>
      </c>
      <c r="H101" s="49">
        <v>1E+100</v>
      </c>
    </row>
    <row r="102" spans="2:8" x14ac:dyDescent="0.3">
      <c r="B102" s="47" t="s">
        <v>145</v>
      </c>
      <c r="C102" s="48"/>
      <c r="D102" s="48">
        <v>0</v>
      </c>
      <c r="E102" s="48">
        <v>-48.452395000000003</v>
      </c>
      <c r="F102" s="48">
        <v>16.40501796384342</v>
      </c>
      <c r="G102" s="48">
        <v>48.452394720000001</v>
      </c>
      <c r="H102" s="49">
        <v>1E+100</v>
      </c>
    </row>
    <row r="103" spans="2:8" x14ac:dyDescent="0.3">
      <c r="B103" s="47" t="s">
        <v>146</v>
      </c>
      <c r="C103" s="48"/>
      <c r="D103" s="48">
        <v>0</v>
      </c>
      <c r="E103" s="48">
        <v>-189.10612</v>
      </c>
      <c r="F103" s="48">
        <v>39.372043113107793</v>
      </c>
      <c r="G103" s="48">
        <v>189.10611829999999</v>
      </c>
      <c r="H103" s="49">
        <v>1E+100</v>
      </c>
    </row>
    <row r="104" spans="2:8" x14ac:dyDescent="0.3">
      <c r="B104" s="47" t="s">
        <v>147</v>
      </c>
      <c r="C104" s="48"/>
      <c r="D104" s="48">
        <v>0</v>
      </c>
      <c r="E104" s="48">
        <v>-569.04531999999995</v>
      </c>
      <c r="F104" s="48">
        <v>65.620071855257265</v>
      </c>
      <c r="G104" s="48">
        <v>569.04531980000002</v>
      </c>
      <c r="H104" s="49">
        <v>1E+100</v>
      </c>
    </row>
    <row r="105" spans="2:8" x14ac:dyDescent="0.3">
      <c r="B105" s="47" t="s">
        <v>148</v>
      </c>
      <c r="C105" s="48"/>
      <c r="D105" s="48">
        <v>0</v>
      </c>
      <c r="E105" s="48">
        <v>-189.10612</v>
      </c>
      <c r="F105" s="48">
        <v>39.372043113107793</v>
      </c>
      <c r="G105" s="48">
        <v>189.10611829999999</v>
      </c>
      <c r="H105" s="49">
        <v>1E+100</v>
      </c>
    </row>
    <row r="106" spans="2:8" x14ac:dyDescent="0.3">
      <c r="B106" s="47" t="s">
        <v>149</v>
      </c>
      <c r="C106" s="48"/>
      <c r="D106" s="48">
        <v>0</v>
      </c>
      <c r="E106" s="48">
        <v>-48.452395000000003</v>
      </c>
      <c r="F106" s="48">
        <v>16.40501796384342</v>
      </c>
      <c r="G106" s="48">
        <v>48.452394720000001</v>
      </c>
      <c r="H106" s="49">
        <v>1E+100</v>
      </c>
    </row>
    <row r="107" spans="2:8" x14ac:dyDescent="0.3">
      <c r="B107" s="47" t="s">
        <v>150</v>
      </c>
      <c r="C107" s="48"/>
      <c r="D107" s="48">
        <v>0</v>
      </c>
      <c r="E107" s="48">
        <v>-55.747244999999999</v>
      </c>
      <c r="F107" s="48">
        <v>96.546404499793425</v>
      </c>
      <c r="G107" s="48">
        <v>55.747244819999999</v>
      </c>
      <c r="H107" s="49">
        <v>1E+100</v>
      </c>
    </row>
    <row r="108" spans="2:8" x14ac:dyDescent="0.3">
      <c r="B108" s="47" t="s">
        <v>151</v>
      </c>
      <c r="C108" s="48"/>
      <c r="D108" s="48">
        <v>0</v>
      </c>
      <c r="E108" s="48">
        <v>-55.747244999999999</v>
      </c>
      <c r="F108" s="48">
        <v>231.71137079945765</v>
      </c>
      <c r="G108" s="48">
        <v>55.747244819999999</v>
      </c>
      <c r="H108" s="49">
        <v>1E+100</v>
      </c>
    </row>
    <row r="109" spans="2:8" x14ac:dyDescent="0.3">
      <c r="B109" s="47" t="s">
        <v>152</v>
      </c>
      <c r="C109" s="48"/>
      <c r="D109" s="48">
        <v>0</v>
      </c>
      <c r="E109" s="48">
        <v>-236.81897000000001</v>
      </c>
      <c r="F109" s="48">
        <v>386.18561799905729</v>
      </c>
      <c r="G109" s="48">
        <v>236.81897040000001</v>
      </c>
      <c r="H109" s="49">
        <v>1E+100</v>
      </c>
    </row>
    <row r="110" spans="2:8" x14ac:dyDescent="0.3">
      <c r="B110" s="47" t="s">
        <v>153</v>
      </c>
      <c r="C110" s="48"/>
      <c r="D110" s="48">
        <v>0</v>
      </c>
      <c r="E110" s="48">
        <v>-55.747244999999999</v>
      </c>
      <c r="F110" s="48">
        <v>231.71137079945765</v>
      </c>
      <c r="G110" s="48">
        <v>55.747244819999999</v>
      </c>
      <c r="H110" s="49">
        <v>1E+100</v>
      </c>
    </row>
    <row r="111" spans="2:8" x14ac:dyDescent="0.3">
      <c r="B111" s="47" t="s">
        <v>154</v>
      </c>
      <c r="C111" s="48"/>
      <c r="D111" s="48">
        <v>0</v>
      </c>
      <c r="E111" s="48">
        <v>-55.747244999999999</v>
      </c>
      <c r="F111" s="48">
        <v>96.546404499793425</v>
      </c>
      <c r="G111" s="48">
        <v>55.747244819999999</v>
      </c>
      <c r="H111" s="49">
        <v>1E+100</v>
      </c>
    </row>
    <row r="112" spans="2:8" x14ac:dyDescent="0.3">
      <c r="B112" s="47" t="s">
        <v>155</v>
      </c>
      <c r="C112" s="48"/>
      <c r="D112" s="48">
        <v>0</v>
      </c>
      <c r="E112" s="48">
        <v>0</v>
      </c>
      <c r="F112" s="48">
        <v>53.577862653764896</v>
      </c>
      <c r="G112" s="48">
        <v>0</v>
      </c>
      <c r="H112" s="49">
        <v>1E+100</v>
      </c>
    </row>
    <row r="113" spans="2:8" x14ac:dyDescent="0.3">
      <c r="B113" s="47" t="s">
        <v>156</v>
      </c>
      <c r="C113" s="48"/>
      <c r="D113" s="48">
        <v>0</v>
      </c>
      <c r="E113" s="48">
        <v>-60.155959000000003</v>
      </c>
      <c r="F113" s="48">
        <v>128.58687036903575</v>
      </c>
      <c r="G113" s="48">
        <v>60.155958579999997</v>
      </c>
      <c r="H113" s="49">
        <v>1E+100</v>
      </c>
    </row>
    <row r="114" spans="2:8" x14ac:dyDescent="0.3">
      <c r="B114" s="47" t="s">
        <v>157</v>
      </c>
      <c r="C114" s="48"/>
      <c r="D114" s="48">
        <v>0</v>
      </c>
      <c r="E114" s="48">
        <v>-309.97735</v>
      </c>
      <c r="F114" s="48">
        <v>214.31145061505958</v>
      </c>
      <c r="G114" s="48">
        <v>309.97735119999999</v>
      </c>
      <c r="H114" s="49">
        <v>1E+100</v>
      </c>
    </row>
    <row r="115" spans="2:8" x14ac:dyDescent="0.3">
      <c r="B115" s="47" t="s">
        <v>158</v>
      </c>
      <c r="C115" s="48"/>
      <c r="D115" s="48">
        <v>0</v>
      </c>
      <c r="E115" s="48">
        <v>-60.155959000000003</v>
      </c>
      <c r="F115" s="48">
        <v>128.58687036903575</v>
      </c>
      <c r="G115" s="48">
        <v>60.155958579999997</v>
      </c>
      <c r="H115" s="49">
        <v>1E+100</v>
      </c>
    </row>
    <row r="116" spans="2:8" x14ac:dyDescent="0.3">
      <c r="B116" s="47" t="s">
        <v>159</v>
      </c>
      <c r="C116" s="48"/>
      <c r="D116" s="48">
        <v>0</v>
      </c>
      <c r="E116" s="48">
        <v>0</v>
      </c>
      <c r="F116" s="48">
        <v>53.577862653764896</v>
      </c>
      <c r="G116" s="48">
        <v>0</v>
      </c>
      <c r="H116" s="49">
        <v>1E+100</v>
      </c>
    </row>
    <row r="117" spans="2:8" x14ac:dyDescent="0.3">
      <c r="B117" s="47" t="s">
        <v>160</v>
      </c>
      <c r="C117" s="48"/>
      <c r="D117" s="48">
        <v>0</v>
      </c>
      <c r="E117" s="48">
        <v>-10.8818</v>
      </c>
      <c r="F117" s="48">
        <v>56</v>
      </c>
      <c r="G117" s="48">
        <v>10.88179987</v>
      </c>
      <c r="H117" s="49">
        <v>1E+100</v>
      </c>
    </row>
    <row r="118" spans="2:8" x14ac:dyDescent="0.3">
      <c r="B118" s="47" t="s">
        <v>161</v>
      </c>
      <c r="C118" s="48"/>
      <c r="D118" s="48">
        <v>0</v>
      </c>
      <c r="E118" s="48">
        <v>-46.304929000000001</v>
      </c>
      <c r="F118" s="48">
        <v>134.40000000002328</v>
      </c>
      <c r="G118" s="48">
        <v>46.304929389999998</v>
      </c>
      <c r="H118" s="49">
        <v>1E+100</v>
      </c>
    </row>
    <row r="119" spans="2:8" x14ac:dyDescent="0.3">
      <c r="B119" s="47" t="s">
        <v>162</v>
      </c>
      <c r="C119" s="48"/>
      <c r="D119" s="48">
        <v>0</v>
      </c>
      <c r="E119" s="48">
        <v>-239.26996</v>
      </c>
      <c r="F119" s="48">
        <v>224</v>
      </c>
      <c r="G119" s="48">
        <v>239.26995909999999</v>
      </c>
      <c r="H119" s="49">
        <v>1E+100</v>
      </c>
    </row>
    <row r="120" spans="2:8" x14ac:dyDescent="0.3">
      <c r="B120" s="47" t="s">
        <v>163</v>
      </c>
      <c r="C120" s="48"/>
      <c r="D120" s="48">
        <v>0</v>
      </c>
      <c r="E120" s="48">
        <v>-46.304929000000001</v>
      </c>
      <c r="F120" s="48">
        <v>134.40000000002328</v>
      </c>
      <c r="G120" s="48">
        <v>46.304929389999998</v>
      </c>
      <c r="H120" s="49">
        <v>1E+100</v>
      </c>
    </row>
    <row r="121" spans="2:8" x14ac:dyDescent="0.3">
      <c r="B121" s="47" t="s">
        <v>164</v>
      </c>
      <c r="C121" s="48"/>
      <c r="D121" s="48">
        <v>0</v>
      </c>
      <c r="E121" s="48">
        <v>-10.8818</v>
      </c>
      <c r="F121" s="48">
        <v>56</v>
      </c>
      <c r="G121" s="48">
        <v>10.88179987</v>
      </c>
      <c r="H121" s="49">
        <v>1E+100</v>
      </c>
    </row>
    <row r="122" spans="2:8" x14ac:dyDescent="0.3">
      <c r="B122" s="47" t="s">
        <v>165</v>
      </c>
      <c r="C122" s="48"/>
      <c r="D122" s="48">
        <v>0</v>
      </c>
      <c r="E122" s="48">
        <v>-3.6854143000000001</v>
      </c>
      <c r="F122" s="48">
        <v>41.292619365034625</v>
      </c>
      <c r="G122" s="48">
        <v>3.6854143119999998</v>
      </c>
      <c r="H122" s="49">
        <v>1E+100</v>
      </c>
    </row>
    <row r="123" spans="2:8" x14ac:dyDescent="0.3">
      <c r="B123" s="47" t="s">
        <v>166</v>
      </c>
      <c r="C123" s="48"/>
      <c r="D123" s="48">
        <v>0</v>
      </c>
      <c r="E123" s="48">
        <v>-45.470986000000003</v>
      </c>
      <c r="F123" s="48">
        <v>99.102286475943401</v>
      </c>
      <c r="G123" s="48">
        <v>45.47098553</v>
      </c>
      <c r="H123" s="49">
        <v>1E+100</v>
      </c>
    </row>
    <row r="124" spans="2:8" x14ac:dyDescent="0.3">
      <c r="B124" s="47" t="s">
        <v>167</v>
      </c>
      <c r="C124" s="48"/>
      <c r="D124" s="48">
        <v>0</v>
      </c>
      <c r="E124" s="48">
        <v>-226.6472</v>
      </c>
      <c r="F124" s="48">
        <v>165.17047745978925</v>
      </c>
      <c r="G124" s="48">
        <v>226.6471956</v>
      </c>
      <c r="H124" s="49">
        <v>1E+100</v>
      </c>
    </row>
    <row r="125" spans="2:8" x14ac:dyDescent="0.3">
      <c r="B125" s="47" t="s">
        <v>168</v>
      </c>
      <c r="C125" s="48"/>
      <c r="D125" s="48">
        <v>0</v>
      </c>
      <c r="E125" s="48">
        <v>-45.470986000000003</v>
      </c>
      <c r="F125" s="48">
        <v>99.102286475943401</v>
      </c>
      <c r="G125" s="48">
        <v>45.47098553</v>
      </c>
      <c r="H125" s="49">
        <v>1E+100</v>
      </c>
    </row>
    <row r="126" spans="2:8" x14ac:dyDescent="0.3">
      <c r="B126" s="47" t="s">
        <v>169</v>
      </c>
      <c r="C126" s="48"/>
      <c r="D126" s="48">
        <v>0</v>
      </c>
      <c r="E126" s="48">
        <v>-3.6854143000000001</v>
      </c>
      <c r="F126" s="48">
        <v>41.292619365034625</v>
      </c>
      <c r="G126" s="48">
        <v>3.6854143119999998</v>
      </c>
      <c r="H126" s="49">
        <v>1E+100</v>
      </c>
    </row>
    <row r="127" spans="2:8" x14ac:dyDescent="0.3">
      <c r="B127" s="47" t="s">
        <v>170</v>
      </c>
      <c r="C127" s="48"/>
      <c r="D127" s="48">
        <v>0</v>
      </c>
      <c r="E127" s="48">
        <v>-651.41452000000004</v>
      </c>
      <c r="F127" s="48">
        <v>157.63452291709837</v>
      </c>
      <c r="G127" s="48">
        <v>651.41451910000001</v>
      </c>
      <c r="H127" s="49">
        <v>1E+100</v>
      </c>
    </row>
    <row r="128" spans="2:8" x14ac:dyDescent="0.3">
      <c r="B128" s="47" t="s">
        <v>171</v>
      </c>
      <c r="C128" s="48"/>
      <c r="D128" s="48">
        <v>0</v>
      </c>
      <c r="E128" s="48">
        <v>-544.54931999999997</v>
      </c>
      <c r="F128" s="48">
        <v>378.32285500096623</v>
      </c>
      <c r="G128" s="48">
        <v>544.54931650000003</v>
      </c>
      <c r="H128" s="49">
        <v>1E+100</v>
      </c>
    </row>
    <row r="129" spans="2:8" x14ac:dyDescent="0.3">
      <c r="B129" s="47" t="s">
        <v>172</v>
      </c>
      <c r="C129" s="48"/>
      <c r="D129" s="48">
        <v>0</v>
      </c>
      <c r="E129" s="48">
        <v>-574.89910999999995</v>
      </c>
      <c r="F129" s="48">
        <v>630.53809166839346</v>
      </c>
      <c r="G129" s="48">
        <v>574.89910959999997</v>
      </c>
      <c r="H129" s="49">
        <v>1E+100</v>
      </c>
    </row>
    <row r="130" spans="2:8" x14ac:dyDescent="0.3">
      <c r="B130" s="47" t="s">
        <v>173</v>
      </c>
      <c r="C130" s="48"/>
      <c r="D130" s="48">
        <v>0</v>
      </c>
      <c r="E130" s="48">
        <v>-544.54931999999997</v>
      </c>
      <c r="F130" s="48">
        <v>378.32285500096623</v>
      </c>
      <c r="G130" s="48">
        <v>544.54931650000003</v>
      </c>
      <c r="H130" s="49">
        <v>1E+100</v>
      </c>
    </row>
    <row r="131" spans="2:8" x14ac:dyDescent="0.3">
      <c r="B131" s="47" t="s">
        <v>174</v>
      </c>
      <c r="C131" s="48"/>
      <c r="D131" s="48">
        <v>0</v>
      </c>
      <c r="E131" s="48">
        <v>-651.41452000000004</v>
      </c>
      <c r="F131" s="48">
        <v>157.63452291709837</v>
      </c>
      <c r="G131" s="48">
        <v>651.41451910000001</v>
      </c>
      <c r="H131" s="49">
        <v>1E+100</v>
      </c>
    </row>
    <row r="132" spans="2:8" x14ac:dyDescent="0.3">
      <c r="B132" s="47" t="s">
        <v>175</v>
      </c>
      <c r="C132" s="48"/>
      <c r="D132" s="48">
        <v>0</v>
      </c>
      <c r="E132" s="48">
        <v>-11.267772000000001</v>
      </c>
      <c r="F132" s="48">
        <v>67.082039324915968</v>
      </c>
      <c r="G132" s="48">
        <v>11.2677719</v>
      </c>
      <c r="H132" s="49">
        <v>1E+100</v>
      </c>
    </row>
    <row r="133" spans="2:8" x14ac:dyDescent="0.3">
      <c r="B133" s="47" t="s">
        <v>176</v>
      </c>
      <c r="C133" s="48"/>
      <c r="D133" s="48">
        <v>0</v>
      </c>
      <c r="E133" s="48">
        <v>-17.959299999999999</v>
      </c>
      <c r="F133" s="48">
        <v>160.9968943799613</v>
      </c>
      <c r="G133" s="48">
        <v>17.95930027</v>
      </c>
      <c r="H133" s="49">
        <v>1E+100</v>
      </c>
    </row>
    <row r="134" spans="2:8" x14ac:dyDescent="0.3">
      <c r="B134" s="47" t="s">
        <v>177</v>
      </c>
      <c r="C134" s="48"/>
      <c r="D134" s="48">
        <v>0</v>
      </c>
      <c r="E134" s="48">
        <v>-160.3826</v>
      </c>
      <c r="F134" s="48">
        <v>268.3281572998967</v>
      </c>
      <c r="G134" s="48">
        <v>160.38259819999999</v>
      </c>
      <c r="H134" s="49">
        <v>1E+100</v>
      </c>
    </row>
    <row r="135" spans="2:8" x14ac:dyDescent="0.3">
      <c r="B135" s="47" t="s">
        <v>178</v>
      </c>
      <c r="C135" s="48"/>
      <c r="D135" s="48">
        <v>0</v>
      </c>
      <c r="E135" s="48">
        <v>-17.959299999999999</v>
      </c>
      <c r="F135" s="48">
        <v>160.9968943799613</v>
      </c>
      <c r="G135" s="48">
        <v>17.95930027</v>
      </c>
      <c r="H135" s="49">
        <v>1E+100</v>
      </c>
    </row>
    <row r="136" spans="2:8" x14ac:dyDescent="0.3">
      <c r="B136" s="47" t="s">
        <v>179</v>
      </c>
      <c r="C136" s="48"/>
      <c r="D136" s="48">
        <v>0</v>
      </c>
      <c r="E136" s="48">
        <v>-11.267772000000001</v>
      </c>
      <c r="F136" s="48">
        <v>67.082039324915968</v>
      </c>
      <c r="G136" s="48">
        <v>11.2677719</v>
      </c>
      <c r="H136" s="49">
        <v>1E+100</v>
      </c>
    </row>
    <row r="137" spans="2:8" x14ac:dyDescent="0.3">
      <c r="B137" s="47" t="s">
        <v>180</v>
      </c>
      <c r="C137" s="48"/>
      <c r="D137" s="48">
        <v>0</v>
      </c>
      <c r="E137" s="48">
        <v>-0.96642746999999996</v>
      </c>
      <c r="F137" s="48">
        <v>35.652049159281887</v>
      </c>
      <c r="G137" s="48">
        <v>0.96642746889999998</v>
      </c>
      <c r="H137" s="49">
        <v>1E+100</v>
      </c>
    </row>
    <row r="138" spans="2:8" x14ac:dyDescent="0.3">
      <c r="B138" s="47" t="s">
        <v>181</v>
      </c>
      <c r="C138" s="48"/>
      <c r="D138" s="48">
        <v>0</v>
      </c>
      <c r="E138" s="48">
        <v>-24.599557000000001</v>
      </c>
      <c r="F138" s="48">
        <v>85.564917982323095</v>
      </c>
      <c r="G138" s="48">
        <v>24.599557069999999</v>
      </c>
      <c r="H138" s="49">
        <v>1E+100</v>
      </c>
    </row>
    <row r="139" spans="2:8" x14ac:dyDescent="0.3">
      <c r="B139" s="47" t="s">
        <v>182</v>
      </c>
      <c r="C139" s="48"/>
      <c r="D139" s="48">
        <v>0</v>
      </c>
      <c r="E139" s="48">
        <v>-150.13364000000001</v>
      </c>
      <c r="F139" s="48">
        <v>142.60819663724396</v>
      </c>
      <c r="G139" s="48">
        <v>150.13364490000001</v>
      </c>
      <c r="H139" s="49">
        <v>1E+100</v>
      </c>
    </row>
    <row r="140" spans="2:8" x14ac:dyDescent="0.3">
      <c r="B140" s="47" t="s">
        <v>183</v>
      </c>
      <c r="C140" s="48"/>
      <c r="D140" s="48">
        <v>0</v>
      </c>
      <c r="E140" s="48">
        <v>-24.599557000000001</v>
      </c>
      <c r="F140" s="48">
        <v>85.564917982323095</v>
      </c>
      <c r="G140" s="48">
        <v>24.599557069999999</v>
      </c>
      <c r="H140" s="49">
        <v>1E+100</v>
      </c>
    </row>
    <row r="141" spans="2:8" x14ac:dyDescent="0.3">
      <c r="B141" s="47" t="s">
        <v>184</v>
      </c>
      <c r="C141" s="48"/>
      <c r="D141" s="48">
        <v>0</v>
      </c>
      <c r="E141" s="48">
        <v>-0.96642746999999996</v>
      </c>
      <c r="F141" s="48">
        <v>35.652049159281887</v>
      </c>
      <c r="G141" s="48">
        <v>0.96642746889999998</v>
      </c>
      <c r="H141" s="49">
        <v>1E+100</v>
      </c>
    </row>
    <row r="142" spans="2:8" x14ac:dyDescent="0.3">
      <c r="B142" s="47" t="s">
        <v>185</v>
      </c>
      <c r="C142" s="48"/>
      <c r="D142" s="48">
        <v>0</v>
      </c>
      <c r="E142" s="48">
        <v>-59.081032999999998</v>
      </c>
      <c r="F142" s="48">
        <v>59.857869449071586</v>
      </c>
      <c r="G142" s="48">
        <v>59.081033060000003</v>
      </c>
      <c r="H142" s="49">
        <v>1E+100</v>
      </c>
    </row>
    <row r="143" spans="2:8" x14ac:dyDescent="0.3">
      <c r="B143" s="47" t="s">
        <v>186</v>
      </c>
      <c r="C143" s="48"/>
      <c r="D143" s="48">
        <v>0</v>
      </c>
      <c r="E143" s="48">
        <v>-19.071487999999999</v>
      </c>
      <c r="F143" s="48">
        <v>143.65888667770196</v>
      </c>
      <c r="G143" s="48">
        <v>19.07148771</v>
      </c>
      <c r="H143" s="49">
        <v>1E+100</v>
      </c>
    </row>
    <row r="144" spans="2:8" x14ac:dyDescent="0.3">
      <c r="B144" s="47" t="s">
        <v>187</v>
      </c>
      <c r="C144" s="48"/>
      <c r="D144" s="48">
        <v>0</v>
      </c>
      <c r="E144" s="48">
        <v>-32.010883</v>
      </c>
      <c r="F144" s="48">
        <v>239.43147779628634</v>
      </c>
      <c r="G144" s="48">
        <v>32.010883389999996</v>
      </c>
      <c r="H144" s="49">
        <v>1E+100</v>
      </c>
    </row>
    <row r="145" spans="2:8" x14ac:dyDescent="0.3">
      <c r="B145" s="47" t="s">
        <v>188</v>
      </c>
      <c r="C145" s="48"/>
      <c r="D145" s="48">
        <v>0</v>
      </c>
      <c r="E145" s="48">
        <v>-19.071487999999999</v>
      </c>
      <c r="F145" s="48">
        <v>143.65888667770196</v>
      </c>
      <c r="G145" s="48">
        <v>19.07148771</v>
      </c>
      <c r="H145" s="49">
        <v>1E+100</v>
      </c>
    </row>
    <row r="146" spans="2:8" x14ac:dyDescent="0.3">
      <c r="B146" s="47" t="s">
        <v>189</v>
      </c>
      <c r="C146" s="48"/>
      <c r="D146" s="48">
        <v>0</v>
      </c>
      <c r="E146" s="48">
        <v>-59.081032999999998</v>
      </c>
      <c r="F146" s="48">
        <v>59.857869449071586</v>
      </c>
      <c r="G146" s="48">
        <v>59.081033060000003</v>
      </c>
      <c r="H146" s="49">
        <v>1E+100</v>
      </c>
    </row>
    <row r="147" spans="2:8" x14ac:dyDescent="0.3">
      <c r="B147" s="47" t="s">
        <v>190</v>
      </c>
      <c r="C147" s="48"/>
      <c r="D147" s="48">
        <v>0</v>
      </c>
      <c r="E147" s="48">
        <v>-4.8746099000000003</v>
      </c>
      <c r="F147" s="48">
        <v>17.799791132216342</v>
      </c>
      <c r="G147" s="48">
        <v>4.8746098609999997</v>
      </c>
      <c r="H147" s="49">
        <v>1E+100</v>
      </c>
    </row>
    <row r="148" spans="2:8" x14ac:dyDescent="0.3">
      <c r="B148" s="47" t="s">
        <v>191</v>
      </c>
      <c r="C148" s="48"/>
      <c r="D148" s="48">
        <v>0</v>
      </c>
      <c r="E148" s="48">
        <v>-37.157344999999999</v>
      </c>
      <c r="F148" s="48">
        <v>42.719498717342503</v>
      </c>
      <c r="G148" s="48">
        <v>37.157345489999997</v>
      </c>
      <c r="H148" s="49">
        <v>1E+100</v>
      </c>
    </row>
    <row r="149" spans="2:8" x14ac:dyDescent="0.3">
      <c r="B149" s="47" t="s">
        <v>192</v>
      </c>
      <c r="C149" s="48"/>
      <c r="D149" s="48">
        <v>0</v>
      </c>
      <c r="E149" s="48">
        <v>-150.6823</v>
      </c>
      <c r="F149" s="48">
        <v>71.199164528981782</v>
      </c>
      <c r="G149" s="48">
        <v>150.682298</v>
      </c>
      <c r="H149" s="49">
        <v>1E+100</v>
      </c>
    </row>
    <row r="150" spans="2:8" x14ac:dyDescent="0.3">
      <c r="B150" s="47" t="s">
        <v>193</v>
      </c>
      <c r="C150" s="48"/>
      <c r="D150" s="48">
        <v>0</v>
      </c>
      <c r="E150" s="48">
        <v>-37.157344999999999</v>
      </c>
      <c r="F150" s="48">
        <v>42.719498717342503</v>
      </c>
      <c r="G150" s="48">
        <v>37.157345489999997</v>
      </c>
      <c r="H150" s="49">
        <v>1E+100</v>
      </c>
    </row>
    <row r="151" spans="2:8" x14ac:dyDescent="0.3">
      <c r="B151" s="47" t="s">
        <v>194</v>
      </c>
      <c r="C151" s="48"/>
      <c r="D151" s="48">
        <v>0</v>
      </c>
      <c r="E151" s="48">
        <v>-4.8746099000000003</v>
      </c>
      <c r="F151" s="48">
        <v>17.799791132216342</v>
      </c>
      <c r="G151" s="48">
        <v>4.8746098609999997</v>
      </c>
      <c r="H151" s="49">
        <v>1E+100</v>
      </c>
    </row>
    <row r="152" spans="2:8" x14ac:dyDescent="0.3">
      <c r="B152" s="47" t="s">
        <v>195</v>
      </c>
      <c r="C152" s="48"/>
      <c r="D152" s="48">
        <v>0</v>
      </c>
      <c r="E152" s="48">
        <v>-380.86730999999997</v>
      </c>
      <c r="F152" s="48">
        <v>185.37362929794472</v>
      </c>
      <c r="G152" s="48">
        <v>380.8673091</v>
      </c>
      <c r="H152" s="49">
        <v>1E+100</v>
      </c>
    </row>
    <row r="153" spans="2:8" x14ac:dyDescent="0.3">
      <c r="B153" s="47" t="s">
        <v>196</v>
      </c>
      <c r="C153" s="48"/>
      <c r="D153" s="48">
        <v>0</v>
      </c>
      <c r="E153" s="48">
        <v>-240.82005000000001</v>
      </c>
      <c r="F153" s="48">
        <v>444.89671031525359</v>
      </c>
      <c r="G153" s="48">
        <v>240.820055</v>
      </c>
      <c r="H153" s="49">
        <v>1E+100</v>
      </c>
    </row>
    <row r="154" spans="2:8" x14ac:dyDescent="0.3">
      <c r="B154" s="47" t="s">
        <v>197</v>
      </c>
      <c r="C154" s="48"/>
      <c r="D154" s="48">
        <v>0</v>
      </c>
      <c r="E154" s="48">
        <v>-240.82005000000001</v>
      </c>
      <c r="F154" s="48">
        <v>741.4945171920117</v>
      </c>
      <c r="G154" s="48">
        <v>240.820055</v>
      </c>
      <c r="H154" s="49">
        <v>1E+100</v>
      </c>
    </row>
    <row r="155" spans="2:8" x14ac:dyDescent="0.3">
      <c r="B155" s="47" t="s">
        <v>198</v>
      </c>
      <c r="C155" s="48"/>
      <c r="D155" s="48">
        <v>0</v>
      </c>
      <c r="E155" s="48">
        <v>-240.82005000000001</v>
      </c>
      <c r="F155" s="48">
        <v>444.89671031525359</v>
      </c>
      <c r="G155" s="48">
        <v>240.820055</v>
      </c>
      <c r="H155" s="49">
        <v>1E+100</v>
      </c>
    </row>
    <row r="156" spans="2:8" x14ac:dyDescent="0.3">
      <c r="B156" s="47" t="s">
        <v>199</v>
      </c>
      <c r="C156" s="48"/>
      <c r="D156" s="48">
        <v>0</v>
      </c>
      <c r="E156" s="48">
        <v>-380.86730999999997</v>
      </c>
      <c r="F156" s="48">
        <v>185.37362929794472</v>
      </c>
      <c r="G156" s="48">
        <v>380.8673091</v>
      </c>
      <c r="H156" s="49">
        <v>1E+100</v>
      </c>
    </row>
    <row r="157" spans="2:8" x14ac:dyDescent="0.3">
      <c r="B157" s="47" t="s">
        <v>200</v>
      </c>
      <c r="C157" s="48"/>
      <c r="D157" s="48">
        <v>0</v>
      </c>
      <c r="E157" s="48">
        <v>-3.4117427</v>
      </c>
      <c r="F157" s="48">
        <v>18.913440539268777</v>
      </c>
      <c r="G157" s="48">
        <v>3.4117427070000002</v>
      </c>
      <c r="H157" s="49">
        <v>1E+100</v>
      </c>
    </row>
    <row r="158" spans="2:8" x14ac:dyDescent="0.3">
      <c r="B158" s="47" t="s">
        <v>201</v>
      </c>
      <c r="C158" s="48"/>
      <c r="D158" s="48">
        <v>0</v>
      </c>
      <c r="E158" s="48">
        <v>-33.254370999999999</v>
      </c>
      <c r="F158" s="48">
        <v>45.392257294268347</v>
      </c>
      <c r="G158" s="48">
        <v>33.254370889999997</v>
      </c>
      <c r="H158" s="49">
        <v>1E+100</v>
      </c>
    </row>
    <row r="159" spans="2:8" x14ac:dyDescent="0.3">
      <c r="B159" s="47" t="s">
        <v>202</v>
      </c>
      <c r="C159" s="48"/>
      <c r="D159" s="48">
        <v>0</v>
      </c>
      <c r="E159" s="48">
        <v>-142.81040999999999</v>
      </c>
      <c r="F159" s="48">
        <v>75.653762157075107</v>
      </c>
      <c r="G159" s="48">
        <v>142.81041300000001</v>
      </c>
      <c r="H159" s="49">
        <v>1E+100</v>
      </c>
    </row>
    <row r="160" spans="2:8" x14ac:dyDescent="0.3">
      <c r="B160" s="47" t="s">
        <v>203</v>
      </c>
      <c r="C160" s="48"/>
      <c r="D160" s="48">
        <v>0</v>
      </c>
      <c r="E160" s="48">
        <v>-33.254370999999999</v>
      </c>
      <c r="F160" s="48">
        <v>45.392257294268347</v>
      </c>
      <c r="G160" s="48">
        <v>33.254370889999997</v>
      </c>
      <c r="H160" s="49">
        <v>1E+100</v>
      </c>
    </row>
    <row r="161" spans="2:8" x14ac:dyDescent="0.3">
      <c r="B161" s="47" t="s">
        <v>204</v>
      </c>
      <c r="C161" s="48"/>
      <c r="D161" s="48">
        <v>0</v>
      </c>
      <c r="E161" s="48">
        <v>-3.4117427</v>
      </c>
      <c r="F161" s="48">
        <v>18.913440539268777</v>
      </c>
      <c r="G161" s="48">
        <v>3.4117427070000002</v>
      </c>
      <c r="H161" s="49">
        <v>1E+100</v>
      </c>
    </row>
    <row r="162" spans="2:8" x14ac:dyDescent="0.3">
      <c r="B162" s="47" t="s">
        <v>205</v>
      </c>
      <c r="C162" s="48"/>
      <c r="D162" s="48">
        <v>0</v>
      </c>
      <c r="E162" s="48">
        <v>-21.042065999999998</v>
      </c>
      <c r="F162" s="48">
        <v>14.849242404918186</v>
      </c>
      <c r="G162" s="48">
        <v>21.04206602</v>
      </c>
      <c r="H162" s="49">
        <v>1E+100</v>
      </c>
    </row>
    <row r="163" spans="2:8" x14ac:dyDescent="0.3">
      <c r="B163" s="47" t="s">
        <v>206</v>
      </c>
      <c r="C163" s="48"/>
      <c r="D163" s="48">
        <v>0</v>
      </c>
      <c r="E163" s="48">
        <v>-90.798872000000003</v>
      </c>
      <c r="F163" s="48">
        <v>35.638181771733798</v>
      </c>
      <c r="G163" s="48">
        <v>90.798871730000002</v>
      </c>
      <c r="H163" s="49">
        <v>1E+100</v>
      </c>
    </row>
    <row r="164" spans="2:8" x14ac:dyDescent="0.3">
      <c r="B164" s="47" t="s">
        <v>207</v>
      </c>
      <c r="C164" s="48"/>
      <c r="D164" s="48">
        <v>0</v>
      </c>
      <c r="E164" s="48">
        <v>-291.81918999999999</v>
      </c>
      <c r="F164" s="48">
        <v>59.396969619672745</v>
      </c>
      <c r="G164" s="48">
        <v>291.81918860000002</v>
      </c>
      <c r="H164" s="49">
        <v>1E+100</v>
      </c>
    </row>
    <row r="165" spans="2:8" x14ac:dyDescent="0.3">
      <c r="B165" s="47" t="s">
        <v>208</v>
      </c>
      <c r="C165" s="48"/>
      <c r="D165" s="48">
        <v>0</v>
      </c>
      <c r="E165" s="48">
        <v>-90.798872000000003</v>
      </c>
      <c r="F165" s="48">
        <v>35.638181771733798</v>
      </c>
      <c r="G165" s="48">
        <v>90.798871730000002</v>
      </c>
      <c r="H165" s="49">
        <v>1E+100</v>
      </c>
    </row>
    <row r="166" spans="2:8" x14ac:dyDescent="0.3">
      <c r="B166" s="47" t="s">
        <v>209</v>
      </c>
      <c r="C166" s="48"/>
      <c r="D166" s="48">
        <v>0</v>
      </c>
      <c r="E166" s="48">
        <v>-21.042065999999998</v>
      </c>
      <c r="F166" s="48">
        <v>14.849242404918186</v>
      </c>
      <c r="G166" s="48">
        <v>21.04206602</v>
      </c>
      <c r="H166" s="49">
        <v>1E+100</v>
      </c>
    </row>
    <row r="167" spans="2:8" x14ac:dyDescent="0.3">
      <c r="B167" s="47" t="s">
        <v>210</v>
      </c>
      <c r="C167" s="48"/>
      <c r="D167" s="48">
        <v>0</v>
      </c>
      <c r="E167" s="48">
        <v>-0.13843633999999999</v>
      </c>
      <c r="F167" s="48">
        <v>17.957360834698193</v>
      </c>
      <c r="G167" s="48">
        <v>0.1384363361</v>
      </c>
      <c r="H167" s="49">
        <v>1E+100</v>
      </c>
    </row>
    <row r="168" spans="2:8" x14ac:dyDescent="0.3">
      <c r="B168" s="47" t="s">
        <v>211</v>
      </c>
      <c r="C168" s="48"/>
      <c r="D168" s="48">
        <v>0</v>
      </c>
      <c r="E168" s="48">
        <v>-18.789603</v>
      </c>
      <c r="F168" s="48">
        <v>43.097666003275663</v>
      </c>
      <c r="G168" s="48">
        <v>18.78960305</v>
      </c>
      <c r="H168" s="49">
        <v>1E+100</v>
      </c>
    </row>
    <row r="169" spans="2:8" x14ac:dyDescent="0.3">
      <c r="B169" s="47" t="s">
        <v>212</v>
      </c>
      <c r="C169" s="48"/>
      <c r="D169" s="48">
        <v>0</v>
      </c>
      <c r="E169" s="48">
        <v>-98.769812999999999</v>
      </c>
      <c r="F169" s="48">
        <v>71.829443338792771</v>
      </c>
      <c r="G169" s="48">
        <v>98.769812509999994</v>
      </c>
      <c r="H169" s="49">
        <v>1E+100</v>
      </c>
    </row>
    <row r="170" spans="2:8" x14ac:dyDescent="0.3">
      <c r="B170" s="47" t="s">
        <v>213</v>
      </c>
      <c r="C170" s="48"/>
      <c r="D170" s="48">
        <v>0</v>
      </c>
      <c r="E170" s="48">
        <v>-18.789603</v>
      </c>
      <c r="F170" s="48">
        <v>43.097666003275663</v>
      </c>
      <c r="G170" s="48">
        <v>18.78960305</v>
      </c>
      <c r="H170" s="49">
        <v>1E+100</v>
      </c>
    </row>
    <row r="171" spans="2:8" x14ac:dyDescent="0.3">
      <c r="B171" s="47" t="s">
        <v>214</v>
      </c>
      <c r="C171" s="48"/>
      <c r="D171" s="48">
        <v>0</v>
      </c>
      <c r="E171" s="48">
        <v>-0.13843633999999999</v>
      </c>
      <c r="F171" s="48">
        <v>17.957360834698193</v>
      </c>
      <c r="G171" s="48">
        <v>0.1384363361</v>
      </c>
      <c r="H171" s="49">
        <v>1E+100</v>
      </c>
    </row>
    <row r="172" spans="2:8" x14ac:dyDescent="0.3">
      <c r="B172" s="47" t="s">
        <v>215</v>
      </c>
      <c r="C172" s="48"/>
      <c r="D172" s="48">
        <v>0</v>
      </c>
      <c r="E172" s="48">
        <v>-54.009321</v>
      </c>
      <c r="F172" s="48">
        <v>88.35396770387888</v>
      </c>
      <c r="G172" s="48">
        <v>54.009321399999997</v>
      </c>
      <c r="H172" s="49">
        <v>1E+100</v>
      </c>
    </row>
    <row r="173" spans="2:8" x14ac:dyDescent="0.3">
      <c r="B173" s="47" t="s">
        <v>216</v>
      </c>
      <c r="C173" s="48"/>
      <c r="D173" s="48">
        <v>0</v>
      </c>
      <c r="E173" s="48">
        <v>-41.788654999999999</v>
      </c>
      <c r="F173" s="48">
        <v>212.04952248930931</v>
      </c>
      <c r="G173" s="48">
        <v>41.788654819999998</v>
      </c>
      <c r="H173" s="49">
        <v>1E+100</v>
      </c>
    </row>
    <row r="174" spans="2:8" x14ac:dyDescent="0.3">
      <c r="B174" s="47" t="s">
        <v>217</v>
      </c>
      <c r="C174" s="48"/>
      <c r="D174" s="48">
        <v>0</v>
      </c>
      <c r="E174" s="48">
        <v>-177.15785</v>
      </c>
      <c r="F174" s="48">
        <v>353.41587081551552</v>
      </c>
      <c r="G174" s="48">
        <v>177.15784550000001</v>
      </c>
      <c r="H174" s="49">
        <v>1E+100</v>
      </c>
    </row>
    <row r="175" spans="2:8" x14ac:dyDescent="0.3">
      <c r="B175" s="47" t="s">
        <v>218</v>
      </c>
      <c r="C175" s="48"/>
      <c r="D175" s="48">
        <v>0</v>
      </c>
      <c r="E175" s="48">
        <v>-41.788654999999999</v>
      </c>
      <c r="F175" s="48">
        <v>212.04952248930931</v>
      </c>
      <c r="G175" s="48">
        <v>41.788654819999998</v>
      </c>
      <c r="H175" s="49">
        <v>1E+100</v>
      </c>
    </row>
    <row r="176" spans="2:8" x14ac:dyDescent="0.3">
      <c r="B176" s="47" t="s">
        <v>219</v>
      </c>
      <c r="C176" s="48"/>
      <c r="D176" s="48">
        <v>0</v>
      </c>
      <c r="E176" s="48">
        <v>-54.009321</v>
      </c>
      <c r="F176" s="48">
        <v>88.35396770387888</v>
      </c>
      <c r="G176" s="48">
        <v>54.009321399999997</v>
      </c>
      <c r="H176" s="49">
        <v>1E+100</v>
      </c>
    </row>
    <row r="177" spans="2:8" x14ac:dyDescent="0.3">
      <c r="B177" s="47" t="s">
        <v>220</v>
      </c>
      <c r="C177" s="48"/>
      <c r="D177" s="48">
        <v>0</v>
      </c>
      <c r="E177" s="48">
        <v>-36.043930000000003</v>
      </c>
      <c r="F177" s="48">
        <v>90.631244822754525</v>
      </c>
      <c r="G177" s="48">
        <v>36.043930209999999</v>
      </c>
      <c r="H177" s="49">
        <v>1E+100</v>
      </c>
    </row>
    <row r="178" spans="2:8" x14ac:dyDescent="0.3">
      <c r="B178" s="47" t="s">
        <v>221</v>
      </c>
      <c r="C178" s="48"/>
      <c r="D178" s="48">
        <v>0</v>
      </c>
      <c r="E178" s="48">
        <v>-33.021174000000002</v>
      </c>
      <c r="F178" s="48">
        <v>217.51498757454101</v>
      </c>
      <c r="G178" s="48">
        <v>33.021174350000003</v>
      </c>
      <c r="H178" s="49">
        <v>1E+100</v>
      </c>
    </row>
    <row r="179" spans="2:8" x14ac:dyDescent="0.3">
      <c r="B179" s="47" t="s">
        <v>222</v>
      </c>
      <c r="C179" s="48"/>
      <c r="D179" s="48">
        <v>0</v>
      </c>
      <c r="E179" s="48">
        <v>-195.49511000000001</v>
      </c>
      <c r="F179" s="48">
        <v>362.5249792910181</v>
      </c>
      <c r="G179" s="48">
        <v>195.4951149</v>
      </c>
      <c r="H179" s="49">
        <v>1E+100</v>
      </c>
    </row>
    <row r="180" spans="2:8" x14ac:dyDescent="0.3">
      <c r="B180" s="47" t="s">
        <v>223</v>
      </c>
      <c r="C180" s="48"/>
      <c r="D180" s="48">
        <v>0</v>
      </c>
      <c r="E180" s="48">
        <v>-33.021174000000002</v>
      </c>
      <c r="F180" s="48">
        <v>217.51498757454101</v>
      </c>
      <c r="G180" s="48">
        <v>33.021174350000003</v>
      </c>
      <c r="H180" s="49">
        <v>1E+100</v>
      </c>
    </row>
    <row r="181" spans="2:8" x14ac:dyDescent="0.3">
      <c r="B181" s="47" t="s">
        <v>224</v>
      </c>
      <c r="C181" s="48"/>
      <c r="D181" s="48">
        <v>0</v>
      </c>
      <c r="E181" s="48">
        <v>-36.043930000000003</v>
      </c>
      <c r="F181" s="48">
        <v>90.631244822754525</v>
      </c>
      <c r="G181" s="48">
        <v>36.043930209999999</v>
      </c>
      <c r="H181" s="49">
        <v>1E+100</v>
      </c>
    </row>
    <row r="182" spans="2:8" x14ac:dyDescent="0.3">
      <c r="B182" s="47" t="s">
        <v>225</v>
      </c>
      <c r="C182" s="48"/>
      <c r="D182" s="48">
        <v>0</v>
      </c>
      <c r="E182" s="48">
        <v>-5.5318987000000002</v>
      </c>
      <c r="F182" s="48">
        <v>15.624065451789647</v>
      </c>
      <c r="G182" s="48">
        <v>5.5318987379999998</v>
      </c>
      <c r="H182" s="49">
        <v>1E+100</v>
      </c>
    </row>
    <row r="183" spans="2:8" x14ac:dyDescent="0.3">
      <c r="B183" s="47" t="s">
        <v>226</v>
      </c>
      <c r="C183" s="48"/>
      <c r="D183" s="48">
        <v>0</v>
      </c>
      <c r="E183" s="48">
        <v>-37.029974000000003</v>
      </c>
      <c r="F183" s="48">
        <v>37.497757084318437</v>
      </c>
      <c r="G183" s="48">
        <v>37.029973820000002</v>
      </c>
      <c r="H183" s="49">
        <v>1E+100</v>
      </c>
    </row>
    <row r="184" spans="2:8" x14ac:dyDescent="0.3">
      <c r="B184" s="47" t="s">
        <v>227</v>
      </c>
      <c r="C184" s="48"/>
      <c r="D184" s="48">
        <v>0</v>
      </c>
      <c r="E184" s="48">
        <v>-144.52645999999999</v>
      </c>
      <c r="F184" s="48">
        <v>62.496261807275005</v>
      </c>
      <c r="G184" s="48">
        <v>144.52646300000001</v>
      </c>
      <c r="H184" s="49">
        <v>1E+100</v>
      </c>
    </row>
    <row r="185" spans="2:8" x14ac:dyDescent="0.3">
      <c r="B185" s="47" t="s">
        <v>228</v>
      </c>
      <c r="C185" s="48"/>
      <c r="D185" s="48">
        <v>0</v>
      </c>
      <c r="E185" s="48">
        <v>-37.029974000000003</v>
      </c>
      <c r="F185" s="48">
        <v>37.497757084318437</v>
      </c>
      <c r="G185" s="48">
        <v>37.029973820000002</v>
      </c>
      <c r="H185" s="49">
        <v>1E+100</v>
      </c>
    </row>
    <row r="186" spans="2:8" x14ac:dyDescent="0.3">
      <c r="B186" s="47" t="s">
        <v>229</v>
      </c>
      <c r="C186" s="48"/>
      <c r="D186" s="48">
        <v>0</v>
      </c>
      <c r="E186" s="48">
        <v>-5.5318987000000002</v>
      </c>
      <c r="F186" s="48">
        <v>15.624065451789647</v>
      </c>
      <c r="G186" s="48">
        <v>5.5318987379999998</v>
      </c>
      <c r="H186" s="49">
        <v>1E+100</v>
      </c>
    </row>
    <row r="187" spans="2:8" x14ac:dyDescent="0.3">
      <c r="B187" s="47" t="s">
        <v>230</v>
      </c>
      <c r="C187" s="48"/>
      <c r="D187" s="48">
        <v>0</v>
      </c>
      <c r="E187" s="48">
        <v>-154.76211000000001</v>
      </c>
      <c r="F187" s="48">
        <v>88.334028227138333</v>
      </c>
      <c r="G187" s="48">
        <v>154.76210689999999</v>
      </c>
      <c r="H187" s="49">
        <v>1E+100</v>
      </c>
    </row>
    <row r="188" spans="2:8" x14ac:dyDescent="0.3">
      <c r="B188" s="47" t="s">
        <v>231</v>
      </c>
      <c r="C188" s="48"/>
      <c r="D188" s="48">
        <v>0</v>
      </c>
      <c r="E188" s="48">
        <v>-93.024961000000005</v>
      </c>
      <c r="F188" s="48">
        <v>212.00166774529498</v>
      </c>
      <c r="G188" s="48">
        <v>93.024960809999996</v>
      </c>
      <c r="H188" s="49">
        <v>1E+100</v>
      </c>
    </row>
    <row r="189" spans="2:8" x14ac:dyDescent="0.3">
      <c r="B189" s="47" t="s">
        <v>232</v>
      </c>
      <c r="C189" s="48"/>
      <c r="D189" s="48">
        <v>0</v>
      </c>
      <c r="E189" s="48">
        <v>-105.43248</v>
      </c>
      <c r="F189" s="48">
        <v>353.33611290890258</v>
      </c>
      <c r="G189" s="48">
        <v>105.43248180000001</v>
      </c>
      <c r="H189" s="49">
        <v>1E+100</v>
      </c>
    </row>
    <row r="190" spans="2:8" x14ac:dyDescent="0.3">
      <c r="B190" s="47" t="s">
        <v>233</v>
      </c>
      <c r="C190" s="48"/>
      <c r="D190" s="48">
        <v>0</v>
      </c>
      <c r="E190" s="48">
        <v>-93.024961000000005</v>
      </c>
      <c r="F190" s="48">
        <v>212.00166774529498</v>
      </c>
      <c r="G190" s="48">
        <v>93.024960809999996</v>
      </c>
      <c r="H190" s="49">
        <v>1E+100</v>
      </c>
    </row>
    <row r="191" spans="2:8" x14ac:dyDescent="0.3">
      <c r="B191" s="47" t="s">
        <v>234</v>
      </c>
      <c r="C191" s="48"/>
      <c r="D191" s="48">
        <v>0</v>
      </c>
      <c r="E191" s="48">
        <v>-154.76211000000001</v>
      </c>
      <c r="F191" s="48">
        <v>88.334028227138333</v>
      </c>
      <c r="G191" s="48">
        <v>154.76210689999999</v>
      </c>
      <c r="H191" s="49">
        <v>1E+100</v>
      </c>
    </row>
    <row r="192" spans="2:8" x14ac:dyDescent="0.3">
      <c r="B192" s="47" t="s">
        <v>235</v>
      </c>
      <c r="C192" s="48"/>
      <c r="D192" s="48">
        <v>0</v>
      </c>
      <c r="E192" s="48">
        <v>-13.994934000000001</v>
      </c>
      <c r="F192" s="48">
        <v>7.1610299987951294</v>
      </c>
      <c r="G192" s="48">
        <v>13.99493419</v>
      </c>
      <c r="H192" s="49">
        <v>1E+100</v>
      </c>
    </row>
    <row r="193" spans="2:8" x14ac:dyDescent="0.3">
      <c r="B193" s="47" t="s">
        <v>236</v>
      </c>
      <c r="C193" s="48"/>
      <c r="D193" s="48">
        <v>0</v>
      </c>
      <c r="E193" s="48">
        <v>-57.341259000000001</v>
      </c>
      <c r="F193" s="48">
        <v>17.186471996945329</v>
      </c>
      <c r="G193" s="48">
        <v>57.341258910000001</v>
      </c>
      <c r="H193" s="49">
        <v>1E+100</v>
      </c>
    </row>
    <row r="194" spans="2:8" x14ac:dyDescent="0.3">
      <c r="B194" s="47" t="s">
        <v>237</v>
      </c>
      <c r="C194" s="48"/>
      <c r="D194" s="48">
        <v>0</v>
      </c>
      <c r="E194" s="48">
        <v>-178.37860000000001</v>
      </c>
      <c r="F194" s="48">
        <v>28.644119994947687</v>
      </c>
      <c r="G194" s="48">
        <v>178.37860480000001</v>
      </c>
      <c r="H194" s="49">
        <v>1E+100</v>
      </c>
    </row>
    <row r="195" spans="2:8" x14ac:dyDescent="0.3">
      <c r="B195" s="47" t="s">
        <v>238</v>
      </c>
      <c r="C195" s="48"/>
      <c r="D195" s="48">
        <v>0</v>
      </c>
      <c r="E195" s="48">
        <v>-57.341259000000001</v>
      </c>
      <c r="F195" s="48">
        <v>17.186471996945329</v>
      </c>
      <c r="G195" s="48">
        <v>57.341258910000001</v>
      </c>
      <c r="H195" s="49">
        <v>1E+100</v>
      </c>
    </row>
    <row r="196" spans="2:8" x14ac:dyDescent="0.3">
      <c r="B196" s="47" t="s">
        <v>239</v>
      </c>
      <c r="C196" s="48"/>
      <c r="D196" s="48">
        <v>0</v>
      </c>
      <c r="E196" s="48">
        <v>-13.994934000000001</v>
      </c>
      <c r="F196" s="48">
        <v>7.1610299987951294</v>
      </c>
      <c r="G196" s="48">
        <v>13.99493419</v>
      </c>
      <c r="H196" s="49">
        <v>1E+100</v>
      </c>
    </row>
    <row r="197" spans="2:8" x14ac:dyDescent="0.3">
      <c r="B197" s="47" t="s">
        <v>240</v>
      </c>
      <c r="C197" s="48"/>
      <c r="D197" s="48">
        <v>0</v>
      </c>
      <c r="E197" s="48">
        <v>-973.28376000000003</v>
      </c>
      <c r="F197" s="48">
        <v>268.79541506932583</v>
      </c>
      <c r="G197" s="48">
        <v>973.28375630000005</v>
      </c>
      <c r="H197" s="49">
        <v>1E+100</v>
      </c>
    </row>
    <row r="198" spans="2:8" x14ac:dyDescent="0.3">
      <c r="B198" s="47" t="s">
        <v>241</v>
      </c>
      <c r="C198" s="48"/>
      <c r="D198" s="48">
        <v>0</v>
      </c>
      <c r="E198" s="48">
        <v>-696.05895999999996</v>
      </c>
      <c r="F198" s="48">
        <v>645.10899616626557</v>
      </c>
      <c r="G198" s="48">
        <v>696.05896470000005</v>
      </c>
      <c r="H198" s="49">
        <v>1E+100</v>
      </c>
    </row>
    <row r="199" spans="2:8" x14ac:dyDescent="0.3">
      <c r="B199" s="47" t="s">
        <v>242</v>
      </c>
      <c r="C199" s="48"/>
      <c r="D199" s="48">
        <v>0</v>
      </c>
      <c r="E199" s="48">
        <v>-511.97345000000001</v>
      </c>
      <c r="F199" s="48">
        <v>1075.1816602771869</v>
      </c>
      <c r="G199" s="48">
        <v>511.9734464</v>
      </c>
      <c r="H199" s="49">
        <v>1E+100</v>
      </c>
    </row>
    <row r="200" spans="2:8" x14ac:dyDescent="0.3">
      <c r="B200" s="47" t="s">
        <v>243</v>
      </c>
      <c r="C200" s="48"/>
      <c r="D200" s="48">
        <v>0</v>
      </c>
      <c r="E200" s="48">
        <v>-696.05895999999996</v>
      </c>
      <c r="F200" s="48">
        <v>645.10899616626557</v>
      </c>
      <c r="G200" s="48">
        <v>696.05896470000005</v>
      </c>
      <c r="H200" s="49">
        <v>1E+100</v>
      </c>
    </row>
    <row r="201" spans="2:8" x14ac:dyDescent="0.3">
      <c r="B201" s="47" t="s">
        <v>244</v>
      </c>
      <c r="C201" s="48"/>
      <c r="D201" s="48">
        <v>0</v>
      </c>
      <c r="E201" s="48">
        <v>-973.28376000000003</v>
      </c>
      <c r="F201" s="48">
        <v>268.79541506932583</v>
      </c>
      <c r="G201" s="48">
        <v>973.28375630000005</v>
      </c>
      <c r="H201" s="49">
        <v>1E+100</v>
      </c>
    </row>
    <row r="202" spans="2:8" x14ac:dyDescent="0.3">
      <c r="B202" s="47" t="s">
        <v>245</v>
      </c>
      <c r="C202" s="48"/>
      <c r="D202" s="48">
        <v>0</v>
      </c>
      <c r="E202" s="48">
        <v>-450.69243</v>
      </c>
      <c r="F202" s="48">
        <v>194.37872894853354</v>
      </c>
      <c r="G202" s="48">
        <v>450.69243469999998</v>
      </c>
      <c r="H202" s="49">
        <v>1E+100</v>
      </c>
    </row>
    <row r="203" spans="2:8" x14ac:dyDescent="0.3">
      <c r="B203" s="47" t="s">
        <v>246</v>
      </c>
      <c r="C203" s="48"/>
      <c r="D203" s="48">
        <v>0</v>
      </c>
      <c r="E203" s="48">
        <v>-290.03710000000001</v>
      </c>
      <c r="F203" s="48">
        <v>466.50894947652705</v>
      </c>
      <c r="G203" s="48">
        <v>290.03710239999998</v>
      </c>
      <c r="H203" s="49">
        <v>1E+100</v>
      </c>
    </row>
    <row r="204" spans="2:8" x14ac:dyDescent="0.3">
      <c r="B204" s="47" t="s">
        <v>247</v>
      </c>
      <c r="C204" s="48"/>
      <c r="D204" s="48">
        <v>0</v>
      </c>
      <c r="E204" s="48">
        <v>-255.76668000000001</v>
      </c>
      <c r="F204" s="48">
        <v>777.51491579425056</v>
      </c>
      <c r="G204" s="48">
        <v>255.76667509999999</v>
      </c>
      <c r="H204" s="49">
        <v>1E+100</v>
      </c>
    </row>
    <row r="205" spans="2:8" x14ac:dyDescent="0.3">
      <c r="B205" s="47" t="s">
        <v>248</v>
      </c>
      <c r="C205" s="48"/>
      <c r="D205" s="48">
        <v>0</v>
      </c>
      <c r="E205" s="48">
        <v>-290.03710000000001</v>
      </c>
      <c r="F205" s="48">
        <v>466.50894947652705</v>
      </c>
      <c r="G205" s="48">
        <v>290.03710239999998</v>
      </c>
      <c r="H205" s="49">
        <v>1E+100</v>
      </c>
    </row>
    <row r="206" spans="2:8" x14ac:dyDescent="0.3">
      <c r="B206" s="47" t="s">
        <v>249</v>
      </c>
      <c r="C206" s="48"/>
      <c r="D206" s="48">
        <v>0</v>
      </c>
      <c r="E206" s="48">
        <v>-450.69243</v>
      </c>
      <c r="F206" s="48">
        <v>194.37872894853354</v>
      </c>
      <c r="G206" s="48">
        <v>450.69243469999998</v>
      </c>
      <c r="H206" s="49">
        <v>1E+100</v>
      </c>
    </row>
    <row r="207" spans="2:8" x14ac:dyDescent="0.3">
      <c r="B207" s="47" t="s">
        <v>250</v>
      </c>
      <c r="C207" s="48"/>
      <c r="D207" s="48">
        <v>0</v>
      </c>
      <c r="E207" s="48">
        <v>-59.247101999999998</v>
      </c>
      <c r="F207" s="48">
        <v>10.26535146147944</v>
      </c>
      <c r="G207" s="48">
        <v>59.247102300000002</v>
      </c>
      <c r="H207" s="49">
        <v>1E+100</v>
      </c>
    </row>
    <row r="208" spans="2:8" x14ac:dyDescent="0.3">
      <c r="B208" s="47" t="s">
        <v>251</v>
      </c>
      <c r="C208" s="48"/>
      <c r="D208" s="48">
        <v>0</v>
      </c>
      <c r="E208" s="48">
        <v>-220.23999000000001</v>
      </c>
      <c r="F208" s="48">
        <v>24.636843507527374</v>
      </c>
      <c r="G208" s="48">
        <v>220.23998660000001</v>
      </c>
      <c r="H208" s="49">
        <v>1E+100</v>
      </c>
    </row>
    <row r="209" spans="2:8" x14ac:dyDescent="0.3">
      <c r="B209" s="47" t="s">
        <v>252</v>
      </c>
      <c r="C209" s="48"/>
      <c r="D209" s="48">
        <v>0</v>
      </c>
      <c r="E209" s="48">
        <v>-639.15611999999999</v>
      </c>
      <c r="F209" s="48">
        <v>41.061405845917761</v>
      </c>
      <c r="G209" s="48">
        <v>639.15611850000005</v>
      </c>
      <c r="H209" s="49">
        <v>1E+100</v>
      </c>
    </row>
    <row r="210" spans="2:8" x14ac:dyDescent="0.3">
      <c r="B210" s="47" t="s">
        <v>253</v>
      </c>
      <c r="C210" s="48"/>
      <c r="D210" s="48">
        <v>0</v>
      </c>
      <c r="E210" s="48">
        <v>-220.23999000000001</v>
      </c>
      <c r="F210" s="48">
        <v>24.636843507527374</v>
      </c>
      <c r="G210" s="48">
        <v>220.23998660000001</v>
      </c>
      <c r="H210" s="49">
        <v>1E+100</v>
      </c>
    </row>
    <row r="211" spans="2:8" x14ac:dyDescent="0.3">
      <c r="B211" s="47" t="s">
        <v>254</v>
      </c>
      <c r="C211" s="48"/>
      <c r="D211" s="48">
        <v>0</v>
      </c>
      <c r="E211" s="48">
        <v>-59.247101999999998</v>
      </c>
      <c r="F211" s="48">
        <v>10.26535146147944</v>
      </c>
      <c r="G211" s="48">
        <v>59.247102300000002</v>
      </c>
      <c r="H211" s="49">
        <v>1E+100</v>
      </c>
    </row>
    <row r="212" spans="2:8" x14ac:dyDescent="0.3">
      <c r="B212" s="47" t="s">
        <v>255</v>
      </c>
      <c r="C212" s="48"/>
      <c r="D212" s="48">
        <v>0</v>
      </c>
      <c r="E212" s="48">
        <v>-45.612172999999999</v>
      </c>
      <c r="F212" s="48">
        <v>29.944842141703703</v>
      </c>
      <c r="G212" s="48">
        <v>45.612172819999998</v>
      </c>
      <c r="H212" s="49">
        <v>1E+100</v>
      </c>
    </row>
    <row r="213" spans="2:8" x14ac:dyDescent="0.3">
      <c r="B213" s="47" t="s">
        <v>256</v>
      </c>
      <c r="C213" s="48"/>
      <c r="D213" s="48">
        <v>0</v>
      </c>
      <c r="E213" s="48">
        <v>-194.30285000000001</v>
      </c>
      <c r="F213" s="48">
        <v>71.867621140088886</v>
      </c>
      <c r="G213" s="48">
        <v>194.30284639999999</v>
      </c>
      <c r="H213" s="49">
        <v>1E+100</v>
      </c>
    </row>
    <row r="214" spans="2:8" x14ac:dyDescent="0.3">
      <c r="B214" s="47" t="s">
        <v>257</v>
      </c>
      <c r="C214" s="48"/>
      <c r="D214" s="48">
        <v>0</v>
      </c>
      <c r="E214" s="48">
        <v>-619.58750999999995</v>
      </c>
      <c r="F214" s="48">
        <v>119.77936856681481</v>
      </c>
      <c r="G214" s="48">
        <v>619.58750569999995</v>
      </c>
      <c r="H214" s="49">
        <v>1E+100</v>
      </c>
    </row>
    <row r="215" spans="2:8" x14ac:dyDescent="0.3">
      <c r="B215" s="47" t="s">
        <v>258</v>
      </c>
      <c r="C215" s="48"/>
      <c r="D215" s="48">
        <v>0</v>
      </c>
      <c r="E215" s="48">
        <v>-194.30285000000001</v>
      </c>
      <c r="F215" s="48">
        <v>71.867621140088886</v>
      </c>
      <c r="G215" s="48">
        <v>194.30284639999999</v>
      </c>
      <c r="H215" s="49">
        <v>1E+100</v>
      </c>
    </row>
    <row r="216" spans="2:8" x14ac:dyDescent="0.3">
      <c r="B216" s="47" t="s">
        <v>259</v>
      </c>
      <c r="C216" s="48"/>
      <c r="D216" s="48">
        <v>0</v>
      </c>
      <c r="E216" s="48">
        <v>-45.612172999999999</v>
      </c>
      <c r="F216" s="48">
        <v>29.944842141703703</v>
      </c>
      <c r="G216" s="48">
        <v>45.612172819999998</v>
      </c>
      <c r="H216" s="49">
        <v>1E+100</v>
      </c>
    </row>
    <row r="217" spans="2:8" x14ac:dyDescent="0.3">
      <c r="B217" s="47" t="s">
        <v>260</v>
      </c>
      <c r="C217" s="48"/>
      <c r="D217" s="48">
        <v>0</v>
      </c>
      <c r="E217" s="48">
        <v>-41.477255999999997</v>
      </c>
      <c r="F217" s="48">
        <v>41.987802169518545</v>
      </c>
      <c r="G217" s="48">
        <v>41.477256220000001</v>
      </c>
      <c r="H217" s="49">
        <v>1E+100</v>
      </c>
    </row>
    <row r="218" spans="2:8" x14ac:dyDescent="0.3">
      <c r="B218" s="47" t="s">
        <v>261</v>
      </c>
      <c r="C218" s="48"/>
      <c r="D218" s="48">
        <v>0</v>
      </c>
      <c r="E218" s="48">
        <v>-193.25801000000001</v>
      </c>
      <c r="F218" s="48">
        <v>100.77072520682123</v>
      </c>
      <c r="G218" s="48">
        <v>193.25801089999999</v>
      </c>
      <c r="H218" s="49">
        <v>1E+100</v>
      </c>
    </row>
    <row r="219" spans="2:8" x14ac:dyDescent="0.3">
      <c r="B219" s="47" t="s">
        <v>262</v>
      </c>
      <c r="C219" s="48"/>
      <c r="D219" s="48">
        <v>0</v>
      </c>
      <c r="E219" s="48">
        <v>-648.80020999999999</v>
      </c>
      <c r="F219" s="48">
        <v>167.95120867807418</v>
      </c>
      <c r="G219" s="48">
        <v>648.8002123</v>
      </c>
      <c r="H219" s="49">
        <v>1E+100</v>
      </c>
    </row>
    <row r="220" spans="2:8" x14ac:dyDescent="0.3">
      <c r="B220" s="47" t="s">
        <v>263</v>
      </c>
      <c r="C220" s="48"/>
      <c r="D220" s="48">
        <v>0</v>
      </c>
      <c r="E220" s="48">
        <v>-193.25801000000001</v>
      </c>
      <c r="F220" s="48">
        <v>100.77072520682123</v>
      </c>
      <c r="G220" s="48">
        <v>193.25801089999999</v>
      </c>
      <c r="H220" s="49">
        <v>1E+100</v>
      </c>
    </row>
    <row r="221" spans="2:8" x14ac:dyDescent="0.3">
      <c r="B221" s="47" t="s">
        <v>264</v>
      </c>
      <c r="C221" s="48"/>
      <c r="D221" s="48">
        <v>0</v>
      </c>
      <c r="E221" s="48">
        <v>-41.477255999999997</v>
      </c>
      <c r="F221" s="48">
        <v>41.987802169518545</v>
      </c>
      <c r="G221" s="48">
        <v>41.477256220000001</v>
      </c>
      <c r="H221" s="49">
        <v>1E+100</v>
      </c>
    </row>
    <row r="222" spans="2:8" x14ac:dyDescent="0.3">
      <c r="B222" s="47" t="s">
        <v>265</v>
      </c>
      <c r="C222" s="48"/>
      <c r="D222" s="48">
        <v>0</v>
      </c>
      <c r="E222" s="48">
        <v>-22.921446</v>
      </c>
      <c r="F222" s="48">
        <v>25.66655631584581</v>
      </c>
      <c r="G222" s="48">
        <v>22.921445810000002</v>
      </c>
      <c r="H222" s="49">
        <v>1E+100</v>
      </c>
    </row>
    <row r="223" spans="2:8" x14ac:dyDescent="0.3">
      <c r="B223" s="47" t="s">
        <v>266</v>
      </c>
      <c r="C223" s="48"/>
      <c r="D223" s="48">
        <v>0</v>
      </c>
      <c r="E223" s="48">
        <v>-109.56493</v>
      </c>
      <c r="F223" s="48">
        <v>61.599735158029944</v>
      </c>
      <c r="G223" s="48">
        <v>109.564931</v>
      </c>
      <c r="H223" s="49">
        <v>1E+100</v>
      </c>
    </row>
    <row r="224" spans="2:8" x14ac:dyDescent="0.3">
      <c r="B224" s="47" t="s">
        <v>267</v>
      </c>
      <c r="C224" s="48"/>
      <c r="D224" s="48">
        <v>0</v>
      </c>
      <c r="E224" s="48">
        <v>-372.79405000000003</v>
      </c>
      <c r="F224" s="48">
        <v>102.66622526349965</v>
      </c>
      <c r="G224" s="48">
        <v>372.79405170000001</v>
      </c>
      <c r="H224" s="49">
        <v>1E+100</v>
      </c>
    </row>
    <row r="225" spans="2:8" x14ac:dyDescent="0.3">
      <c r="B225" s="47" t="s">
        <v>268</v>
      </c>
      <c r="C225" s="48"/>
      <c r="D225" s="48">
        <v>0</v>
      </c>
      <c r="E225" s="48">
        <v>-109.56493</v>
      </c>
      <c r="F225" s="48">
        <v>61.599735158029944</v>
      </c>
      <c r="G225" s="48">
        <v>109.564931</v>
      </c>
      <c r="H225" s="49">
        <v>1E+100</v>
      </c>
    </row>
    <row r="226" spans="2:8" x14ac:dyDescent="0.3">
      <c r="B226" s="47" t="s">
        <v>269</v>
      </c>
      <c r="C226" s="48"/>
      <c r="D226" s="48">
        <v>0</v>
      </c>
      <c r="E226" s="48">
        <v>-22.921446</v>
      </c>
      <c r="F226" s="48">
        <v>25.66655631584581</v>
      </c>
      <c r="G226" s="48">
        <v>22.921445810000002</v>
      </c>
      <c r="H226" s="49">
        <v>1E+100</v>
      </c>
    </row>
    <row r="227" spans="2:8" x14ac:dyDescent="0.3">
      <c r="B227" s="47" t="s">
        <v>270</v>
      </c>
      <c r="C227" s="48"/>
      <c r="D227" s="48">
        <v>0</v>
      </c>
      <c r="E227" s="48">
        <v>-73.440096999999994</v>
      </c>
      <c r="F227" s="48">
        <v>24.86535750166513</v>
      </c>
      <c r="G227" s="48">
        <v>73.440097370000004</v>
      </c>
      <c r="H227" s="49">
        <v>1E+100</v>
      </c>
    </row>
    <row r="228" spans="2:8" x14ac:dyDescent="0.3">
      <c r="B228" s="47" t="s">
        <v>271</v>
      </c>
      <c r="C228" s="48"/>
      <c r="D228" s="48">
        <v>0</v>
      </c>
      <c r="E228" s="48">
        <v>-286.63128</v>
      </c>
      <c r="F228" s="48">
        <v>59.676858003949746</v>
      </c>
      <c r="G228" s="48">
        <v>286.63127630000002</v>
      </c>
      <c r="H228" s="49">
        <v>1E+100</v>
      </c>
    </row>
    <row r="229" spans="2:8" x14ac:dyDescent="0.3">
      <c r="B229" s="47" t="s">
        <v>272</v>
      </c>
      <c r="C229" s="48"/>
      <c r="D229" s="48">
        <v>0</v>
      </c>
      <c r="E229" s="48">
        <v>-862.51142000000004</v>
      </c>
      <c r="F229" s="48">
        <v>99.461430006544106</v>
      </c>
      <c r="G229" s="48">
        <v>862.51141829999995</v>
      </c>
      <c r="H229" s="49">
        <v>1E+100</v>
      </c>
    </row>
    <row r="230" spans="2:8" x14ac:dyDescent="0.3">
      <c r="B230" s="47" t="s">
        <v>273</v>
      </c>
      <c r="C230" s="48"/>
      <c r="D230" s="48">
        <v>0</v>
      </c>
      <c r="E230" s="48">
        <v>-286.63128</v>
      </c>
      <c r="F230" s="48">
        <v>59.676858003949746</v>
      </c>
      <c r="G230" s="48">
        <v>286.63127630000002</v>
      </c>
      <c r="H230" s="49">
        <v>1E+100</v>
      </c>
    </row>
    <row r="231" spans="2:8" x14ac:dyDescent="0.3">
      <c r="B231" s="47" t="s">
        <v>274</v>
      </c>
      <c r="C231" s="48"/>
      <c r="D231" s="48">
        <v>0</v>
      </c>
      <c r="E231" s="48">
        <v>-73.440096999999994</v>
      </c>
      <c r="F231" s="48">
        <v>24.86535750166513</v>
      </c>
      <c r="G231" s="48">
        <v>73.440097370000004</v>
      </c>
      <c r="H231" s="49">
        <v>1E+100</v>
      </c>
    </row>
    <row r="232" spans="2:8" x14ac:dyDescent="0.3">
      <c r="B232" s="47" t="s">
        <v>275</v>
      </c>
      <c r="C232" s="48"/>
      <c r="D232" s="48">
        <v>0</v>
      </c>
      <c r="E232" s="48">
        <v>-33.587656000000003</v>
      </c>
      <c r="F232" s="48">
        <v>146.33698473731056</v>
      </c>
      <c r="G232" s="48">
        <v>33.587655959999999</v>
      </c>
      <c r="H232" s="49">
        <v>1E+100</v>
      </c>
    </row>
    <row r="233" spans="2:8" x14ac:dyDescent="0.3">
      <c r="B233" s="47" t="s">
        <v>276</v>
      </c>
      <c r="C233" s="48"/>
      <c r="D233" s="48">
        <v>0</v>
      </c>
      <c r="E233" s="48">
        <v>-33.587656000000003</v>
      </c>
      <c r="F233" s="48">
        <v>351.20876336947549</v>
      </c>
      <c r="G233" s="48">
        <v>33.587655959999999</v>
      </c>
      <c r="H233" s="49">
        <v>1E+100</v>
      </c>
    </row>
    <row r="234" spans="2:8" x14ac:dyDescent="0.3">
      <c r="B234" s="47" t="s">
        <v>277</v>
      </c>
      <c r="C234" s="48"/>
      <c r="D234" s="48">
        <v>0</v>
      </c>
      <c r="E234" s="48">
        <v>-308.04106999999999</v>
      </c>
      <c r="F234" s="48">
        <v>585.34793894912582</v>
      </c>
      <c r="G234" s="48">
        <v>308.04107019999998</v>
      </c>
      <c r="H234" s="49">
        <v>1E+100</v>
      </c>
    </row>
    <row r="235" spans="2:8" x14ac:dyDescent="0.3">
      <c r="B235" s="47" t="s">
        <v>278</v>
      </c>
      <c r="C235" s="48"/>
      <c r="D235" s="48">
        <v>0</v>
      </c>
      <c r="E235" s="48">
        <v>-33.587656000000003</v>
      </c>
      <c r="F235" s="48">
        <v>351.20876336947549</v>
      </c>
      <c r="G235" s="48">
        <v>33.587655959999999</v>
      </c>
      <c r="H235" s="49">
        <v>1E+100</v>
      </c>
    </row>
    <row r="236" spans="2:8" x14ac:dyDescent="0.3">
      <c r="B236" s="47" t="s">
        <v>279</v>
      </c>
      <c r="C236" s="48"/>
      <c r="D236" s="48">
        <v>0</v>
      </c>
      <c r="E236" s="48">
        <v>-33.587656000000003</v>
      </c>
      <c r="F236" s="48">
        <v>146.33698473731056</v>
      </c>
      <c r="G236" s="48">
        <v>33.587655959999999</v>
      </c>
      <c r="H236" s="49">
        <v>1E+100</v>
      </c>
    </row>
    <row r="237" spans="2:8" x14ac:dyDescent="0.3">
      <c r="B237" s="47" t="s">
        <v>280</v>
      </c>
      <c r="C237" s="48"/>
      <c r="D237" s="48">
        <v>0</v>
      </c>
      <c r="E237" s="48">
        <v>0</v>
      </c>
      <c r="F237" s="48">
        <v>70.696413613972254</v>
      </c>
      <c r="G237" s="48">
        <v>0</v>
      </c>
      <c r="H237" s="49">
        <v>1E+100</v>
      </c>
    </row>
    <row r="238" spans="2:8" x14ac:dyDescent="0.3">
      <c r="B238" s="47" t="s">
        <v>281</v>
      </c>
      <c r="C238" s="48"/>
      <c r="D238" s="48">
        <v>0</v>
      </c>
      <c r="E238" s="48">
        <v>-79.376262999999994</v>
      </c>
      <c r="F238" s="48">
        <v>169.67139267339371</v>
      </c>
      <c r="G238" s="48">
        <v>79.376263230000006</v>
      </c>
      <c r="H238" s="49">
        <v>1E+100</v>
      </c>
    </row>
    <row r="239" spans="2:8" x14ac:dyDescent="0.3">
      <c r="B239" s="47" t="s">
        <v>282</v>
      </c>
      <c r="C239" s="48"/>
      <c r="D239" s="48">
        <v>0</v>
      </c>
      <c r="E239" s="48">
        <v>-409.01756999999998</v>
      </c>
      <c r="F239" s="48">
        <v>282.78565445565619</v>
      </c>
      <c r="G239" s="48">
        <v>409.01756699999999</v>
      </c>
      <c r="H239" s="49">
        <v>1E+100</v>
      </c>
    </row>
    <row r="240" spans="2:8" x14ac:dyDescent="0.3">
      <c r="B240" s="47" t="s">
        <v>283</v>
      </c>
      <c r="C240" s="48"/>
      <c r="D240" s="48">
        <v>0</v>
      </c>
      <c r="E240" s="48">
        <v>-79.376262999999994</v>
      </c>
      <c r="F240" s="48">
        <v>169.67139267339371</v>
      </c>
      <c r="G240" s="48">
        <v>79.376263230000006</v>
      </c>
      <c r="H240" s="49">
        <v>1E+100</v>
      </c>
    </row>
    <row r="241" spans="2:8" x14ac:dyDescent="0.3">
      <c r="B241" s="47" t="s">
        <v>284</v>
      </c>
      <c r="C241" s="48"/>
      <c r="D241" s="48">
        <v>0.93866121000000002</v>
      </c>
      <c r="E241" s="48">
        <v>0</v>
      </c>
      <c r="F241" s="48">
        <v>70.696413613972254</v>
      </c>
      <c r="G241" s="48">
        <v>2.4392332950000002</v>
      </c>
      <c r="H241" s="49">
        <v>0</v>
      </c>
    </row>
    <row r="242" spans="2:8" x14ac:dyDescent="0.3">
      <c r="B242" s="47" t="s">
        <v>285</v>
      </c>
      <c r="C242" s="48"/>
      <c r="D242" s="48">
        <v>0</v>
      </c>
      <c r="E242" s="48">
        <v>-6.3744107999999997</v>
      </c>
      <c r="F242" s="48">
        <v>79.195959492819384</v>
      </c>
      <c r="G242" s="48">
        <v>6.3744107809999999</v>
      </c>
      <c r="H242" s="49">
        <v>1E+100</v>
      </c>
    </row>
    <row r="243" spans="2:8" x14ac:dyDescent="0.3">
      <c r="B243" s="47" t="s">
        <v>286</v>
      </c>
      <c r="C243" s="48"/>
      <c r="D243" s="48">
        <v>0</v>
      </c>
      <c r="E243" s="48">
        <v>-56.470281</v>
      </c>
      <c r="F243" s="48">
        <v>190.0703027829295</v>
      </c>
      <c r="G243" s="48">
        <v>56.470280959999997</v>
      </c>
      <c r="H243" s="49">
        <v>1E+100</v>
      </c>
    </row>
    <row r="244" spans="2:8" x14ac:dyDescent="0.3">
      <c r="B244" s="47" t="s">
        <v>287</v>
      </c>
      <c r="C244" s="48"/>
      <c r="D244" s="48">
        <v>0</v>
      </c>
      <c r="E244" s="48">
        <v>-329.36403999999999</v>
      </c>
      <c r="F244" s="48">
        <v>316.78383797151037</v>
      </c>
      <c r="G244" s="48">
        <v>329.3640431</v>
      </c>
      <c r="H244" s="49">
        <v>1E+100</v>
      </c>
    </row>
    <row r="245" spans="2:8" x14ac:dyDescent="0.3">
      <c r="B245" s="47" t="s">
        <v>288</v>
      </c>
      <c r="C245" s="48"/>
      <c r="D245" s="48">
        <v>0</v>
      </c>
      <c r="E245" s="48">
        <v>-56.470281</v>
      </c>
      <c r="F245" s="48">
        <v>190.0703027829295</v>
      </c>
      <c r="G245" s="48">
        <v>56.470280959999997</v>
      </c>
      <c r="H245" s="49">
        <v>1E+100</v>
      </c>
    </row>
    <row r="246" spans="2:8" x14ac:dyDescent="0.3">
      <c r="B246" s="47" t="s">
        <v>289</v>
      </c>
      <c r="C246" s="48"/>
      <c r="D246" s="48">
        <v>0</v>
      </c>
      <c r="E246" s="48">
        <v>-6.3744107999999997</v>
      </c>
      <c r="F246" s="48">
        <v>79.195959492819384</v>
      </c>
      <c r="G246" s="48">
        <v>6.3744107809999999</v>
      </c>
      <c r="H246" s="49">
        <v>1E+100</v>
      </c>
    </row>
    <row r="247" spans="2:8" x14ac:dyDescent="0.3">
      <c r="B247" s="47" t="s">
        <v>290</v>
      </c>
      <c r="C247" s="48"/>
      <c r="D247" s="48">
        <v>0</v>
      </c>
      <c r="E247" s="48">
        <v>-2.3409129000000002</v>
      </c>
      <c r="F247" s="48">
        <v>71.89462609635666</v>
      </c>
      <c r="G247" s="48">
        <v>2.340912909</v>
      </c>
      <c r="H247" s="49">
        <v>1E+100</v>
      </c>
    </row>
    <row r="248" spans="2:8" x14ac:dyDescent="0.3">
      <c r="B248" s="47" t="s">
        <v>291</v>
      </c>
      <c r="C248" s="48"/>
      <c r="D248" s="48">
        <v>0</v>
      </c>
      <c r="E248" s="48">
        <v>-75.093817999999999</v>
      </c>
      <c r="F248" s="48">
        <v>172.54710263106972</v>
      </c>
      <c r="G248" s="48">
        <v>75.093818029999994</v>
      </c>
      <c r="H248" s="49">
        <v>1E+100</v>
      </c>
    </row>
    <row r="249" spans="2:8" x14ac:dyDescent="0.3">
      <c r="B249" s="47" t="s">
        <v>292</v>
      </c>
      <c r="C249" s="48"/>
      <c r="D249" s="48">
        <v>0</v>
      </c>
      <c r="E249" s="48">
        <v>-390.53992</v>
      </c>
      <c r="F249" s="48">
        <v>287.57850438507739</v>
      </c>
      <c r="G249" s="48">
        <v>390.53992140000003</v>
      </c>
      <c r="H249" s="49">
        <v>1E+100</v>
      </c>
    </row>
    <row r="250" spans="2:8" x14ac:dyDescent="0.3">
      <c r="B250" s="47" t="s">
        <v>293</v>
      </c>
      <c r="C250" s="48"/>
      <c r="D250" s="48">
        <v>0</v>
      </c>
      <c r="E250" s="48">
        <v>-75.093817999999999</v>
      </c>
      <c r="F250" s="48">
        <v>172.54710263106972</v>
      </c>
      <c r="G250" s="48">
        <v>75.093818029999994</v>
      </c>
      <c r="H250" s="49">
        <v>1E+100</v>
      </c>
    </row>
    <row r="251" spans="2:8" x14ac:dyDescent="0.3">
      <c r="B251" s="47" t="s">
        <v>294</v>
      </c>
      <c r="C251" s="48"/>
      <c r="D251" s="48">
        <v>0</v>
      </c>
      <c r="E251" s="48">
        <v>-2.3409129000000002</v>
      </c>
      <c r="F251" s="48">
        <v>71.89462609635666</v>
      </c>
      <c r="G251" s="48">
        <v>2.340912909</v>
      </c>
      <c r="H251" s="49">
        <v>1E+100</v>
      </c>
    </row>
    <row r="252" spans="2:8" x14ac:dyDescent="0.3">
      <c r="B252" s="47" t="s">
        <v>295</v>
      </c>
      <c r="C252" s="48"/>
      <c r="D252" s="48">
        <v>0</v>
      </c>
      <c r="E252" s="48">
        <v>-553.96795999999995</v>
      </c>
      <c r="F252" s="48">
        <v>294.15642097371165</v>
      </c>
      <c r="G252" s="48">
        <v>553.96795940000004</v>
      </c>
      <c r="H252" s="49">
        <v>1E+100</v>
      </c>
    </row>
    <row r="253" spans="2:8" x14ac:dyDescent="0.3">
      <c r="B253" s="47" t="s">
        <v>296</v>
      </c>
      <c r="C253" s="48"/>
      <c r="D253" s="48">
        <v>0</v>
      </c>
      <c r="E253" s="48">
        <v>-354.55043999999998</v>
      </c>
      <c r="F253" s="48">
        <v>705.97541033674497</v>
      </c>
      <c r="G253" s="48">
        <v>354.5504401</v>
      </c>
      <c r="H253" s="49">
        <v>1E+100</v>
      </c>
    </row>
    <row r="254" spans="2:8" x14ac:dyDescent="0.3">
      <c r="B254" s="47" t="s">
        <v>297</v>
      </c>
      <c r="C254" s="48"/>
      <c r="D254" s="48">
        <v>0</v>
      </c>
      <c r="E254" s="48">
        <v>-411.18516</v>
      </c>
      <c r="F254" s="48">
        <v>1176.6256838944973</v>
      </c>
      <c r="G254" s="48">
        <v>411.18515660000003</v>
      </c>
      <c r="H254" s="49">
        <v>1E+100</v>
      </c>
    </row>
    <row r="255" spans="2:8" x14ac:dyDescent="0.3">
      <c r="B255" s="47" t="s">
        <v>298</v>
      </c>
      <c r="C255" s="48"/>
      <c r="D255" s="48">
        <v>0</v>
      </c>
      <c r="E255" s="48">
        <v>-354.55043999999998</v>
      </c>
      <c r="F255" s="48">
        <v>705.97541033674497</v>
      </c>
      <c r="G255" s="48">
        <v>354.5504401</v>
      </c>
      <c r="H255" s="49">
        <v>1E+100</v>
      </c>
    </row>
    <row r="256" spans="2:8" x14ac:dyDescent="0.3">
      <c r="B256" s="47" t="s">
        <v>299</v>
      </c>
      <c r="C256" s="48"/>
      <c r="D256" s="48">
        <v>0</v>
      </c>
      <c r="E256" s="48">
        <v>-553.96795999999995</v>
      </c>
      <c r="F256" s="48">
        <v>294.15642097371165</v>
      </c>
      <c r="G256" s="48">
        <v>553.96795940000004</v>
      </c>
      <c r="H256" s="49">
        <v>1E+100</v>
      </c>
    </row>
    <row r="257" spans="2:8" x14ac:dyDescent="0.3">
      <c r="B257" s="47" t="s">
        <v>300</v>
      </c>
      <c r="C257" s="48"/>
      <c r="D257" s="48">
        <v>0</v>
      </c>
      <c r="E257" s="48">
        <v>-5.1540803999999998</v>
      </c>
      <c r="F257" s="48">
        <v>82.158383625792339</v>
      </c>
      <c r="G257" s="48">
        <v>5.1540803740000003</v>
      </c>
      <c r="H257" s="49">
        <v>1E+100</v>
      </c>
    </row>
    <row r="258" spans="2:8" x14ac:dyDescent="0.3">
      <c r="B258" s="47" t="s">
        <v>301</v>
      </c>
      <c r="C258" s="48"/>
      <c r="D258" s="48">
        <v>0</v>
      </c>
      <c r="E258" s="48">
        <v>-13.349494999999999</v>
      </c>
      <c r="F258" s="48">
        <v>197.1801207017852</v>
      </c>
      <c r="G258" s="48">
        <v>13.34949542</v>
      </c>
      <c r="H258" s="49">
        <v>1E+100</v>
      </c>
    </row>
    <row r="259" spans="2:8" x14ac:dyDescent="0.3">
      <c r="B259" s="47" t="s">
        <v>302</v>
      </c>
      <c r="C259" s="48"/>
      <c r="D259" s="48">
        <v>0</v>
      </c>
      <c r="E259" s="48">
        <v>-187.7817</v>
      </c>
      <c r="F259" s="48">
        <v>328.63353450305294</v>
      </c>
      <c r="G259" s="48">
        <v>187.7816991</v>
      </c>
      <c r="H259" s="49">
        <v>1E+100</v>
      </c>
    </row>
    <row r="260" spans="2:8" x14ac:dyDescent="0.3">
      <c r="B260" s="47" t="s">
        <v>303</v>
      </c>
      <c r="C260" s="48"/>
      <c r="D260" s="48">
        <v>0</v>
      </c>
      <c r="E260" s="48">
        <v>-13.349494999999999</v>
      </c>
      <c r="F260" s="48">
        <v>197.1801207017852</v>
      </c>
      <c r="G260" s="48">
        <v>13.34949542</v>
      </c>
      <c r="H260" s="49">
        <v>1E+100</v>
      </c>
    </row>
    <row r="261" spans="2:8" x14ac:dyDescent="0.3">
      <c r="B261" s="47" t="s">
        <v>304</v>
      </c>
      <c r="C261" s="48"/>
      <c r="D261" s="48">
        <v>0</v>
      </c>
      <c r="E261" s="48">
        <v>-5.1540803999999998</v>
      </c>
      <c r="F261" s="48">
        <v>82.158383625792339</v>
      </c>
      <c r="G261" s="48">
        <v>5.1540803740000003</v>
      </c>
      <c r="H261" s="49">
        <v>1E+100</v>
      </c>
    </row>
    <row r="262" spans="2:8" x14ac:dyDescent="0.3">
      <c r="B262" s="47" t="s">
        <v>305</v>
      </c>
      <c r="C262" s="48"/>
      <c r="D262" s="48">
        <v>0</v>
      </c>
      <c r="E262" s="48">
        <v>-0.41742448999999998</v>
      </c>
      <c r="F262" s="48">
        <v>38.663640898652375</v>
      </c>
      <c r="G262" s="48">
        <v>0.41742448869999998</v>
      </c>
      <c r="H262" s="49">
        <v>1E+100</v>
      </c>
    </row>
    <row r="263" spans="2:8" x14ac:dyDescent="0.3">
      <c r="B263" s="47" t="s">
        <v>306</v>
      </c>
      <c r="C263" s="48"/>
      <c r="D263" s="48">
        <v>0</v>
      </c>
      <c r="E263" s="48">
        <v>-26.046886000000001</v>
      </c>
      <c r="F263" s="48">
        <v>92.792738156742416</v>
      </c>
      <c r="G263" s="48">
        <v>26.046886400000002</v>
      </c>
      <c r="H263" s="49">
        <v>1E+100</v>
      </c>
    </row>
    <row r="264" spans="2:8" x14ac:dyDescent="0.3">
      <c r="B264" s="47" t="s">
        <v>307</v>
      </c>
      <c r="C264" s="48"/>
      <c r="D264" s="48">
        <v>0</v>
      </c>
      <c r="E264" s="48">
        <v>-162.18505999999999</v>
      </c>
      <c r="F264" s="48">
        <v>154.65456359449308</v>
      </c>
      <c r="G264" s="48">
        <v>162.18506099999999</v>
      </c>
      <c r="H264" s="49">
        <v>1E+100</v>
      </c>
    </row>
    <row r="265" spans="2:8" x14ac:dyDescent="0.3">
      <c r="B265" s="47" t="s">
        <v>308</v>
      </c>
      <c r="C265" s="48"/>
      <c r="D265" s="48">
        <v>0</v>
      </c>
      <c r="E265" s="48">
        <v>-26.046886000000001</v>
      </c>
      <c r="F265" s="48">
        <v>92.792738156742416</v>
      </c>
      <c r="G265" s="48">
        <v>26.046886400000002</v>
      </c>
      <c r="H265" s="49">
        <v>1E+100</v>
      </c>
    </row>
    <row r="266" spans="2:8" x14ac:dyDescent="0.3">
      <c r="B266" s="47" t="s">
        <v>309</v>
      </c>
      <c r="C266" s="48"/>
      <c r="D266" s="48">
        <v>0</v>
      </c>
      <c r="E266" s="48">
        <v>-0.41742448999999998</v>
      </c>
      <c r="F266" s="48">
        <v>38.663640898652375</v>
      </c>
      <c r="G266" s="48">
        <v>0.41742448869999998</v>
      </c>
      <c r="H266" s="49">
        <v>1E+100</v>
      </c>
    </row>
    <row r="267" spans="2:8" x14ac:dyDescent="0.3">
      <c r="B267" s="47" t="s">
        <v>310</v>
      </c>
      <c r="C267" s="48"/>
      <c r="D267" s="48">
        <v>0</v>
      </c>
      <c r="E267" s="48">
        <v>-53.583863000000001</v>
      </c>
      <c r="F267" s="48">
        <v>67.600301425205544</v>
      </c>
      <c r="G267" s="48">
        <v>53.583862580000002</v>
      </c>
      <c r="H267" s="49">
        <v>1E+100</v>
      </c>
    </row>
    <row r="268" spans="2:8" x14ac:dyDescent="0.3">
      <c r="B268" s="47" t="s">
        <v>311</v>
      </c>
      <c r="C268" s="48"/>
      <c r="D268" s="48">
        <v>0</v>
      </c>
      <c r="E268" s="48">
        <v>-8.3992052000000008</v>
      </c>
      <c r="F268" s="48">
        <v>162.240723420633</v>
      </c>
      <c r="G268" s="48">
        <v>8.3992051550000006</v>
      </c>
      <c r="H268" s="49">
        <v>1E+100</v>
      </c>
    </row>
    <row r="269" spans="2:8" x14ac:dyDescent="0.3">
      <c r="B269" s="47" t="s">
        <v>312</v>
      </c>
      <c r="C269" s="48"/>
      <c r="D269" s="48">
        <v>0</v>
      </c>
      <c r="E269" s="48">
        <v>-23.012271999999999</v>
      </c>
      <c r="F269" s="48">
        <v>270.40120570105501</v>
      </c>
      <c r="G269" s="48">
        <v>23.012272020000001</v>
      </c>
      <c r="H269" s="49">
        <v>1E+100</v>
      </c>
    </row>
    <row r="270" spans="2:8" x14ac:dyDescent="0.3">
      <c r="B270" s="47" t="s">
        <v>313</v>
      </c>
      <c r="C270" s="48"/>
      <c r="D270" s="48">
        <v>0</v>
      </c>
      <c r="E270" s="48">
        <v>-8.3992052000000008</v>
      </c>
      <c r="F270" s="48">
        <v>162.240723420633</v>
      </c>
      <c r="G270" s="48">
        <v>8.3992051550000006</v>
      </c>
      <c r="H270" s="49">
        <v>1E+100</v>
      </c>
    </row>
    <row r="271" spans="2:8" x14ac:dyDescent="0.3">
      <c r="B271" s="47" t="s">
        <v>314</v>
      </c>
      <c r="C271" s="48"/>
      <c r="D271" s="48">
        <v>0</v>
      </c>
      <c r="E271" s="48">
        <v>-53.583863000000001</v>
      </c>
      <c r="F271" s="48">
        <v>67.600301425205544</v>
      </c>
      <c r="G271" s="48">
        <v>53.583862580000002</v>
      </c>
      <c r="H271" s="49">
        <v>1E+100</v>
      </c>
    </row>
    <row r="272" spans="2:8" x14ac:dyDescent="0.3">
      <c r="B272" s="47" t="s">
        <v>315</v>
      </c>
      <c r="C272" s="48"/>
      <c r="D272" s="48">
        <v>0</v>
      </c>
      <c r="E272" s="48">
        <v>-5.2863768000000002</v>
      </c>
      <c r="F272" s="48">
        <v>19.303371016052552</v>
      </c>
      <c r="G272" s="48">
        <v>5.2863767890000002</v>
      </c>
      <c r="H272" s="49">
        <v>1E+100</v>
      </c>
    </row>
    <row r="273" spans="2:8" x14ac:dyDescent="0.3">
      <c r="B273" s="47" t="s">
        <v>316</v>
      </c>
      <c r="C273" s="48"/>
      <c r="D273" s="48">
        <v>0</v>
      </c>
      <c r="E273" s="48">
        <v>-40.296092000000002</v>
      </c>
      <c r="F273" s="48">
        <v>46.328090438735671</v>
      </c>
      <c r="G273" s="48">
        <v>40.296092280000003</v>
      </c>
      <c r="H273" s="49">
        <v>1E+100</v>
      </c>
    </row>
    <row r="274" spans="2:8" x14ac:dyDescent="0.3">
      <c r="B274" s="47" t="s">
        <v>317</v>
      </c>
      <c r="C274" s="48"/>
      <c r="D274" s="48">
        <v>0</v>
      </c>
      <c r="E274" s="48">
        <v>-163.41069999999999</v>
      </c>
      <c r="F274" s="48">
        <v>77.213484064559452</v>
      </c>
      <c r="G274" s="48">
        <v>163.41069870000001</v>
      </c>
      <c r="H274" s="49">
        <v>1E+100</v>
      </c>
    </row>
    <row r="275" spans="2:8" x14ac:dyDescent="0.3">
      <c r="B275" s="47" t="s">
        <v>318</v>
      </c>
      <c r="C275" s="48"/>
      <c r="D275" s="48">
        <v>0</v>
      </c>
      <c r="E275" s="48">
        <v>-40.296092000000002</v>
      </c>
      <c r="F275" s="48">
        <v>46.328090438735671</v>
      </c>
      <c r="G275" s="48">
        <v>40.296092280000003</v>
      </c>
      <c r="H275" s="49">
        <v>1E+100</v>
      </c>
    </row>
    <row r="276" spans="2:8" x14ac:dyDescent="0.3">
      <c r="B276" s="47" t="s">
        <v>319</v>
      </c>
      <c r="C276" s="48"/>
      <c r="D276" s="48">
        <v>0</v>
      </c>
      <c r="E276" s="48">
        <v>-5.2863768000000002</v>
      </c>
      <c r="F276" s="48">
        <v>19.303371016052552</v>
      </c>
      <c r="G276" s="48">
        <v>5.2863767890000002</v>
      </c>
      <c r="H276" s="49">
        <v>1E+100</v>
      </c>
    </row>
    <row r="277" spans="2:8" x14ac:dyDescent="0.3">
      <c r="B277" s="47" t="s">
        <v>320</v>
      </c>
      <c r="C277" s="48"/>
      <c r="D277" s="48">
        <v>0</v>
      </c>
      <c r="E277" s="48">
        <v>-320.08605999999997</v>
      </c>
      <c r="F277" s="48">
        <v>267.01157339685597</v>
      </c>
      <c r="G277" s="48">
        <v>320.08605540000002</v>
      </c>
      <c r="H277" s="49">
        <v>1E+100</v>
      </c>
    </row>
    <row r="278" spans="2:8" x14ac:dyDescent="0.3">
      <c r="B278" s="47" t="s">
        <v>321</v>
      </c>
      <c r="C278" s="48"/>
      <c r="D278" s="48">
        <v>0</v>
      </c>
      <c r="E278" s="48">
        <v>-118.36245</v>
      </c>
      <c r="F278" s="48">
        <v>640.82777615240775</v>
      </c>
      <c r="G278" s="48">
        <v>118.3624456</v>
      </c>
      <c r="H278" s="49">
        <v>1E+100</v>
      </c>
    </row>
    <row r="279" spans="2:8" x14ac:dyDescent="0.3">
      <c r="B279" s="47" t="s">
        <v>322</v>
      </c>
      <c r="C279" s="48"/>
      <c r="D279" s="48">
        <v>0</v>
      </c>
      <c r="E279" s="48">
        <v>-118.36245</v>
      </c>
      <c r="F279" s="48">
        <v>1068.0462935874239</v>
      </c>
      <c r="G279" s="48">
        <v>118.3624456</v>
      </c>
      <c r="H279" s="49">
        <v>1E+100</v>
      </c>
    </row>
    <row r="280" spans="2:8" x14ac:dyDescent="0.3">
      <c r="B280" s="47" t="s">
        <v>323</v>
      </c>
      <c r="C280" s="48"/>
      <c r="D280" s="48">
        <v>0</v>
      </c>
      <c r="E280" s="48">
        <v>-118.36245</v>
      </c>
      <c r="F280" s="48">
        <v>640.82777615240775</v>
      </c>
      <c r="G280" s="48">
        <v>118.3624456</v>
      </c>
      <c r="H280" s="49">
        <v>1E+100</v>
      </c>
    </row>
    <row r="281" spans="2:8" x14ac:dyDescent="0.3">
      <c r="B281" s="47" t="s">
        <v>324</v>
      </c>
      <c r="C281" s="48"/>
      <c r="D281" s="48">
        <v>0</v>
      </c>
      <c r="E281" s="48">
        <v>-320.08605999999997</v>
      </c>
      <c r="F281" s="48">
        <v>267.01157339685597</v>
      </c>
      <c r="G281" s="48">
        <v>320.08605540000002</v>
      </c>
      <c r="H281" s="49">
        <v>1E+100</v>
      </c>
    </row>
    <row r="282" spans="2:8" x14ac:dyDescent="0.3">
      <c r="B282" s="47" t="s">
        <v>325</v>
      </c>
      <c r="C282" s="48"/>
      <c r="D282" s="48">
        <v>0</v>
      </c>
      <c r="E282" s="48">
        <v>-4.0124789999999999</v>
      </c>
      <c r="F282" s="48">
        <v>22.243700661929324</v>
      </c>
      <c r="G282" s="48">
        <v>4.0124790279999996</v>
      </c>
      <c r="H282" s="49">
        <v>1E+100</v>
      </c>
    </row>
    <row r="283" spans="2:8" x14ac:dyDescent="0.3">
      <c r="B283" s="47" t="s">
        <v>326</v>
      </c>
      <c r="C283" s="48"/>
      <c r="D283" s="48">
        <v>0</v>
      </c>
      <c r="E283" s="48">
        <v>-39.109768000000003</v>
      </c>
      <c r="F283" s="48">
        <v>53.384881588863209</v>
      </c>
      <c r="G283" s="48">
        <v>39.109768010000003</v>
      </c>
      <c r="H283" s="49">
        <v>1E+100</v>
      </c>
    </row>
    <row r="284" spans="2:8" x14ac:dyDescent="0.3">
      <c r="B284" s="47" t="s">
        <v>327</v>
      </c>
      <c r="C284" s="48"/>
      <c r="D284" s="48">
        <v>0</v>
      </c>
      <c r="E284" s="48">
        <v>-167.95633000000001</v>
      </c>
      <c r="F284" s="48">
        <v>88.974802648066543</v>
      </c>
      <c r="G284" s="48">
        <v>167.95633100000001</v>
      </c>
      <c r="H284" s="49">
        <v>1E+100</v>
      </c>
    </row>
    <row r="285" spans="2:8" x14ac:dyDescent="0.3">
      <c r="B285" s="47" t="s">
        <v>328</v>
      </c>
      <c r="C285" s="48"/>
      <c r="D285" s="48">
        <v>0</v>
      </c>
      <c r="E285" s="48">
        <v>-39.109768000000003</v>
      </c>
      <c r="F285" s="48">
        <v>53.384881588863209</v>
      </c>
      <c r="G285" s="48">
        <v>39.109768010000003</v>
      </c>
      <c r="H285" s="49">
        <v>1E+100</v>
      </c>
    </row>
    <row r="286" spans="2:8" x14ac:dyDescent="0.3">
      <c r="B286" s="47" t="s">
        <v>329</v>
      </c>
      <c r="C286" s="48"/>
      <c r="D286" s="48">
        <v>0</v>
      </c>
      <c r="E286" s="48">
        <v>-4.0124789999999999</v>
      </c>
      <c r="F286" s="48">
        <v>22.243700661929324</v>
      </c>
      <c r="G286" s="48">
        <v>4.0124790279999996</v>
      </c>
      <c r="H286" s="49">
        <v>1E+100</v>
      </c>
    </row>
    <row r="287" spans="2:8" x14ac:dyDescent="0.3">
      <c r="B287" s="47" t="s">
        <v>330</v>
      </c>
      <c r="C287" s="48"/>
      <c r="D287" s="48">
        <v>0</v>
      </c>
      <c r="E287" s="48">
        <v>-25.771162</v>
      </c>
      <c r="F287" s="48">
        <v>18.186533479485661</v>
      </c>
      <c r="G287" s="48">
        <v>25.771162440000001</v>
      </c>
      <c r="H287" s="49">
        <v>1E+100</v>
      </c>
    </row>
    <row r="288" spans="2:8" x14ac:dyDescent="0.3">
      <c r="B288" s="47" t="s">
        <v>331</v>
      </c>
      <c r="C288" s="48"/>
      <c r="D288" s="48">
        <v>0</v>
      </c>
      <c r="E288" s="48">
        <v>-111.20545</v>
      </c>
      <c r="F288" s="48">
        <v>43.647680350695737</v>
      </c>
      <c r="G288" s="48">
        <v>111.20545250000001</v>
      </c>
      <c r="H288" s="49">
        <v>1E+100</v>
      </c>
    </row>
    <row r="289" spans="2:8" x14ac:dyDescent="0.3">
      <c r="B289" s="47" t="s">
        <v>332</v>
      </c>
      <c r="C289" s="48"/>
      <c r="D289" s="48">
        <v>0</v>
      </c>
      <c r="E289" s="48">
        <v>-357.40404999999998</v>
      </c>
      <c r="F289" s="48">
        <v>72.746133917826228</v>
      </c>
      <c r="G289" s="48">
        <v>357.40405459999999</v>
      </c>
      <c r="H289" s="49">
        <v>1E+100</v>
      </c>
    </row>
    <row r="290" spans="2:8" x14ac:dyDescent="0.3">
      <c r="B290" s="47" t="s">
        <v>333</v>
      </c>
      <c r="C290" s="48"/>
      <c r="D290" s="48">
        <v>0</v>
      </c>
      <c r="E290" s="48">
        <v>-111.20545</v>
      </c>
      <c r="F290" s="48">
        <v>43.647680350695737</v>
      </c>
      <c r="G290" s="48">
        <v>111.20545250000001</v>
      </c>
      <c r="H290" s="49">
        <v>1E+100</v>
      </c>
    </row>
    <row r="291" spans="2:8" x14ac:dyDescent="0.3">
      <c r="B291" s="47" t="s">
        <v>334</v>
      </c>
      <c r="C291" s="48"/>
      <c r="D291" s="48">
        <v>0</v>
      </c>
      <c r="E291" s="48">
        <v>-25.771162</v>
      </c>
      <c r="F291" s="48">
        <v>18.186533479485661</v>
      </c>
      <c r="G291" s="48">
        <v>25.771162440000001</v>
      </c>
      <c r="H291" s="49">
        <v>1E+100</v>
      </c>
    </row>
    <row r="292" spans="2:8" x14ac:dyDescent="0.3">
      <c r="B292" s="47" t="s">
        <v>335</v>
      </c>
      <c r="C292" s="48"/>
      <c r="D292" s="48">
        <v>0</v>
      </c>
      <c r="E292" s="48">
        <v>-6.0968248000000003E-2</v>
      </c>
      <c r="F292" s="48">
        <v>20.280090427491814</v>
      </c>
      <c r="G292" s="48">
        <v>6.0968247830000002E-2</v>
      </c>
      <c r="H292" s="49">
        <v>1E+100</v>
      </c>
    </row>
    <row r="293" spans="2:8" x14ac:dyDescent="0.3">
      <c r="B293" s="47" t="s">
        <v>336</v>
      </c>
      <c r="C293" s="48"/>
      <c r="D293" s="48">
        <v>0</v>
      </c>
      <c r="E293" s="48">
        <v>-21.124606</v>
      </c>
      <c r="F293" s="48">
        <v>48.672217026120052</v>
      </c>
      <c r="G293" s="48">
        <v>21.12460621</v>
      </c>
      <c r="H293" s="49">
        <v>1E+100</v>
      </c>
    </row>
    <row r="294" spans="2:8" x14ac:dyDescent="0.3">
      <c r="B294" s="47" t="s">
        <v>337</v>
      </c>
      <c r="C294" s="48"/>
      <c r="D294" s="48">
        <v>0</v>
      </c>
      <c r="E294" s="48">
        <v>-111.45001000000001</v>
      </c>
      <c r="F294" s="48">
        <v>81.120361710316502</v>
      </c>
      <c r="G294" s="48">
        <v>111.45001070000001</v>
      </c>
      <c r="H294" s="49">
        <v>1E+100</v>
      </c>
    </row>
    <row r="295" spans="2:8" x14ac:dyDescent="0.3">
      <c r="B295" s="47" t="s">
        <v>338</v>
      </c>
      <c r="C295" s="48"/>
      <c r="D295" s="48">
        <v>0</v>
      </c>
      <c r="E295" s="48">
        <v>-21.124606</v>
      </c>
      <c r="F295" s="48">
        <v>48.672217026120052</v>
      </c>
      <c r="G295" s="48">
        <v>21.12460621</v>
      </c>
      <c r="H295" s="49">
        <v>1E+100</v>
      </c>
    </row>
    <row r="296" spans="2:8" x14ac:dyDescent="0.3">
      <c r="B296" s="47" t="s">
        <v>339</v>
      </c>
      <c r="C296" s="48"/>
      <c r="D296" s="48">
        <v>0</v>
      </c>
      <c r="E296" s="48">
        <v>-6.0968248000000003E-2</v>
      </c>
      <c r="F296" s="48">
        <v>20.280090427491814</v>
      </c>
      <c r="G296" s="48">
        <v>6.0968247830000002E-2</v>
      </c>
      <c r="H296" s="49">
        <v>1E+100</v>
      </c>
    </row>
    <row r="297" spans="2:8" x14ac:dyDescent="0.3">
      <c r="B297" s="47" t="s">
        <v>340</v>
      </c>
      <c r="C297" s="48"/>
      <c r="D297" s="48">
        <v>0</v>
      </c>
      <c r="E297" s="48">
        <v>-37.086371</v>
      </c>
      <c r="F297" s="48">
        <v>122.20783894578926</v>
      </c>
      <c r="G297" s="48">
        <v>37.08637066</v>
      </c>
      <c r="H297" s="49">
        <v>1E+100</v>
      </c>
    </row>
    <row r="298" spans="2:8" x14ac:dyDescent="0.3">
      <c r="B298" s="47" t="s">
        <v>341</v>
      </c>
      <c r="C298" s="48"/>
      <c r="D298" s="48">
        <v>0</v>
      </c>
      <c r="E298" s="48">
        <v>-20.183211</v>
      </c>
      <c r="F298" s="48">
        <v>293.2988134699408</v>
      </c>
      <c r="G298" s="48">
        <v>20.18321066</v>
      </c>
      <c r="H298" s="49">
        <v>1E+100</v>
      </c>
    </row>
    <row r="299" spans="2:8" x14ac:dyDescent="0.3">
      <c r="B299" s="47" t="s">
        <v>342</v>
      </c>
      <c r="C299" s="48"/>
      <c r="D299" s="48">
        <v>0</v>
      </c>
      <c r="E299" s="48">
        <v>-207.42071000000001</v>
      </c>
      <c r="F299" s="48">
        <v>488.83135578327347</v>
      </c>
      <c r="G299" s="48">
        <v>207.42071319999999</v>
      </c>
      <c r="H299" s="49">
        <v>1E+100</v>
      </c>
    </row>
    <row r="300" spans="2:8" x14ac:dyDescent="0.3">
      <c r="B300" s="47" t="s">
        <v>343</v>
      </c>
      <c r="C300" s="48"/>
      <c r="D300" s="48">
        <v>0</v>
      </c>
      <c r="E300" s="48">
        <v>-20.183211</v>
      </c>
      <c r="F300" s="48">
        <v>293.2988134699408</v>
      </c>
      <c r="G300" s="48">
        <v>20.18321066</v>
      </c>
      <c r="H300" s="49">
        <v>1E+100</v>
      </c>
    </row>
    <row r="301" spans="2:8" x14ac:dyDescent="0.3">
      <c r="B301" s="47" t="s">
        <v>344</v>
      </c>
      <c r="C301" s="48"/>
      <c r="D301" s="48">
        <v>0</v>
      </c>
      <c r="E301" s="48">
        <v>-37.086371</v>
      </c>
      <c r="F301" s="48">
        <v>122.20783894578926</v>
      </c>
      <c r="G301" s="48">
        <v>37.08637066</v>
      </c>
      <c r="H301" s="49">
        <v>1E+100</v>
      </c>
    </row>
    <row r="302" spans="2:8" x14ac:dyDescent="0.3">
      <c r="B302" s="47" t="s">
        <v>345</v>
      </c>
      <c r="C302" s="48"/>
      <c r="D302" s="48">
        <v>0</v>
      </c>
      <c r="E302" s="48">
        <v>-20.129626999999999</v>
      </c>
      <c r="F302" s="48">
        <v>125.35768181772437</v>
      </c>
      <c r="G302" s="48">
        <v>20.129627110000001</v>
      </c>
      <c r="H302" s="49">
        <v>1E+100</v>
      </c>
    </row>
    <row r="303" spans="2:8" x14ac:dyDescent="0.3">
      <c r="B303" s="47" t="s">
        <v>346</v>
      </c>
      <c r="C303" s="48"/>
      <c r="D303" s="48">
        <v>0</v>
      </c>
      <c r="E303" s="48">
        <v>-15.948665999999999</v>
      </c>
      <c r="F303" s="48">
        <v>300.85843636258505</v>
      </c>
      <c r="G303" s="48">
        <v>15.948666469999999</v>
      </c>
      <c r="H303" s="49">
        <v>1E+100</v>
      </c>
    </row>
    <row r="304" spans="2:8" x14ac:dyDescent="0.3">
      <c r="B304" s="47" t="s">
        <v>347</v>
      </c>
      <c r="C304" s="48"/>
      <c r="D304" s="48">
        <v>0</v>
      </c>
      <c r="E304" s="48">
        <v>-240.67643000000001</v>
      </c>
      <c r="F304" s="48">
        <v>501.43072727089748</v>
      </c>
      <c r="G304" s="48">
        <v>240.6764254</v>
      </c>
      <c r="H304" s="49">
        <v>1E+100</v>
      </c>
    </row>
    <row r="305" spans="2:8" x14ac:dyDescent="0.3">
      <c r="B305" s="47" t="s">
        <v>348</v>
      </c>
      <c r="C305" s="48"/>
      <c r="D305" s="48">
        <v>0</v>
      </c>
      <c r="E305" s="48">
        <v>-15.948665999999999</v>
      </c>
      <c r="F305" s="48">
        <v>300.85843636258505</v>
      </c>
      <c r="G305" s="48">
        <v>15.948666469999999</v>
      </c>
      <c r="H305" s="49">
        <v>1E+100</v>
      </c>
    </row>
    <row r="306" spans="2:8" x14ac:dyDescent="0.3">
      <c r="B306" s="47" t="s">
        <v>349</v>
      </c>
      <c r="C306" s="48"/>
      <c r="D306" s="48">
        <v>0</v>
      </c>
      <c r="E306" s="48">
        <v>-20.129626999999999</v>
      </c>
      <c r="F306" s="48">
        <v>125.35768181772437</v>
      </c>
      <c r="G306" s="48">
        <v>20.129627110000001</v>
      </c>
      <c r="H306" s="49">
        <v>1E+100</v>
      </c>
    </row>
    <row r="307" spans="2:8" x14ac:dyDescent="0.3">
      <c r="B307" s="47" t="s">
        <v>350</v>
      </c>
      <c r="C307" s="48"/>
      <c r="D307" s="48">
        <v>0</v>
      </c>
      <c r="E307" s="48">
        <v>-5.7608072999999997</v>
      </c>
      <c r="F307" s="48">
        <v>16.270585280261002</v>
      </c>
      <c r="G307" s="48">
        <v>5.7608072909999999</v>
      </c>
      <c r="H307" s="49">
        <v>1E+100</v>
      </c>
    </row>
    <row r="308" spans="2:8" x14ac:dyDescent="0.3">
      <c r="B308" s="47" t="s">
        <v>351</v>
      </c>
      <c r="C308" s="48"/>
      <c r="D308" s="48">
        <v>0</v>
      </c>
      <c r="E308" s="48">
        <v>-38.562264999999996</v>
      </c>
      <c r="F308" s="48">
        <v>39.04940467281267</v>
      </c>
      <c r="G308" s="48">
        <v>38.562264659999997</v>
      </c>
      <c r="H308" s="49">
        <v>1E+100</v>
      </c>
    </row>
    <row r="309" spans="2:8" x14ac:dyDescent="0.3">
      <c r="B309" s="47" t="s">
        <v>352</v>
      </c>
      <c r="C309" s="48"/>
      <c r="D309" s="48">
        <v>0</v>
      </c>
      <c r="E309" s="48">
        <v>-150.50693000000001</v>
      </c>
      <c r="F309" s="48">
        <v>65.082341121276841</v>
      </c>
      <c r="G309" s="48">
        <v>150.50693100000001</v>
      </c>
      <c r="H309" s="49">
        <v>1E+100</v>
      </c>
    </row>
    <row r="310" spans="2:8" x14ac:dyDescent="0.3">
      <c r="B310" s="47" t="s">
        <v>353</v>
      </c>
      <c r="C310" s="48"/>
      <c r="D310" s="48">
        <v>0</v>
      </c>
      <c r="E310" s="48">
        <v>-38.562264999999996</v>
      </c>
      <c r="F310" s="48">
        <v>39.04940467281267</v>
      </c>
      <c r="G310" s="48">
        <v>38.562264659999997</v>
      </c>
      <c r="H310" s="49">
        <v>1E+100</v>
      </c>
    </row>
    <row r="311" spans="2:8" x14ac:dyDescent="0.3">
      <c r="B311" s="47" t="s">
        <v>354</v>
      </c>
      <c r="C311" s="48"/>
      <c r="D311" s="48">
        <v>0</v>
      </c>
      <c r="E311" s="48">
        <v>-5.7608072999999997</v>
      </c>
      <c r="F311" s="48">
        <v>16.270585280261002</v>
      </c>
      <c r="G311" s="48">
        <v>5.7608072909999999</v>
      </c>
      <c r="H311" s="49">
        <v>1E+100</v>
      </c>
    </row>
    <row r="312" spans="2:8" x14ac:dyDescent="0.3">
      <c r="B312" s="47" t="s">
        <v>355</v>
      </c>
      <c r="C312" s="48"/>
      <c r="D312" s="48">
        <v>0</v>
      </c>
      <c r="E312" s="48">
        <v>-130.32194000000001</v>
      </c>
      <c r="F312" s="48">
        <v>122.18025942204986</v>
      </c>
      <c r="G312" s="48">
        <v>130.3219426</v>
      </c>
      <c r="H312" s="49">
        <v>1E+100</v>
      </c>
    </row>
    <row r="313" spans="2:8" x14ac:dyDescent="0.3">
      <c r="B313" s="47" t="s">
        <v>356</v>
      </c>
      <c r="C313" s="48"/>
      <c r="D313" s="48">
        <v>0</v>
      </c>
      <c r="E313" s="48">
        <v>-44.929476000000001</v>
      </c>
      <c r="F313" s="48">
        <v>293.23262261296622</v>
      </c>
      <c r="G313" s="48">
        <v>44.929476399999999</v>
      </c>
      <c r="H313" s="49">
        <v>1E+100</v>
      </c>
    </row>
    <row r="314" spans="2:8" x14ac:dyDescent="0.3">
      <c r="B314" s="47" t="s">
        <v>357</v>
      </c>
      <c r="C314" s="48"/>
      <c r="D314" s="48">
        <v>0</v>
      </c>
      <c r="E314" s="48">
        <v>-62.091085999999997</v>
      </c>
      <c r="F314" s="48">
        <v>488.72103768819943</v>
      </c>
      <c r="G314" s="48">
        <v>62.091086259999997</v>
      </c>
      <c r="H314" s="49">
        <v>1E+100</v>
      </c>
    </row>
    <row r="315" spans="2:8" x14ac:dyDescent="0.3">
      <c r="B315" s="47" t="s">
        <v>358</v>
      </c>
      <c r="C315" s="48"/>
      <c r="D315" s="48">
        <v>0</v>
      </c>
      <c r="E315" s="48">
        <v>-44.929476000000001</v>
      </c>
      <c r="F315" s="48">
        <v>293.23262261296622</v>
      </c>
      <c r="G315" s="48">
        <v>44.929476399999999</v>
      </c>
      <c r="H315" s="49">
        <v>1E+100</v>
      </c>
    </row>
    <row r="316" spans="2:8" x14ac:dyDescent="0.3">
      <c r="B316" s="47" t="s">
        <v>359</v>
      </c>
      <c r="C316" s="48"/>
      <c r="D316" s="48">
        <v>0</v>
      </c>
      <c r="E316" s="48">
        <v>-130.32194000000001</v>
      </c>
      <c r="F316" s="48">
        <v>122.18025942204986</v>
      </c>
      <c r="G316" s="48">
        <v>130.3219426</v>
      </c>
      <c r="H316" s="49">
        <v>1E+100</v>
      </c>
    </row>
    <row r="317" spans="2:8" x14ac:dyDescent="0.3">
      <c r="B317" s="47" t="s">
        <v>360</v>
      </c>
      <c r="C317" s="48"/>
      <c r="D317" s="48">
        <v>0</v>
      </c>
      <c r="E317" s="48">
        <v>-14.574040999999999</v>
      </c>
      <c r="F317" s="48">
        <v>7.4573515867814422</v>
      </c>
      <c r="G317" s="48">
        <v>14.574040979999999</v>
      </c>
      <c r="H317" s="49">
        <v>1E+100</v>
      </c>
    </row>
    <row r="318" spans="2:8" x14ac:dyDescent="0.3">
      <c r="B318" s="47" t="s">
        <v>361</v>
      </c>
      <c r="C318" s="48"/>
      <c r="D318" s="48">
        <v>0</v>
      </c>
      <c r="E318" s="48">
        <v>-59.714025999999997</v>
      </c>
      <c r="F318" s="48">
        <v>17.897643808391877</v>
      </c>
      <c r="G318" s="48">
        <v>59.71402552</v>
      </c>
      <c r="H318" s="49">
        <v>1E+100</v>
      </c>
    </row>
    <row r="319" spans="2:8" x14ac:dyDescent="0.3">
      <c r="B319" s="47" t="s">
        <v>362</v>
      </c>
      <c r="C319" s="48"/>
      <c r="D319" s="48">
        <v>0</v>
      </c>
      <c r="E319" s="48">
        <v>-185.75987000000001</v>
      </c>
      <c r="F319" s="48">
        <v>29.829406347242184</v>
      </c>
      <c r="G319" s="48">
        <v>185.7598658</v>
      </c>
      <c r="H319" s="49">
        <v>1E+100</v>
      </c>
    </row>
    <row r="320" spans="2:8" x14ac:dyDescent="0.3">
      <c r="B320" s="47" t="s">
        <v>363</v>
      </c>
      <c r="C320" s="48"/>
      <c r="D320" s="48">
        <v>0</v>
      </c>
      <c r="E320" s="48">
        <v>-59.714025999999997</v>
      </c>
      <c r="F320" s="48">
        <v>17.897643808391877</v>
      </c>
      <c r="G320" s="48">
        <v>59.71402552</v>
      </c>
      <c r="H320" s="49">
        <v>1E+100</v>
      </c>
    </row>
    <row r="321" spans="2:8" x14ac:dyDescent="0.3">
      <c r="B321" s="47" t="s">
        <v>364</v>
      </c>
      <c r="C321" s="48"/>
      <c r="D321" s="48">
        <v>0</v>
      </c>
      <c r="E321" s="48">
        <v>-14.574040999999999</v>
      </c>
      <c r="F321" s="48">
        <v>7.4573515867814422</v>
      </c>
      <c r="G321" s="48">
        <v>14.574040979999999</v>
      </c>
      <c r="H321" s="49">
        <v>1E+100</v>
      </c>
    </row>
    <row r="322" spans="2:8" x14ac:dyDescent="0.3">
      <c r="B322" s="47" t="s">
        <v>365</v>
      </c>
      <c r="C322" s="48"/>
      <c r="D322" s="48">
        <v>0</v>
      </c>
      <c r="E322" s="48">
        <v>-885.34131000000002</v>
      </c>
      <c r="F322" s="48">
        <v>371.78756820817944</v>
      </c>
      <c r="G322" s="48">
        <v>885.34131030000003</v>
      </c>
      <c r="H322" s="49">
        <v>1E+100</v>
      </c>
    </row>
    <row r="323" spans="2:8" x14ac:dyDescent="0.3">
      <c r="B323" s="47" t="s">
        <v>366</v>
      </c>
      <c r="C323" s="48"/>
      <c r="D323" s="48">
        <v>0</v>
      </c>
      <c r="E323" s="48">
        <v>-501.89454999999998</v>
      </c>
      <c r="F323" s="48">
        <v>892.29016369953752</v>
      </c>
      <c r="G323" s="48">
        <v>501.89454990000002</v>
      </c>
      <c r="H323" s="49">
        <v>1E+100</v>
      </c>
    </row>
    <row r="324" spans="2:8" x14ac:dyDescent="0.3">
      <c r="B324" s="47" t="s">
        <v>367</v>
      </c>
      <c r="C324" s="48"/>
      <c r="D324" s="48">
        <v>0</v>
      </c>
      <c r="E324" s="48">
        <v>-247.27448000000001</v>
      </c>
      <c r="F324" s="48">
        <v>1487.1502728324849</v>
      </c>
      <c r="G324" s="48">
        <v>247.2744807</v>
      </c>
      <c r="H324" s="49">
        <v>1E+100</v>
      </c>
    </row>
    <row r="325" spans="2:8" x14ac:dyDescent="0.3">
      <c r="B325" s="47" t="s">
        <v>368</v>
      </c>
      <c r="C325" s="48"/>
      <c r="D325" s="48">
        <v>0</v>
      </c>
      <c r="E325" s="48">
        <v>-501.89454999999998</v>
      </c>
      <c r="F325" s="48">
        <v>892.29016369953752</v>
      </c>
      <c r="G325" s="48">
        <v>501.89454990000002</v>
      </c>
      <c r="H325" s="49">
        <v>1E+100</v>
      </c>
    </row>
    <row r="326" spans="2:8" x14ac:dyDescent="0.3">
      <c r="B326" s="47" t="s">
        <v>369</v>
      </c>
      <c r="C326" s="48"/>
      <c r="D326" s="48">
        <v>0</v>
      </c>
      <c r="E326" s="48">
        <v>-885.34131000000002</v>
      </c>
      <c r="F326" s="48">
        <v>371.78756820817944</v>
      </c>
      <c r="G326" s="48">
        <v>885.34131030000003</v>
      </c>
      <c r="H326" s="49">
        <v>1E+100</v>
      </c>
    </row>
    <row r="327" spans="2:8" x14ac:dyDescent="0.3">
      <c r="B327" s="47" t="s">
        <v>370</v>
      </c>
      <c r="C327" s="48"/>
      <c r="D327" s="48">
        <v>0</v>
      </c>
      <c r="E327" s="48">
        <v>-393.14483999999999</v>
      </c>
      <c r="F327" s="48">
        <v>268.85724568087608</v>
      </c>
      <c r="G327" s="48">
        <v>393.14483849999999</v>
      </c>
      <c r="H327" s="49">
        <v>1E+100</v>
      </c>
    </row>
    <row r="328" spans="2:8" x14ac:dyDescent="0.3">
      <c r="B328" s="47" t="s">
        <v>371</v>
      </c>
      <c r="C328" s="48"/>
      <c r="D328" s="48">
        <v>0</v>
      </c>
      <c r="E328" s="48">
        <v>-170.93251000000001</v>
      </c>
      <c r="F328" s="48">
        <v>645.25738963403273</v>
      </c>
      <c r="G328" s="48">
        <v>170.93250900000001</v>
      </c>
      <c r="H328" s="49">
        <v>1E+100</v>
      </c>
    </row>
    <row r="329" spans="2:8" x14ac:dyDescent="0.3">
      <c r="B329" s="47" t="s">
        <v>372</v>
      </c>
      <c r="C329" s="48"/>
      <c r="D329" s="48">
        <v>0</v>
      </c>
      <c r="E329" s="48">
        <v>-123.53095999999999</v>
      </c>
      <c r="F329" s="48">
        <v>1075.4289827233879</v>
      </c>
      <c r="G329" s="48">
        <v>123.5309609</v>
      </c>
      <c r="H329" s="49">
        <v>1E+100</v>
      </c>
    </row>
    <row r="330" spans="2:8" x14ac:dyDescent="0.3">
      <c r="B330" s="47" t="s">
        <v>373</v>
      </c>
      <c r="C330" s="48"/>
      <c r="D330" s="48">
        <v>0</v>
      </c>
      <c r="E330" s="48">
        <v>-170.93251000000001</v>
      </c>
      <c r="F330" s="48">
        <v>645.25738963403273</v>
      </c>
      <c r="G330" s="48">
        <v>170.93250900000001</v>
      </c>
      <c r="H330" s="49">
        <v>1E+100</v>
      </c>
    </row>
    <row r="331" spans="2:8" x14ac:dyDescent="0.3">
      <c r="B331" s="47" t="s">
        <v>374</v>
      </c>
      <c r="C331" s="48"/>
      <c r="D331" s="48">
        <v>0</v>
      </c>
      <c r="E331" s="48">
        <v>-393.14483999999999</v>
      </c>
      <c r="F331" s="48">
        <v>268.85724568087608</v>
      </c>
      <c r="G331" s="48">
        <v>393.14483849999999</v>
      </c>
      <c r="H331" s="49">
        <v>1E+100</v>
      </c>
    </row>
    <row r="332" spans="2:8" x14ac:dyDescent="0.3">
      <c r="B332" s="47" t="s">
        <v>375</v>
      </c>
      <c r="C332" s="48"/>
      <c r="D332" s="48">
        <v>0</v>
      </c>
      <c r="E332" s="48">
        <v>-61.698732</v>
      </c>
      <c r="F332" s="48">
        <v>10.690129076945595</v>
      </c>
      <c r="G332" s="48">
        <v>61.698732229999997</v>
      </c>
      <c r="H332" s="49">
        <v>1E+100</v>
      </c>
    </row>
    <row r="333" spans="2:8" x14ac:dyDescent="0.3">
      <c r="B333" s="47" t="s">
        <v>376</v>
      </c>
      <c r="C333" s="48"/>
      <c r="D333" s="48">
        <v>0</v>
      </c>
      <c r="E333" s="48">
        <v>-229.35346000000001</v>
      </c>
      <c r="F333" s="48">
        <v>25.656309784739278</v>
      </c>
      <c r="G333" s="48">
        <v>229.35346089999999</v>
      </c>
      <c r="H333" s="49">
        <v>1E+100</v>
      </c>
    </row>
    <row r="334" spans="2:8" x14ac:dyDescent="0.3">
      <c r="B334" s="47" t="s">
        <v>377</v>
      </c>
      <c r="C334" s="48"/>
      <c r="D334" s="48">
        <v>0</v>
      </c>
      <c r="E334" s="48">
        <v>-665.60424</v>
      </c>
      <c r="F334" s="48">
        <v>42.760516307782382</v>
      </c>
      <c r="G334" s="48">
        <v>665.60423500000002</v>
      </c>
      <c r="H334" s="49">
        <v>1E+100</v>
      </c>
    </row>
    <row r="335" spans="2:8" x14ac:dyDescent="0.3">
      <c r="B335" s="47" t="s">
        <v>378</v>
      </c>
      <c r="C335" s="48"/>
      <c r="D335" s="48">
        <v>0</v>
      </c>
      <c r="E335" s="48">
        <v>-229.35346000000001</v>
      </c>
      <c r="F335" s="48">
        <v>25.656309784739278</v>
      </c>
      <c r="G335" s="48">
        <v>229.35346089999999</v>
      </c>
      <c r="H335" s="49">
        <v>1E+100</v>
      </c>
    </row>
    <row r="336" spans="2:8" x14ac:dyDescent="0.3">
      <c r="B336" s="47" t="s">
        <v>379</v>
      </c>
      <c r="C336" s="48"/>
      <c r="D336" s="48">
        <v>0</v>
      </c>
      <c r="E336" s="48">
        <v>-61.698732</v>
      </c>
      <c r="F336" s="48">
        <v>10.690129076945595</v>
      </c>
      <c r="G336" s="48">
        <v>61.698732229999997</v>
      </c>
      <c r="H336" s="49">
        <v>1E+100</v>
      </c>
    </row>
    <row r="337" spans="2:8" x14ac:dyDescent="0.3">
      <c r="B337" s="47" t="s">
        <v>380</v>
      </c>
      <c r="C337" s="48"/>
      <c r="D337" s="48">
        <v>0</v>
      </c>
      <c r="E337" s="48">
        <v>-47.499592999999997</v>
      </c>
      <c r="F337" s="48">
        <v>31.183952043415047</v>
      </c>
      <c r="G337" s="48">
        <v>47.49959286</v>
      </c>
      <c r="H337" s="49">
        <v>1E+100</v>
      </c>
    </row>
    <row r="338" spans="2:8" x14ac:dyDescent="0.3">
      <c r="B338" s="47" t="s">
        <v>381</v>
      </c>
      <c r="C338" s="48"/>
      <c r="D338" s="48">
        <v>0</v>
      </c>
      <c r="E338" s="48">
        <v>-202.34305000000001</v>
      </c>
      <c r="F338" s="48">
        <v>74.841484904289246</v>
      </c>
      <c r="G338" s="48">
        <v>202.34304839999999</v>
      </c>
      <c r="H338" s="49">
        <v>1E+100</v>
      </c>
    </row>
    <row r="339" spans="2:8" x14ac:dyDescent="0.3">
      <c r="B339" s="47" t="s">
        <v>382</v>
      </c>
      <c r="C339" s="48"/>
      <c r="D339" s="48">
        <v>0</v>
      </c>
      <c r="E339" s="48">
        <v>-645.22587999999996</v>
      </c>
      <c r="F339" s="48">
        <v>124.7358081737766</v>
      </c>
      <c r="G339" s="48">
        <v>645.22587810000005</v>
      </c>
      <c r="H339" s="49">
        <v>1E+100</v>
      </c>
    </row>
    <row r="340" spans="2:8" x14ac:dyDescent="0.3">
      <c r="B340" s="47" t="s">
        <v>383</v>
      </c>
      <c r="C340" s="48"/>
      <c r="D340" s="48">
        <v>0</v>
      </c>
      <c r="E340" s="48">
        <v>-202.34305000000001</v>
      </c>
      <c r="F340" s="48">
        <v>74.841484904289246</v>
      </c>
      <c r="G340" s="48">
        <v>202.34304839999999</v>
      </c>
      <c r="H340" s="49">
        <v>1E+100</v>
      </c>
    </row>
    <row r="341" spans="2:8" x14ac:dyDescent="0.3">
      <c r="B341" s="47" t="s">
        <v>384</v>
      </c>
      <c r="C341" s="48"/>
      <c r="D341" s="48">
        <v>0</v>
      </c>
      <c r="E341" s="48">
        <v>-47.499592999999997</v>
      </c>
      <c r="F341" s="48">
        <v>31.183952043415047</v>
      </c>
      <c r="G341" s="48">
        <v>47.49959286</v>
      </c>
      <c r="H341" s="49">
        <v>1E+100</v>
      </c>
    </row>
    <row r="342" spans="2:8" x14ac:dyDescent="0.3">
      <c r="B342" s="47" t="s">
        <v>385</v>
      </c>
      <c r="C342" s="48"/>
      <c r="D342" s="48">
        <v>0</v>
      </c>
      <c r="E342" s="48">
        <v>-57.369759000000002</v>
      </c>
      <c r="F342" s="48">
        <v>58.075926849385723</v>
      </c>
      <c r="G342" s="48">
        <v>57.369759160000001</v>
      </c>
      <c r="H342" s="49">
        <v>1E+100</v>
      </c>
    </row>
    <row r="343" spans="2:8" x14ac:dyDescent="0.3">
      <c r="B343" s="47" t="s">
        <v>386</v>
      </c>
      <c r="C343" s="48"/>
      <c r="D343" s="48">
        <v>0</v>
      </c>
      <c r="E343" s="48">
        <v>-267.30711000000002</v>
      </c>
      <c r="F343" s="48">
        <v>139.38222443847917</v>
      </c>
      <c r="G343" s="48">
        <v>267.30711120000001</v>
      </c>
      <c r="H343" s="49">
        <v>1E+100</v>
      </c>
    </row>
    <row r="344" spans="2:8" x14ac:dyDescent="0.3">
      <c r="B344" s="47" t="s">
        <v>387</v>
      </c>
      <c r="C344" s="48"/>
      <c r="D344" s="48">
        <v>0</v>
      </c>
      <c r="E344" s="48">
        <v>-897.39571000000001</v>
      </c>
      <c r="F344" s="48">
        <v>232.30370739754289</v>
      </c>
      <c r="G344" s="48">
        <v>897.39571309999997</v>
      </c>
      <c r="H344" s="49">
        <v>1E+100</v>
      </c>
    </row>
    <row r="345" spans="2:8" x14ac:dyDescent="0.3">
      <c r="B345" s="47" t="s">
        <v>388</v>
      </c>
      <c r="C345" s="48"/>
      <c r="D345" s="48">
        <v>0</v>
      </c>
      <c r="E345" s="48">
        <v>-267.30711000000002</v>
      </c>
      <c r="F345" s="48">
        <v>139.38222443847917</v>
      </c>
      <c r="G345" s="48">
        <v>267.30711120000001</v>
      </c>
      <c r="H345" s="49">
        <v>1E+100</v>
      </c>
    </row>
    <row r="346" spans="2:8" x14ac:dyDescent="0.3">
      <c r="B346" s="47" t="s">
        <v>389</v>
      </c>
      <c r="C346" s="48"/>
      <c r="D346" s="48">
        <v>0</v>
      </c>
      <c r="E346" s="48">
        <v>-57.369759000000002</v>
      </c>
      <c r="F346" s="48">
        <v>58.075926849385723</v>
      </c>
      <c r="G346" s="48">
        <v>57.369759160000001</v>
      </c>
      <c r="H346" s="49">
        <v>1E+100</v>
      </c>
    </row>
    <row r="347" spans="2:8" x14ac:dyDescent="0.3">
      <c r="B347" s="47" t="s">
        <v>390</v>
      </c>
      <c r="C347" s="48"/>
      <c r="D347" s="48">
        <v>0</v>
      </c>
      <c r="E347" s="48">
        <v>-24.857661</v>
      </c>
      <c r="F347" s="48">
        <v>27.834655788494274</v>
      </c>
      <c r="G347" s="48">
        <v>24.857660939999999</v>
      </c>
      <c r="H347" s="49">
        <v>1E+100</v>
      </c>
    </row>
    <row r="348" spans="2:8" x14ac:dyDescent="0.3">
      <c r="B348" s="47" t="s">
        <v>391</v>
      </c>
      <c r="C348" s="48"/>
      <c r="D348" s="48">
        <v>0</v>
      </c>
      <c r="E348" s="48">
        <v>-118.82007</v>
      </c>
      <c r="F348" s="48">
        <v>66.803173892199993</v>
      </c>
      <c r="G348" s="48">
        <v>118.8200748</v>
      </c>
      <c r="H348" s="49">
        <v>1E+100</v>
      </c>
    </row>
    <row r="349" spans="2:8" x14ac:dyDescent="0.3">
      <c r="B349" s="47" t="s">
        <v>392</v>
      </c>
      <c r="C349" s="48"/>
      <c r="D349" s="48">
        <v>0</v>
      </c>
      <c r="E349" s="48">
        <v>-404.28462999999999</v>
      </c>
      <c r="F349" s="48">
        <v>111.33862315362785</v>
      </c>
      <c r="G349" s="48">
        <v>404.2846255</v>
      </c>
      <c r="H349" s="49">
        <v>1E+100</v>
      </c>
    </row>
    <row r="350" spans="2:8" x14ac:dyDescent="0.3">
      <c r="B350" s="47" t="s">
        <v>393</v>
      </c>
      <c r="C350" s="48"/>
      <c r="D350" s="48">
        <v>0</v>
      </c>
      <c r="E350" s="48">
        <v>-118.82007</v>
      </c>
      <c r="F350" s="48">
        <v>66.803173892199993</v>
      </c>
      <c r="G350" s="48">
        <v>118.8200748</v>
      </c>
      <c r="H350" s="49">
        <v>1E+100</v>
      </c>
    </row>
    <row r="351" spans="2:8" x14ac:dyDescent="0.3">
      <c r="B351" s="47" t="s">
        <v>394</v>
      </c>
      <c r="C351" s="48"/>
      <c r="D351" s="48">
        <v>0</v>
      </c>
      <c r="E351" s="48">
        <v>-24.857661</v>
      </c>
      <c r="F351" s="48">
        <v>27.834655788494274</v>
      </c>
      <c r="G351" s="48">
        <v>24.857660939999999</v>
      </c>
      <c r="H351" s="49">
        <v>1E+100</v>
      </c>
    </row>
    <row r="352" spans="2:8" x14ac:dyDescent="0.3">
      <c r="B352" s="47" t="s">
        <v>395</v>
      </c>
      <c r="C352" s="48"/>
      <c r="D352" s="48">
        <v>0</v>
      </c>
      <c r="E352" s="48">
        <v>-93.667299999999997</v>
      </c>
      <c r="F352" s="48">
        <v>31.713886174489744</v>
      </c>
      <c r="G352" s="48">
        <v>93.667299510000007</v>
      </c>
      <c r="H352" s="49">
        <v>1E+100</v>
      </c>
    </row>
    <row r="353" spans="2:8" x14ac:dyDescent="0.3">
      <c r="B353" s="47" t="s">
        <v>396</v>
      </c>
      <c r="C353" s="48"/>
      <c r="D353" s="48">
        <v>0</v>
      </c>
      <c r="E353" s="48">
        <v>-365.57655</v>
      </c>
      <c r="F353" s="48">
        <v>76.113326818565838</v>
      </c>
      <c r="G353" s="48">
        <v>365.57655240000003</v>
      </c>
      <c r="H353" s="49">
        <v>1E+100</v>
      </c>
    </row>
    <row r="354" spans="2:8" x14ac:dyDescent="0.3">
      <c r="B354" s="47" t="s">
        <v>397</v>
      </c>
      <c r="C354" s="48"/>
      <c r="D354" s="48">
        <v>0</v>
      </c>
      <c r="E354" s="48">
        <v>-1100.0681999999999</v>
      </c>
      <c r="F354" s="48">
        <v>126.85554469760973</v>
      </c>
      <c r="G354" s="48">
        <v>1100.0681950000001</v>
      </c>
      <c r="H354" s="49">
        <v>1E+100</v>
      </c>
    </row>
    <row r="355" spans="2:8" x14ac:dyDescent="0.3">
      <c r="B355" s="47" t="s">
        <v>398</v>
      </c>
      <c r="C355" s="48"/>
      <c r="D355" s="48">
        <v>0</v>
      </c>
      <c r="E355" s="48">
        <v>-365.57655</v>
      </c>
      <c r="F355" s="48">
        <v>76.113326818565838</v>
      </c>
      <c r="G355" s="48">
        <v>365.57655240000003</v>
      </c>
      <c r="H355" s="49">
        <v>1E+100</v>
      </c>
    </row>
    <row r="356" spans="2:8" x14ac:dyDescent="0.3">
      <c r="B356" s="47" t="s">
        <v>399</v>
      </c>
      <c r="C356" s="48"/>
      <c r="D356" s="48">
        <v>0</v>
      </c>
      <c r="E356" s="48">
        <v>-93.667299999999997</v>
      </c>
      <c r="F356" s="48">
        <v>31.713886174489744</v>
      </c>
      <c r="G356" s="48">
        <v>93.667299510000007</v>
      </c>
      <c r="H356" s="49">
        <v>1E+100</v>
      </c>
    </row>
    <row r="357" spans="2:8" x14ac:dyDescent="0.3">
      <c r="B357" s="47" t="s">
        <v>400</v>
      </c>
      <c r="C357" s="48"/>
      <c r="D357" s="48">
        <v>0</v>
      </c>
      <c r="E357" s="48">
        <v>-15.649773</v>
      </c>
      <c r="F357" s="48">
        <v>186.64177568163723</v>
      </c>
      <c r="G357" s="48">
        <v>15.649773079999999</v>
      </c>
      <c r="H357" s="49">
        <v>1E+100</v>
      </c>
    </row>
    <row r="358" spans="2:8" x14ac:dyDescent="0.3">
      <c r="B358" s="47" t="s">
        <v>401</v>
      </c>
      <c r="C358" s="48"/>
      <c r="D358" s="48">
        <v>0</v>
      </c>
      <c r="E358" s="48">
        <v>-15.649773</v>
      </c>
      <c r="F358" s="48">
        <v>447.94026163592935</v>
      </c>
      <c r="G358" s="48">
        <v>15.649773079999999</v>
      </c>
      <c r="H358" s="49">
        <v>1E+100</v>
      </c>
    </row>
    <row r="359" spans="2:8" x14ac:dyDescent="0.3">
      <c r="B359" s="47" t="s">
        <v>402</v>
      </c>
      <c r="C359" s="48"/>
      <c r="D359" s="48">
        <v>0</v>
      </c>
      <c r="E359" s="48">
        <v>-365.69438000000002</v>
      </c>
      <c r="F359" s="48">
        <v>746.56710272654891</v>
      </c>
      <c r="G359" s="48">
        <v>365.6943819</v>
      </c>
      <c r="H359" s="49">
        <v>1E+100</v>
      </c>
    </row>
    <row r="360" spans="2:8" x14ac:dyDescent="0.3">
      <c r="B360" s="47" t="s">
        <v>403</v>
      </c>
      <c r="C360" s="48"/>
      <c r="D360" s="48">
        <v>0</v>
      </c>
      <c r="E360" s="48">
        <v>-15.649773</v>
      </c>
      <c r="F360" s="48">
        <v>447.94026163592935</v>
      </c>
      <c r="G360" s="48">
        <v>15.649773079999999</v>
      </c>
      <c r="H360" s="49">
        <v>1E+100</v>
      </c>
    </row>
    <row r="361" spans="2:8" x14ac:dyDescent="0.3">
      <c r="B361" s="47" t="s">
        <v>404</v>
      </c>
      <c r="C361" s="48"/>
      <c r="D361" s="48">
        <v>0</v>
      </c>
      <c r="E361" s="48">
        <v>-15.649773</v>
      </c>
      <c r="F361" s="48">
        <v>186.64177568163723</v>
      </c>
      <c r="G361" s="48">
        <v>15.649773079999999</v>
      </c>
      <c r="H361" s="49">
        <v>1E+100</v>
      </c>
    </row>
    <row r="362" spans="2:8" x14ac:dyDescent="0.3">
      <c r="B362" s="47" t="s">
        <v>405</v>
      </c>
      <c r="C362" s="48"/>
      <c r="D362" s="48">
        <v>0</v>
      </c>
      <c r="E362" s="48">
        <v>0</v>
      </c>
      <c r="F362" s="48">
        <v>83.144569019088522</v>
      </c>
      <c r="G362" s="48">
        <v>0</v>
      </c>
      <c r="H362" s="49">
        <v>1E+100</v>
      </c>
    </row>
    <row r="363" spans="2:8" x14ac:dyDescent="0.3">
      <c r="B363" s="47" t="s">
        <v>406</v>
      </c>
      <c r="C363" s="48"/>
      <c r="D363" s="48">
        <v>0</v>
      </c>
      <c r="E363" s="48">
        <v>-93.352757999999994</v>
      </c>
      <c r="F363" s="48">
        <v>199.5469656457426</v>
      </c>
      <c r="G363" s="48">
        <v>93.352758069999993</v>
      </c>
      <c r="H363" s="49">
        <v>1E+100</v>
      </c>
    </row>
    <row r="364" spans="2:8" x14ac:dyDescent="0.3">
      <c r="B364" s="47" t="s">
        <v>407</v>
      </c>
      <c r="C364" s="48"/>
      <c r="D364" s="48">
        <v>0</v>
      </c>
      <c r="E364" s="48">
        <v>-481.03698000000003</v>
      </c>
      <c r="F364" s="48">
        <v>332.57827607623767</v>
      </c>
      <c r="G364" s="48">
        <v>481.0369804</v>
      </c>
      <c r="H364" s="49">
        <v>1E+100</v>
      </c>
    </row>
    <row r="365" spans="2:8" x14ac:dyDescent="0.3">
      <c r="B365" s="47" t="s">
        <v>408</v>
      </c>
      <c r="C365" s="48"/>
      <c r="D365" s="48">
        <v>0</v>
      </c>
      <c r="E365" s="48">
        <v>-93.352757999999994</v>
      </c>
      <c r="F365" s="48">
        <v>199.5469656457426</v>
      </c>
      <c r="G365" s="48">
        <v>93.352758069999993</v>
      </c>
      <c r="H365" s="49">
        <v>1E+100</v>
      </c>
    </row>
    <row r="366" spans="2:8" x14ac:dyDescent="0.3">
      <c r="B366" s="47" t="s">
        <v>409</v>
      </c>
      <c r="C366" s="48"/>
      <c r="D366" s="48">
        <v>0</v>
      </c>
      <c r="E366" s="48">
        <v>0</v>
      </c>
      <c r="F366" s="48">
        <v>83.144569019088522</v>
      </c>
      <c r="G366" s="48">
        <v>0</v>
      </c>
      <c r="H366" s="49">
        <v>1E+100</v>
      </c>
    </row>
    <row r="367" spans="2:8" x14ac:dyDescent="0.3">
      <c r="B367" s="47" t="s">
        <v>410</v>
      </c>
      <c r="C367" s="48"/>
      <c r="D367" s="48">
        <v>0</v>
      </c>
      <c r="E367" s="48">
        <v>-2.9157695000000001</v>
      </c>
      <c r="F367" s="48">
        <v>96.994845223845914</v>
      </c>
      <c r="G367" s="48">
        <v>2.915769488</v>
      </c>
      <c r="H367" s="49">
        <v>1E+100</v>
      </c>
    </row>
    <row r="368" spans="2:8" x14ac:dyDescent="0.3">
      <c r="B368" s="47" t="s">
        <v>411</v>
      </c>
      <c r="C368" s="48"/>
      <c r="D368" s="48">
        <v>0</v>
      </c>
      <c r="E368" s="48">
        <v>-64.270430000000005</v>
      </c>
      <c r="F368" s="48">
        <v>232.78762853727676</v>
      </c>
      <c r="G368" s="48">
        <v>64.270429570000005</v>
      </c>
      <c r="H368" s="49">
        <v>1E+100</v>
      </c>
    </row>
    <row r="369" spans="2:8" x14ac:dyDescent="0.3">
      <c r="B369" s="47" t="s">
        <v>412</v>
      </c>
      <c r="C369" s="48"/>
      <c r="D369" s="48">
        <v>0</v>
      </c>
      <c r="E369" s="48">
        <v>-398.49567000000002</v>
      </c>
      <c r="F369" s="48">
        <v>387.97938089538366</v>
      </c>
      <c r="G369" s="48">
        <v>398.49566520000002</v>
      </c>
      <c r="H369" s="49">
        <v>1E+100</v>
      </c>
    </row>
    <row r="370" spans="2:8" x14ac:dyDescent="0.3">
      <c r="B370" s="47" t="s">
        <v>413</v>
      </c>
      <c r="C370" s="48"/>
      <c r="D370" s="48">
        <v>0</v>
      </c>
      <c r="E370" s="48">
        <v>-64.270430000000005</v>
      </c>
      <c r="F370" s="48">
        <v>232.78762853727676</v>
      </c>
      <c r="G370" s="48">
        <v>64.270429570000005</v>
      </c>
      <c r="H370" s="49">
        <v>1E+100</v>
      </c>
    </row>
    <row r="371" spans="2:8" x14ac:dyDescent="0.3">
      <c r="B371" s="47" t="s">
        <v>414</v>
      </c>
      <c r="C371" s="48"/>
      <c r="D371" s="48">
        <v>0</v>
      </c>
      <c r="E371" s="48">
        <v>-2.9157695000000001</v>
      </c>
      <c r="F371" s="48">
        <v>96.994845223845914</v>
      </c>
      <c r="G371" s="48">
        <v>2.915769488</v>
      </c>
      <c r="H371" s="49">
        <v>1E+100</v>
      </c>
    </row>
    <row r="372" spans="2:8" x14ac:dyDescent="0.3">
      <c r="B372" s="47" t="s">
        <v>415</v>
      </c>
      <c r="C372" s="48"/>
      <c r="D372" s="48">
        <v>0</v>
      </c>
      <c r="E372" s="48">
        <v>-1.1306212</v>
      </c>
      <c r="F372" s="48">
        <v>99.441905274637975</v>
      </c>
      <c r="G372" s="48">
        <v>1.1306211829999999</v>
      </c>
      <c r="H372" s="49">
        <v>1E+100</v>
      </c>
    </row>
    <row r="373" spans="2:8" x14ac:dyDescent="0.3">
      <c r="B373" s="47" t="s">
        <v>416</v>
      </c>
      <c r="C373" s="48"/>
      <c r="D373" s="48">
        <v>0</v>
      </c>
      <c r="E373" s="48">
        <v>-101.75967</v>
      </c>
      <c r="F373" s="48">
        <v>238.66057265899144</v>
      </c>
      <c r="G373" s="48">
        <v>101.75966529999999</v>
      </c>
      <c r="H373" s="49">
        <v>1E+100</v>
      </c>
    </row>
    <row r="374" spans="2:8" x14ac:dyDescent="0.3">
      <c r="B374" s="47" t="s">
        <v>417</v>
      </c>
      <c r="C374" s="48"/>
      <c r="D374" s="48">
        <v>0</v>
      </c>
      <c r="E374" s="48">
        <v>-538.07268999999997</v>
      </c>
      <c r="F374" s="48">
        <v>397.76762109831907</v>
      </c>
      <c r="G374" s="48">
        <v>538.07268669999996</v>
      </c>
      <c r="H374" s="49">
        <v>1E+100</v>
      </c>
    </row>
    <row r="375" spans="2:8" x14ac:dyDescent="0.3">
      <c r="B375" s="47" t="s">
        <v>418</v>
      </c>
      <c r="C375" s="48"/>
      <c r="D375" s="48">
        <v>0</v>
      </c>
      <c r="E375" s="48">
        <v>-101.75967</v>
      </c>
      <c r="F375" s="48">
        <v>238.66057265899144</v>
      </c>
      <c r="G375" s="48">
        <v>101.75966529999999</v>
      </c>
      <c r="H375" s="49">
        <v>1E+100</v>
      </c>
    </row>
    <row r="376" spans="2:8" x14ac:dyDescent="0.3">
      <c r="B376" s="47" t="s">
        <v>419</v>
      </c>
      <c r="C376" s="48"/>
      <c r="D376" s="48">
        <v>0</v>
      </c>
      <c r="E376" s="48">
        <v>-1.1306212</v>
      </c>
      <c r="F376" s="48">
        <v>99.441905274637975</v>
      </c>
      <c r="G376" s="48">
        <v>1.1306211829999999</v>
      </c>
      <c r="H376" s="49">
        <v>1E+100</v>
      </c>
    </row>
    <row r="377" spans="2:8" x14ac:dyDescent="0.3">
      <c r="B377" s="47" t="s">
        <v>420</v>
      </c>
      <c r="C377" s="48"/>
      <c r="D377" s="48">
        <v>0</v>
      </c>
      <c r="E377" s="48">
        <v>-461.50099</v>
      </c>
      <c r="F377" s="48">
        <v>423.70195311156567</v>
      </c>
      <c r="G377" s="48">
        <v>461.50098809999997</v>
      </c>
      <c r="H377" s="49">
        <v>1E+100</v>
      </c>
    </row>
    <row r="378" spans="2:8" x14ac:dyDescent="0.3">
      <c r="B378" s="47" t="s">
        <v>421</v>
      </c>
      <c r="C378" s="48"/>
      <c r="D378" s="48">
        <v>0</v>
      </c>
      <c r="E378" s="48">
        <v>-174.26064</v>
      </c>
      <c r="F378" s="48">
        <v>1016.8846874678275</v>
      </c>
      <c r="G378" s="48">
        <v>174.26064120000001</v>
      </c>
      <c r="H378" s="49">
        <v>1E+100</v>
      </c>
    </row>
    <row r="379" spans="2:8" x14ac:dyDescent="0.3">
      <c r="B379" s="47" t="s">
        <v>422</v>
      </c>
      <c r="C379" s="48"/>
      <c r="D379" s="48">
        <v>0</v>
      </c>
      <c r="E379" s="48">
        <v>-255.83709999999999</v>
      </c>
      <c r="F379" s="48">
        <v>1694.8078124462627</v>
      </c>
      <c r="G379" s="48">
        <v>255.8371027</v>
      </c>
      <c r="H379" s="49">
        <v>1E+100</v>
      </c>
    </row>
    <row r="380" spans="2:8" x14ac:dyDescent="0.3">
      <c r="B380" s="47" t="s">
        <v>423</v>
      </c>
      <c r="C380" s="48"/>
      <c r="D380" s="48">
        <v>0</v>
      </c>
      <c r="E380" s="48">
        <v>-174.26064</v>
      </c>
      <c r="F380" s="48">
        <v>1016.8846874678275</v>
      </c>
      <c r="G380" s="48">
        <v>174.26064120000001</v>
      </c>
      <c r="H380" s="49">
        <v>1E+100</v>
      </c>
    </row>
    <row r="381" spans="2:8" x14ac:dyDescent="0.3">
      <c r="B381" s="47" t="s">
        <v>424</v>
      </c>
      <c r="C381" s="48"/>
      <c r="D381" s="48">
        <v>0</v>
      </c>
      <c r="E381" s="48">
        <v>-461.50099</v>
      </c>
      <c r="F381" s="48">
        <v>423.70195311156567</v>
      </c>
      <c r="G381" s="48">
        <v>461.50098809999997</v>
      </c>
      <c r="H381" s="49">
        <v>1E+100</v>
      </c>
    </row>
    <row r="382" spans="2:8" x14ac:dyDescent="0.3">
      <c r="B382" s="47" t="s">
        <v>425</v>
      </c>
      <c r="C382" s="48"/>
      <c r="D382" s="48">
        <v>1</v>
      </c>
      <c r="E382" s="48">
        <v>0</v>
      </c>
      <c r="F382" s="48">
        <v>94.868329804972745</v>
      </c>
      <c r="G382" s="48">
        <v>1E+100</v>
      </c>
      <c r="H382" s="49">
        <v>0</v>
      </c>
    </row>
    <row r="383" spans="2:8" x14ac:dyDescent="0.3">
      <c r="B383" s="47" t="s">
        <v>426</v>
      </c>
      <c r="C383" s="48"/>
      <c r="D383" s="48">
        <v>0</v>
      </c>
      <c r="E383" s="48">
        <v>-9.4632501999999992</v>
      </c>
      <c r="F383" s="48">
        <v>227.68399153207429</v>
      </c>
      <c r="G383" s="48">
        <v>9.463250167</v>
      </c>
      <c r="H383" s="49">
        <v>1E+100</v>
      </c>
    </row>
    <row r="384" spans="2:8" x14ac:dyDescent="0.3">
      <c r="B384" s="47" t="s">
        <v>427</v>
      </c>
      <c r="C384" s="48"/>
      <c r="D384" s="48">
        <v>0</v>
      </c>
      <c r="E384" s="48">
        <v>-210.88021000000001</v>
      </c>
      <c r="F384" s="48">
        <v>379.47331922012381</v>
      </c>
      <c r="G384" s="48">
        <v>210.88020969999999</v>
      </c>
      <c r="H384" s="49">
        <v>1E+100</v>
      </c>
    </row>
    <row r="385" spans="2:8" x14ac:dyDescent="0.3">
      <c r="B385" s="47" t="s">
        <v>428</v>
      </c>
      <c r="C385" s="48"/>
      <c r="D385" s="48">
        <v>0</v>
      </c>
      <c r="E385" s="48">
        <v>-9.4632501999999992</v>
      </c>
      <c r="F385" s="48">
        <v>227.68399153207429</v>
      </c>
      <c r="G385" s="48">
        <v>9.463250167</v>
      </c>
      <c r="H385" s="49">
        <v>1E+100</v>
      </c>
    </row>
    <row r="386" spans="2:8" x14ac:dyDescent="0.3">
      <c r="B386" s="47" t="s">
        <v>429</v>
      </c>
      <c r="C386" s="48"/>
      <c r="D386" s="48">
        <v>0</v>
      </c>
      <c r="E386" s="48">
        <v>0</v>
      </c>
      <c r="F386" s="48">
        <v>94.868329804972745</v>
      </c>
      <c r="G386" s="48">
        <v>0</v>
      </c>
      <c r="H386" s="49">
        <v>1E+100</v>
      </c>
    </row>
    <row r="387" spans="2:8" x14ac:dyDescent="0.3">
      <c r="B387" s="47" t="s">
        <v>430</v>
      </c>
      <c r="C387" s="48"/>
      <c r="D387" s="48">
        <v>1</v>
      </c>
      <c r="E387" s="48">
        <v>0</v>
      </c>
      <c r="F387" s="48">
        <v>40.953450221568346</v>
      </c>
      <c r="G387" s="48">
        <v>1E+100</v>
      </c>
      <c r="H387" s="49">
        <v>0</v>
      </c>
    </row>
    <row r="388" spans="2:8" x14ac:dyDescent="0.3">
      <c r="B388" s="47" t="s">
        <v>431</v>
      </c>
      <c r="C388" s="48"/>
      <c r="D388" s="48">
        <v>0</v>
      </c>
      <c r="E388" s="48">
        <v>-27.147337</v>
      </c>
      <c r="F388" s="48">
        <v>98.28828053176403</v>
      </c>
      <c r="G388" s="48">
        <v>27.147337090000001</v>
      </c>
      <c r="H388" s="49">
        <v>1E+100</v>
      </c>
    </row>
    <row r="389" spans="2:8" x14ac:dyDescent="0.3">
      <c r="B389" s="47" t="s">
        <v>432</v>
      </c>
      <c r="C389" s="48"/>
      <c r="D389" s="48">
        <v>0</v>
      </c>
      <c r="E389" s="48">
        <v>-171.34814</v>
      </c>
      <c r="F389" s="48">
        <v>163.81380088627338</v>
      </c>
      <c r="G389" s="48">
        <v>171.34813729999999</v>
      </c>
      <c r="H389" s="49">
        <v>1E+100</v>
      </c>
    </row>
    <row r="390" spans="2:8" x14ac:dyDescent="0.3">
      <c r="B390" s="47" t="s">
        <v>433</v>
      </c>
      <c r="C390" s="48"/>
      <c r="D390" s="48">
        <v>0</v>
      </c>
      <c r="E390" s="48">
        <v>-27.147337</v>
      </c>
      <c r="F390" s="48">
        <v>98.28828053176403</v>
      </c>
      <c r="G390" s="48">
        <v>27.147337090000001</v>
      </c>
      <c r="H390" s="49">
        <v>1E+100</v>
      </c>
    </row>
    <row r="391" spans="2:8" x14ac:dyDescent="0.3">
      <c r="B391" s="47" t="s">
        <v>434</v>
      </c>
      <c r="C391" s="48"/>
      <c r="D391" s="48">
        <v>0</v>
      </c>
      <c r="E391" s="48">
        <v>0</v>
      </c>
      <c r="F391" s="48">
        <v>40.953450221568346</v>
      </c>
      <c r="G391" s="48">
        <v>0</v>
      </c>
      <c r="H391" s="49">
        <v>0.4174245164</v>
      </c>
    </row>
    <row r="392" spans="2:8" x14ac:dyDescent="0.3">
      <c r="B392" s="47" t="s">
        <v>435</v>
      </c>
      <c r="C392" s="48"/>
      <c r="D392" s="48">
        <v>0</v>
      </c>
      <c r="E392" s="48">
        <v>-49.257528000000001</v>
      </c>
      <c r="F392" s="48">
        <v>73.693681566859595</v>
      </c>
      <c r="G392" s="48">
        <v>49.257528239999999</v>
      </c>
      <c r="H392" s="49">
        <v>1E+100</v>
      </c>
    </row>
    <row r="393" spans="2:8" x14ac:dyDescent="0.3">
      <c r="B393" s="47" t="s">
        <v>436</v>
      </c>
      <c r="C393" s="48"/>
      <c r="D393" s="48">
        <v>1</v>
      </c>
      <c r="E393" s="48">
        <v>0</v>
      </c>
      <c r="F393" s="48">
        <v>176.86483576067258</v>
      </c>
      <c r="G393" s="48">
        <v>1E+100</v>
      </c>
      <c r="H393" s="49">
        <v>0</v>
      </c>
    </row>
    <row r="394" spans="2:8" x14ac:dyDescent="0.3">
      <c r="B394" s="47" t="s">
        <v>437</v>
      </c>
      <c r="C394" s="48"/>
      <c r="D394" s="48">
        <v>0</v>
      </c>
      <c r="E394" s="48">
        <v>-15.930265</v>
      </c>
      <c r="F394" s="48">
        <v>294.77472626778763</v>
      </c>
      <c r="G394" s="48">
        <v>15.930264709999999</v>
      </c>
      <c r="H394" s="49">
        <v>1E+100</v>
      </c>
    </row>
    <row r="395" spans="2:8" x14ac:dyDescent="0.3">
      <c r="B395" s="47" t="s">
        <v>438</v>
      </c>
      <c r="C395" s="48"/>
      <c r="D395" s="48">
        <v>0</v>
      </c>
      <c r="E395" s="48">
        <v>0</v>
      </c>
      <c r="F395" s="48">
        <v>176.86483576067258</v>
      </c>
      <c r="G395" s="48">
        <v>0</v>
      </c>
      <c r="H395" s="49">
        <v>8.3992051829999994</v>
      </c>
    </row>
    <row r="396" spans="2:8" x14ac:dyDescent="0.3">
      <c r="B396" s="47" t="s">
        <v>439</v>
      </c>
      <c r="C396" s="48"/>
      <c r="D396" s="48">
        <v>0</v>
      </c>
      <c r="E396" s="48">
        <v>-49.257528000000001</v>
      </c>
      <c r="F396" s="48">
        <v>73.693681566859595</v>
      </c>
      <c r="G396" s="48">
        <v>49.257528239999999</v>
      </c>
      <c r="H396" s="49">
        <v>1E+100</v>
      </c>
    </row>
    <row r="397" spans="2:8" x14ac:dyDescent="0.3">
      <c r="B397" s="47" t="s">
        <v>440</v>
      </c>
      <c r="C397" s="48"/>
      <c r="D397" s="48">
        <v>0</v>
      </c>
      <c r="E397" s="48">
        <v>-5.5994562999999999</v>
      </c>
      <c r="F397" s="48">
        <v>20.446590792853385</v>
      </c>
      <c r="G397" s="48">
        <v>5.5994563279999996</v>
      </c>
      <c r="H397" s="49">
        <v>1E+100</v>
      </c>
    </row>
    <row r="398" spans="2:8" x14ac:dyDescent="0.3">
      <c r="B398" s="47" t="s">
        <v>441</v>
      </c>
      <c r="C398" s="48"/>
      <c r="D398" s="48">
        <v>0</v>
      </c>
      <c r="E398" s="48">
        <v>-42.682581999999996</v>
      </c>
      <c r="F398" s="48">
        <v>49.07181790296454</v>
      </c>
      <c r="G398" s="48">
        <v>42.682581640000002</v>
      </c>
      <c r="H398" s="49">
        <v>1E+100</v>
      </c>
    </row>
    <row r="399" spans="2:8" x14ac:dyDescent="0.3">
      <c r="B399" s="47" t="s">
        <v>442</v>
      </c>
      <c r="C399" s="48"/>
      <c r="D399" s="48">
        <v>0</v>
      </c>
      <c r="E399" s="48">
        <v>-173.08851000000001</v>
      </c>
      <c r="F399" s="48">
        <v>81.786363171646371</v>
      </c>
      <c r="G399" s="48">
        <v>173.0885079</v>
      </c>
      <c r="H399" s="49">
        <v>1E+100</v>
      </c>
    </row>
    <row r="400" spans="2:8" x14ac:dyDescent="0.3">
      <c r="B400" s="47" t="s">
        <v>443</v>
      </c>
      <c r="C400" s="48"/>
      <c r="D400" s="48">
        <v>0</v>
      </c>
      <c r="E400" s="48">
        <v>-42.682581999999996</v>
      </c>
      <c r="F400" s="48">
        <v>49.07181790296454</v>
      </c>
      <c r="G400" s="48">
        <v>42.682581640000002</v>
      </c>
      <c r="H400" s="49">
        <v>1E+100</v>
      </c>
    </row>
    <row r="401" spans="2:8" x14ac:dyDescent="0.3">
      <c r="B401" s="47" t="s">
        <v>444</v>
      </c>
      <c r="C401" s="48"/>
      <c r="D401" s="48">
        <v>0</v>
      </c>
      <c r="E401" s="48">
        <v>-5.5994562999999999</v>
      </c>
      <c r="F401" s="48">
        <v>20.446590792853385</v>
      </c>
      <c r="G401" s="48">
        <v>5.5994563279999996</v>
      </c>
      <c r="H401" s="49">
        <v>1E+100</v>
      </c>
    </row>
    <row r="402" spans="2:8" x14ac:dyDescent="0.3">
      <c r="B402" s="47" t="s">
        <v>445</v>
      </c>
      <c r="C402" s="48"/>
      <c r="D402" s="48">
        <v>0</v>
      </c>
      <c r="E402" s="48">
        <v>-261.33742000000001</v>
      </c>
      <c r="F402" s="48">
        <v>345.91942379192915</v>
      </c>
      <c r="G402" s="48">
        <v>261.33741689999999</v>
      </c>
      <c r="H402" s="49">
        <v>1E+100</v>
      </c>
    </row>
    <row r="403" spans="2:8" x14ac:dyDescent="0.3">
      <c r="B403" s="47" t="s">
        <v>446</v>
      </c>
      <c r="C403" s="48"/>
      <c r="D403" s="48">
        <v>9.1710274999999994E-2</v>
      </c>
      <c r="E403" s="48">
        <v>0</v>
      </c>
      <c r="F403" s="48">
        <v>830.20661710062996</v>
      </c>
      <c r="G403" s="48">
        <v>44.667075539999999</v>
      </c>
      <c r="H403" s="49">
        <v>0</v>
      </c>
    </row>
    <row r="404" spans="2:8" x14ac:dyDescent="0.3">
      <c r="B404" s="47" t="s">
        <v>447</v>
      </c>
      <c r="C404" s="48"/>
      <c r="D404" s="48">
        <v>0.90828971999999997</v>
      </c>
      <c r="E404" s="48">
        <v>0</v>
      </c>
      <c r="F404" s="48">
        <v>1383.6776951677166</v>
      </c>
      <c r="G404" s="48">
        <v>68.540854600000003</v>
      </c>
      <c r="H404" s="49">
        <v>44.667075539999999</v>
      </c>
    </row>
    <row r="405" spans="2:8" x14ac:dyDescent="0.3">
      <c r="B405" s="47" t="s">
        <v>448</v>
      </c>
      <c r="C405" s="48"/>
      <c r="D405" s="48">
        <v>0</v>
      </c>
      <c r="E405" s="48">
        <v>0</v>
      </c>
      <c r="F405" s="48">
        <v>830.20661710062996</v>
      </c>
      <c r="G405" s="48">
        <v>0</v>
      </c>
      <c r="H405" s="49">
        <v>1E+100</v>
      </c>
    </row>
    <row r="406" spans="2:8" x14ac:dyDescent="0.3">
      <c r="B406" s="47" t="s">
        <v>449</v>
      </c>
      <c r="C406" s="48"/>
      <c r="D406" s="48">
        <v>0</v>
      </c>
      <c r="E406" s="48">
        <v>-261.33742000000001</v>
      </c>
      <c r="F406" s="48">
        <v>345.91942379192915</v>
      </c>
      <c r="G406" s="48">
        <v>261.33741689999999</v>
      </c>
      <c r="H406" s="49">
        <v>1E+100</v>
      </c>
    </row>
    <row r="407" spans="2:8" x14ac:dyDescent="0.3">
      <c r="B407" s="47" t="s">
        <v>450</v>
      </c>
      <c r="C407" s="48"/>
      <c r="D407" s="48">
        <v>0</v>
      </c>
      <c r="E407" s="48">
        <v>-4.5018215000000001</v>
      </c>
      <c r="F407" s="48">
        <v>24.956434411462396</v>
      </c>
      <c r="G407" s="48">
        <v>4.5018214920000004</v>
      </c>
      <c r="H407" s="49">
        <v>1E+100</v>
      </c>
    </row>
    <row r="408" spans="2:8" x14ac:dyDescent="0.3">
      <c r="B408" s="47" t="s">
        <v>451</v>
      </c>
      <c r="C408" s="48"/>
      <c r="D408" s="48">
        <v>0</v>
      </c>
      <c r="E408" s="48">
        <v>-43.879404999999998</v>
      </c>
      <c r="F408" s="48">
        <v>59.895442587556317</v>
      </c>
      <c r="G408" s="48">
        <v>43.87940545</v>
      </c>
      <c r="H408" s="49">
        <v>1E+100</v>
      </c>
    </row>
    <row r="409" spans="2:8" x14ac:dyDescent="0.3">
      <c r="B409" s="47" t="s">
        <v>452</v>
      </c>
      <c r="C409" s="48"/>
      <c r="D409" s="48">
        <v>0</v>
      </c>
      <c r="E409" s="48">
        <v>-188.43947</v>
      </c>
      <c r="F409" s="48">
        <v>99.825737646082416</v>
      </c>
      <c r="G409" s="48">
        <v>188.43946969999999</v>
      </c>
      <c r="H409" s="49">
        <v>1E+100</v>
      </c>
    </row>
    <row r="410" spans="2:8" x14ac:dyDescent="0.3">
      <c r="B410" s="47" t="s">
        <v>453</v>
      </c>
      <c r="C410" s="48"/>
      <c r="D410" s="48">
        <v>0</v>
      </c>
      <c r="E410" s="48">
        <v>-43.879404999999998</v>
      </c>
      <c r="F410" s="48">
        <v>59.895442587556317</v>
      </c>
      <c r="G410" s="48">
        <v>43.87940545</v>
      </c>
      <c r="H410" s="49">
        <v>1E+100</v>
      </c>
    </row>
    <row r="411" spans="2:8" x14ac:dyDescent="0.3">
      <c r="B411" s="47" t="s">
        <v>454</v>
      </c>
      <c r="C411" s="48"/>
      <c r="D411" s="48">
        <v>0</v>
      </c>
      <c r="E411" s="48">
        <v>-4.5018215000000001</v>
      </c>
      <c r="F411" s="48">
        <v>24.956434411462396</v>
      </c>
      <c r="G411" s="48">
        <v>4.5018214920000004</v>
      </c>
      <c r="H411" s="49">
        <v>1E+100</v>
      </c>
    </row>
    <row r="412" spans="2:8" x14ac:dyDescent="0.3">
      <c r="B412" s="47" t="s">
        <v>455</v>
      </c>
      <c r="C412" s="48"/>
      <c r="D412" s="48">
        <v>0</v>
      </c>
      <c r="E412" s="48">
        <v>-29.757974999999998</v>
      </c>
      <c r="F412" s="48">
        <v>21</v>
      </c>
      <c r="G412" s="48">
        <v>29.75797515</v>
      </c>
      <c r="H412" s="49">
        <v>1E+100</v>
      </c>
    </row>
    <row r="413" spans="2:8" x14ac:dyDescent="0.3">
      <c r="B413" s="47" t="s">
        <v>456</v>
      </c>
      <c r="C413" s="48"/>
      <c r="D413" s="48">
        <v>0</v>
      </c>
      <c r="E413" s="48">
        <v>-128.40899999999999</v>
      </c>
      <c r="F413" s="48">
        <v>50.399999999906868</v>
      </c>
      <c r="G413" s="48">
        <v>128.40899590000001</v>
      </c>
      <c r="H413" s="49">
        <v>1E+100</v>
      </c>
    </row>
    <row r="414" spans="2:8" x14ac:dyDescent="0.3">
      <c r="B414" s="47" t="s">
        <v>457</v>
      </c>
      <c r="C414" s="48"/>
      <c r="D414" s="48">
        <v>0</v>
      </c>
      <c r="E414" s="48">
        <v>-412.69465000000002</v>
      </c>
      <c r="F414" s="48">
        <v>84</v>
      </c>
      <c r="G414" s="48">
        <v>412.69465430000002</v>
      </c>
      <c r="H414" s="49">
        <v>1E+100</v>
      </c>
    </row>
    <row r="415" spans="2:8" x14ac:dyDescent="0.3">
      <c r="B415" s="47" t="s">
        <v>458</v>
      </c>
      <c r="C415" s="48"/>
      <c r="D415" s="48">
        <v>0</v>
      </c>
      <c r="E415" s="48">
        <v>-128.40899999999999</v>
      </c>
      <c r="F415" s="48">
        <v>50.399999999906868</v>
      </c>
      <c r="G415" s="48">
        <v>128.40899590000001</v>
      </c>
      <c r="H415" s="49">
        <v>1E+100</v>
      </c>
    </row>
    <row r="416" spans="2:8" x14ac:dyDescent="0.3">
      <c r="B416" s="47" t="s">
        <v>459</v>
      </c>
      <c r="C416" s="48"/>
      <c r="D416" s="48">
        <v>0</v>
      </c>
      <c r="E416" s="48">
        <v>-29.757974999999998</v>
      </c>
      <c r="F416" s="48">
        <v>21</v>
      </c>
      <c r="G416" s="48">
        <v>29.75797515</v>
      </c>
      <c r="H416" s="49">
        <v>1E+100</v>
      </c>
    </row>
    <row r="417" spans="2:8" x14ac:dyDescent="0.3">
      <c r="B417" s="47" t="s">
        <v>460</v>
      </c>
      <c r="C417" s="48"/>
      <c r="D417" s="48">
        <v>0</v>
      </c>
      <c r="E417" s="48">
        <v>0</v>
      </c>
      <c r="F417" s="48">
        <v>22.10810447006952</v>
      </c>
      <c r="G417" s="48">
        <v>0</v>
      </c>
      <c r="H417" s="49">
        <v>6.0968275510000003E-2</v>
      </c>
    </row>
    <row r="418" spans="2:8" x14ac:dyDescent="0.3">
      <c r="B418" s="47" t="s">
        <v>461</v>
      </c>
      <c r="C418" s="48"/>
      <c r="D418" s="48">
        <v>0</v>
      </c>
      <c r="E418" s="48">
        <v>-22.96228</v>
      </c>
      <c r="F418" s="48">
        <v>53.059450728120282</v>
      </c>
      <c r="G418" s="48">
        <v>22.9622797</v>
      </c>
      <c r="H418" s="49">
        <v>1E+100</v>
      </c>
    </row>
    <row r="419" spans="2:8" x14ac:dyDescent="0.3">
      <c r="B419" s="47" t="s">
        <v>462</v>
      </c>
      <c r="C419" s="48"/>
      <c r="D419" s="48">
        <v>0</v>
      </c>
      <c r="E419" s="48">
        <v>-121.42946999999999</v>
      </c>
      <c r="F419" s="48">
        <v>88.432417880278081</v>
      </c>
      <c r="G419" s="48">
        <v>121.4294678</v>
      </c>
      <c r="H419" s="49">
        <v>1E+100</v>
      </c>
    </row>
    <row r="420" spans="2:8" x14ac:dyDescent="0.3">
      <c r="B420" s="47" t="s">
        <v>463</v>
      </c>
      <c r="C420" s="48"/>
      <c r="D420" s="48">
        <v>0</v>
      </c>
      <c r="E420" s="48">
        <v>-22.96228</v>
      </c>
      <c r="F420" s="48">
        <v>53.059450728120282</v>
      </c>
      <c r="G420" s="48">
        <v>22.9622797</v>
      </c>
      <c r="H420" s="49">
        <v>1E+100</v>
      </c>
    </row>
    <row r="421" spans="2:8" x14ac:dyDescent="0.3">
      <c r="B421" s="47" t="s">
        <v>464</v>
      </c>
      <c r="C421" s="48"/>
      <c r="D421" s="48">
        <v>1</v>
      </c>
      <c r="E421" s="48">
        <v>0</v>
      </c>
      <c r="F421" s="48">
        <v>22.10810447006952</v>
      </c>
      <c r="G421" s="48">
        <v>1E+100</v>
      </c>
      <c r="H421" s="49">
        <v>0</v>
      </c>
    </row>
    <row r="422" spans="2:8" x14ac:dyDescent="0.3">
      <c r="B422" s="47" t="s">
        <v>465</v>
      </c>
      <c r="C422" s="48"/>
      <c r="D422" s="48">
        <v>0</v>
      </c>
      <c r="E422" s="48">
        <v>-21.277415999999999</v>
      </c>
      <c r="F422" s="48">
        <v>153.83319270808715</v>
      </c>
      <c r="G422" s="48">
        <v>21.277416349999999</v>
      </c>
      <c r="H422" s="49">
        <v>1E+100</v>
      </c>
    </row>
    <row r="423" spans="2:8" x14ac:dyDescent="0.3">
      <c r="B423" s="47" t="s">
        <v>466</v>
      </c>
      <c r="C423" s="48"/>
      <c r="D423" s="48">
        <v>0</v>
      </c>
      <c r="E423" s="48">
        <v>0</v>
      </c>
      <c r="F423" s="48">
        <v>369.19966249947902</v>
      </c>
      <c r="G423" s="48">
        <v>0</v>
      </c>
      <c r="H423" s="49">
        <v>1E+100</v>
      </c>
    </row>
    <row r="424" spans="2:8" x14ac:dyDescent="0.3">
      <c r="B424" s="47" t="s">
        <v>467</v>
      </c>
      <c r="C424" s="48"/>
      <c r="D424" s="48">
        <v>0</v>
      </c>
      <c r="E424" s="48">
        <v>-235.69145</v>
      </c>
      <c r="F424" s="48">
        <v>615.33277083246503</v>
      </c>
      <c r="G424" s="48">
        <v>235.69145040000001</v>
      </c>
      <c r="H424" s="49">
        <v>1E+100</v>
      </c>
    </row>
    <row r="425" spans="2:8" x14ac:dyDescent="0.3">
      <c r="B425" s="47" t="s">
        <v>468</v>
      </c>
      <c r="C425" s="48"/>
      <c r="D425" s="48">
        <v>1</v>
      </c>
      <c r="E425" s="48">
        <v>0</v>
      </c>
      <c r="F425" s="48">
        <v>369.19966249947902</v>
      </c>
      <c r="G425" s="48">
        <v>1E+100</v>
      </c>
      <c r="H425" s="49">
        <v>0</v>
      </c>
    </row>
    <row r="426" spans="2:8" x14ac:dyDescent="0.3">
      <c r="B426" s="47" t="s">
        <v>469</v>
      </c>
      <c r="C426" s="48"/>
      <c r="D426" s="48">
        <v>0</v>
      </c>
      <c r="E426" s="48">
        <v>-21.277415999999999</v>
      </c>
      <c r="F426" s="48">
        <v>153.83319270808715</v>
      </c>
      <c r="G426" s="48">
        <v>21.277416349999999</v>
      </c>
      <c r="H426" s="49">
        <v>1E+100</v>
      </c>
    </row>
    <row r="427" spans="2:8" x14ac:dyDescent="0.3">
      <c r="B427" s="47" t="s">
        <v>470</v>
      </c>
      <c r="C427" s="48"/>
      <c r="D427" s="48">
        <v>0</v>
      </c>
      <c r="E427" s="48">
        <v>-5.2629235999999997</v>
      </c>
      <c r="F427" s="48">
        <v>157.79816246533301</v>
      </c>
      <c r="G427" s="48">
        <v>5.2629236280000002</v>
      </c>
      <c r="H427" s="49">
        <v>1E+100</v>
      </c>
    </row>
    <row r="428" spans="2:8" x14ac:dyDescent="0.3">
      <c r="B428" s="47" t="s">
        <v>471</v>
      </c>
      <c r="C428" s="48"/>
      <c r="D428" s="48">
        <v>0</v>
      </c>
      <c r="E428" s="48">
        <v>0</v>
      </c>
      <c r="F428" s="48">
        <v>378.71558991679922</v>
      </c>
      <c r="G428" s="48">
        <v>0</v>
      </c>
      <c r="H428" s="49">
        <v>1E+100</v>
      </c>
    </row>
    <row r="429" spans="2:8" x14ac:dyDescent="0.3">
      <c r="B429" s="47" t="s">
        <v>472</v>
      </c>
      <c r="C429" s="48"/>
      <c r="D429" s="48">
        <v>0</v>
      </c>
      <c r="E429" s="48">
        <v>-282.88355999999999</v>
      </c>
      <c r="F429" s="48">
        <v>631.19264986133203</v>
      </c>
      <c r="G429" s="48">
        <v>282.88356090000002</v>
      </c>
      <c r="H429" s="49">
        <v>1E+100</v>
      </c>
    </row>
    <row r="430" spans="2:8" x14ac:dyDescent="0.3">
      <c r="B430" s="47" t="s">
        <v>473</v>
      </c>
      <c r="C430" s="48"/>
      <c r="D430" s="48">
        <v>1</v>
      </c>
      <c r="E430" s="48">
        <v>0</v>
      </c>
      <c r="F430" s="48">
        <v>378.71558991679922</v>
      </c>
      <c r="G430" s="48">
        <v>1E+100</v>
      </c>
      <c r="H430" s="49">
        <v>0</v>
      </c>
    </row>
    <row r="431" spans="2:8" x14ac:dyDescent="0.3">
      <c r="B431" s="47" t="s">
        <v>474</v>
      </c>
      <c r="C431" s="48"/>
      <c r="D431" s="48">
        <v>0</v>
      </c>
      <c r="E431" s="48">
        <v>-5.2629235999999997</v>
      </c>
      <c r="F431" s="48">
        <v>157.79816246533301</v>
      </c>
      <c r="G431" s="48">
        <v>5.2629236280000002</v>
      </c>
      <c r="H431" s="49">
        <v>1E+100</v>
      </c>
    </row>
    <row r="432" spans="2:8" x14ac:dyDescent="0.3">
      <c r="B432" s="47" t="s">
        <v>475</v>
      </c>
      <c r="C432" s="48"/>
      <c r="D432" s="48">
        <v>0</v>
      </c>
      <c r="E432" s="48">
        <v>-5.9289423000000001</v>
      </c>
      <c r="F432" s="48">
        <v>16.74545872816816</v>
      </c>
      <c r="G432" s="48">
        <v>5.9289422649999999</v>
      </c>
      <c r="H432" s="49">
        <v>1E+100</v>
      </c>
    </row>
    <row r="433" spans="2:8" x14ac:dyDescent="0.3">
      <c r="B433" s="47" t="s">
        <v>476</v>
      </c>
      <c r="C433" s="48"/>
      <c r="D433" s="48">
        <v>0</v>
      </c>
      <c r="E433" s="48">
        <v>-39.687742999999998</v>
      </c>
      <c r="F433" s="48">
        <v>40.1891009475803</v>
      </c>
      <c r="G433" s="48">
        <v>39.687743259999998</v>
      </c>
      <c r="H433" s="49">
        <v>1E+100</v>
      </c>
    </row>
    <row r="434" spans="2:8" x14ac:dyDescent="0.3">
      <c r="B434" s="47" t="s">
        <v>477</v>
      </c>
      <c r="C434" s="48"/>
      <c r="D434" s="48">
        <v>0</v>
      </c>
      <c r="E434" s="48">
        <v>-154.89963</v>
      </c>
      <c r="F434" s="48">
        <v>66.981834912672639</v>
      </c>
      <c r="G434" s="48">
        <v>154.8996277</v>
      </c>
      <c r="H434" s="49">
        <v>1E+100</v>
      </c>
    </row>
    <row r="435" spans="2:8" x14ac:dyDescent="0.3">
      <c r="B435" s="47" t="s">
        <v>478</v>
      </c>
      <c r="C435" s="48"/>
      <c r="D435" s="48">
        <v>0</v>
      </c>
      <c r="E435" s="48">
        <v>-39.687742999999998</v>
      </c>
      <c r="F435" s="48">
        <v>40.1891009475803</v>
      </c>
      <c r="G435" s="48">
        <v>39.687743259999998</v>
      </c>
      <c r="H435" s="49">
        <v>1E+100</v>
      </c>
    </row>
    <row r="436" spans="2:8" x14ac:dyDescent="0.3">
      <c r="B436" s="47" t="s">
        <v>479</v>
      </c>
      <c r="C436" s="48"/>
      <c r="D436" s="48">
        <v>0</v>
      </c>
      <c r="E436" s="48">
        <v>-5.9289423000000001</v>
      </c>
      <c r="F436" s="48">
        <v>16.74545872816816</v>
      </c>
      <c r="G436" s="48">
        <v>5.9289422649999999</v>
      </c>
      <c r="H436" s="49">
        <v>1E+100</v>
      </c>
    </row>
    <row r="437" spans="2:8" x14ac:dyDescent="0.3">
      <c r="B437" s="47" t="s">
        <v>480</v>
      </c>
      <c r="C437" s="48"/>
      <c r="D437" s="48">
        <v>0</v>
      </c>
      <c r="E437" s="48">
        <v>-107.49061</v>
      </c>
      <c r="F437" s="48">
        <v>153.79847606283147</v>
      </c>
      <c r="G437" s="48">
        <v>107.4906146</v>
      </c>
      <c r="H437" s="49">
        <v>1E+100</v>
      </c>
    </row>
    <row r="438" spans="2:8" x14ac:dyDescent="0.3">
      <c r="B438" s="47" t="s">
        <v>481</v>
      </c>
      <c r="C438" s="48"/>
      <c r="D438" s="48">
        <v>1</v>
      </c>
      <c r="E438" s="48">
        <v>0</v>
      </c>
      <c r="F438" s="48">
        <v>369.11634255084209</v>
      </c>
      <c r="G438" s="48">
        <v>1E+100</v>
      </c>
      <c r="H438" s="49">
        <v>0</v>
      </c>
    </row>
    <row r="439" spans="2:8" x14ac:dyDescent="0.3">
      <c r="B439" s="47" t="s">
        <v>482</v>
      </c>
      <c r="C439" s="48"/>
      <c r="D439" s="48">
        <v>0</v>
      </c>
      <c r="E439" s="48">
        <v>-21.602748999999999</v>
      </c>
      <c r="F439" s="48">
        <v>615.19390425144229</v>
      </c>
      <c r="G439" s="48">
        <v>21.602748729999998</v>
      </c>
      <c r="H439" s="49">
        <v>1E+100</v>
      </c>
    </row>
    <row r="440" spans="2:8" x14ac:dyDescent="0.3">
      <c r="B440" s="47" t="s">
        <v>483</v>
      </c>
      <c r="C440" s="48"/>
      <c r="D440" s="48">
        <v>0</v>
      </c>
      <c r="E440" s="48">
        <v>0</v>
      </c>
      <c r="F440" s="48">
        <v>369.11634255084209</v>
      </c>
      <c r="G440" s="48">
        <v>0</v>
      </c>
      <c r="H440" s="49">
        <v>1E+100</v>
      </c>
    </row>
    <row r="441" spans="2:8" x14ac:dyDescent="0.3">
      <c r="B441" s="47" t="s">
        <v>484</v>
      </c>
      <c r="C441" s="48"/>
      <c r="D441" s="48">
        <v>0</v>
      </c>
      <c r="E441" s="48">
        <v>-107.49061</v>
      </c>
      <c r="F441" s="48">
        <v>153.79847606283147</v>
      </c>
      <c r="G441" s="48">
        <v>107.4906146</v>
      </c>
      <c r="H441" s="49">
        <v>1E+100</v>
      </c>
    </row>
    <row r="442" spans="2:8" x14ac:dyDescent="0.3">
      <c r="B442" s="47" t="s">
        <v>485</v>
      </c>
      <c r="C442" s="48"/>
      <c r="D442" s="48">
        <v>0</v>
      </c>
      <c r="E442" s="48">
        <v>-14.999399</v>
      </c>
      <c r="F442" s="48">
        <v>7.6750019170576707</v>
      </c>
      <c r="G442" s="48">
        <v>14.99939908</v>
      </c>
      <c r="H442" s="49">
        <v>1E+100</v>
      </c>
    </row>
    <row r="443" spans="2:8" x14ac:dyDescent="0.3">
      <c r="B443" s="47" t="s">
        <v>486</v>
      </c>
      <c r="C443" s="48"/>
      <c r="D443" s="48">
        <v>0</v>
      </c>
      <c r="E443" s="48">
        <v>-61.45684</v>
      </c>
      <c r="F443" s="48">
        <v>18.420004601008259</v>
      </c>
      <c r="G443" s="48">
        <v>61.456839610000003</v>
      </c>
      <c r="H443" s="49">
        <v>1E+100</v>
      </c>
    </row>
    <row r="444" spans="2:8" x14ac:dyDescent="0.3">
      <c r="B444" s="47" t="s">
        <v>487</v>
      </c>
      <c r="C444" s="48"/>
      <c r="D444" s="48">
        <v>0</v>
      </c>
      <c r="E444" s="48">
        <v>-191.18145000000001</v>
      </c>
      <c r="F444" s="48">
        <v>30.700007668347098</v>
      </c>
      <c r="G444" s="48">
        <v>191.18145490000001</v>
      </c>
      <c r="H444" s="49">
        <v>1E+100</v>
      </c>
    </row>
    <row r="445" spans="2:8" x14ac:dyDescent="0.3">
      <c r="B445" s="47" t="s">
        <v>488</v>
      </c>
      <c r="C445" s="48"/>
      <c r="D445" s="48">
        <v>0</v>
      </c>
      <c r="E445" s="48">
        <v>-61.45684</v>
      </c>
      <c r="F445" s="48">
        <v>18.420004601008259</v>
      </c>
      <c r="G445" s="48">
        <v>61.456839610000003</v>
      </c>
      <c r="H445" s="49">
        <v>1E+100</v>
      </c>
    </row>
    <row r="446" spans="2:8" x14ac:dyDescent="0.3">
      <c r="B446" s="47" t="s">
        <v>489</v>
      </c>
      <c r="C446" s="48"/>
      <c r="D446" s="48">
        <v>0</v>
      </c>
      <c r="E446" s="48">
        <v>-14.999399</v>
      </c>
      <c r="F446" s="48">
        <v>7.6750019170576707</v>
      </c>
      <c r="G446" s="48">
        <v>14.99939908</v>
      </c>
      <c r="H446" s="49">
        <v>1E+100</v>
      </c>
    </row>
    <row r="447" spans="2:8" x14ac:dyDescent="0.3">
      <c r="B447" s="47" t="s">
        <v>490</v>
      </c>
      <c r="C447" s="48"/>
      <c r="D447" s="48">
        <v>0</v>
      </c>
      <c r="E447" s="48">
        <v>-803.18790000000001</v>
      </c>
      <c r="F447" s="48">
        <v>468</v>
      </c>
      <c r="G447" s="48">
        <v>803.18790019999994</v>
      </c>
      <c r="H447" s="49">
        <v>1E+100</v>
      </c>
    </row>
    <row r="448" spans="2:8" x14ac:dyDescent="0.3">
      <c r="B448" s="47" t="s">
        <v>491</v>
      </c>
      <c r="C448" s="48"/>
      <c r="D448" s="48">
        <v>0</v>
      </c>
      <c r="E448" s="48">
        <v>-320.51150000000001</v>
      </c>
      <c r="F448" s="48">
        <v>1123.1999999999534</v>
      </c>
      <c r="G448" s="48">
        <v>320.51150330000002</v>
      </c>
      <c r="H448" s="49">
        <v>1E+100</v>
      </c>
    </row>
    <row r="449" spans="2:8" x14ac:dyDescent="0.3">
      <c r="B449" s="47" t="s">
        <v>492</v>
      </c>
      <c r="C449" s="48"/>
      <c r="D449" s="48">
        <v>1</v>
      </c>
      <c r="E449" s="48">
        <v>0</v>
      </c>
      <c r="F449" s="48">
        <v>1872</v>
      </c>
      <c r="G449" s="48">
        <v>1E+100</v>
      </c>
      <c r="H449" s="49">
        <v>247.2744807</v>
      </c>
    </row>
    <row r="450" spans="2:8" x14ac:dyDescent="0.3">
      <c r="B450" s="47" t="s">
        <v>493</v>
      </c>
      <c r="C450" s="48"/>
      <c r="D450" s="48">
        <v>0</v>
      </c>
      <c r="E450" s="48">
        <v>-320.51150000000001</v>
      </c>
      <c r="F450" s="48">
        <v>1123.1999999999534</v>
      </c>
      <c r="G450" s="48">
        <v>320.51150330000002</v>
      </c>
      <c r="H450" s="49">
        <v>1E+100</v>
      </c>
    </row>
    <row r="451" spans="2:8" x14ac:dyDescent="0.3">
      <c r="B451" s="47" t="s">
        <v>494</v>
      </c>
      <c r="C451" s="48"/>
      <c r="D451" s="48">
        <v>0</v>
      </c>
      <c r="E451" s="48">
        <v>-803.18790000000001</v>
      </c>
      <c r="F451" s="48">
        <v>468</v>
      </c>
      <c r="G451" s="48">
        <v>803.18790019999994</v>
      </c>
      <c r="H451" s="49">
        <v>1E+100</v>
      </c>
    </row>
    <row r="452" spans="2:8" x14ac:dyDescent="0.3">
      <c r="B452" s="47" t="s">
        <v>495</v>
      </c>
      <c r="C452" s="48"/>
      <c r="D452" s="48">
        <v>0</v>
      </c>
      <c r="E452" s="48">
        <v>-339.38546000000002</v>
      </c>
      <c r="F452" s="48">
        <v>338.43302395788487</v>
      </c>
      <c r="G452" s="48">
        <v>339.38545970000001</v>
      </c>
      <c r="H452" s="49">
        <v>1E+100</v>
      </c>
    </row>
    <row r="453" spans="2:8" x14ac:dyDescent="0.3">
      <c r="B453" s="47" t="s">
        <v>496</v>
      </c>
      <c r="C453" s="48"/>
      <c r="D453" s="48">
        <v>0</v>
      </c>
      <c r="E453" s="48">
        <v>-59.668280000000003</v>
      </c>
      <c r="F453" s="48">
        <v>812.23925749899354</v>
      </c>
      <c r="G453" s="48">
        <v>59.668279550000001</v>
      </c>
      <c r="H453" s="49">
        <v>1E+100</v>
      </c>
    </row>
    <row r="454" spans="2:8" x14ac:dyDescent="0.3">
      <c r="B454" s="47" t="s">
        <v>497</v>
      </c>
      <c r="C454" s="48"/>
      <c r="D454" s="48">
        <v>1</v>
      </c>
      <c r="E454" s="48">
        <v>0</v>
      </c>
      <c r="F454" s="48">
        <v>1353.7320958315395</v>
      </c>
      <c r="G454" s="48">
        <v>1E+100</v>
      </c>
      <c r="H454" s="49">
        <v>59.668279579999997</v>
      </c>
    </row>
    <row r="455" spans="2:8" x14ac:dyDescent="0.3">
      <c r="B455" s="47" t="s">
        <v>498</v>
      </c>
      <c r="C455" s="48"/>
      <c r="D455" s="48">
        <v>0</v>
      </c>
      <c r="E455" s="48">
        <v>-59.668280000000003</v>
      </c>
      <c r="F455" s="48">
        <v>812.23925749899354</v>
      </c>
      <c r="G455" s="48">
        <v>59.668279550000001</v>
      </c>
      <c r="H455" s="49">
        <v>1E+100</v>
      </c>
    </row>
    <row r="456" spans="2:8" x14ac:dyDescent="0.3">
      <c r="B456" s="47" t="s">
        <v>499</v>
      </c>
      <c r="C456" s="48"/>
      <c r="D456" s="48">
        <v>0</v>
      </c>
      <c r="E456" s="48">
        <v>-339.38546000000002</v>
      </c>
      <c r="F456" s="48">
        <v>338.43302395788487</v>
      </c>
      <c r="G456" s="48">
        <v>339.38545970000001</v>
      </c>
      <c r="H456" s="49">
        <v>1E+100</v>
      </c>
    </row>
    <row r="457" spans="2:8" x14ac:dyDescent="0.3">
      <c r="B457" s="47" t="s">
        <v>500</v>
      </c>
      <c r="C457" s="48"/>
      <c r="D457" s="48">
        <v>0</v>
      </c>
      <c r="E457" s="48">
        <v>-63.499471999999997</v>
      </c>
      <c r="F457" s="48">
        <v>11.002131280023605</v>
      </c>
      <c r="G457" s="48">
        <v>63.499471980000003</v>
      </c>
      <c r="H457" s="49">
        <v>1E+100</v>
      </c>
    </row>
    <row r="458" spans="2:8" x14ac:dyDescent="0.3">
      <c r="B458" s="47" t="s">
        <v>501</v>
      </c>
      <c r="C458" s="48"/>
      <c r="D458" s="48">
        <v>0</v>
      </c>
      <c r="E458" s="48">
        <v>-236.04737</v>
      </c>
      <c r="F458" s="48">
        <v>26.405115072033368</v>
      </c>
      <c r="G458" s="48">
        <v>236.04737299999999</v>
      </c>
      <c r="H458" s="49">
        <v>1E+100</v>
      </c>
    </row>
    <row r="459" spans="2:8" x14ac:dyDescent="0.3">
      <c r="B459" s="47" t="s">
        <v>502</v>
      </c>
      <c r="C459" s="48"/>
      <c r="D459" s="48">
        <v>0</v>
      </c>
      <c r="E459" s="48">
        <v>-685.03057000000001</v>
      </c>
      <c r="F459" s="48">
        <v>44.008525120094419</v>
      </c>
      <c r="G459" s="48">
        <v>685.03056619999995</v>
      </c>
      <c r="H459" s="49">
        <v>1E+100</v>
      </c>
    </row>
    <row r="460" spans="2:8" x14ac:dyDescent="0.3">
      <c r="B460" s="47" t="s">
        <v>503</v>
      </c>
      <c r="C460" s="48"/>
      <c r="D460" s="48">
        <v>0</v>
      </c>
      <c r="E460" s="48">
        <v>-236.04737</v>
      </c>
      <c r="F460" s="48">
        <v>26.405115072033368</v>
      </c>
      <c r="G460" s="48">
        <v>236.04737299999999</v>
      </c>
      <c r="H460" s="49">
        <v>1E+100</v>
      </c>
    </row>
    <row r="461" spans="2:8" x14ac:dyDescent="0.3">
      <c r="B461" s="47" t="s">
        <v>504</v>
      </c>
      <c r="C461" s="48"/>
      <c r="D461" s="48">
        <v>0</v>
      </c>
      <c r="E461" s="48">
        <v>-63.499471999999997</v>
      </c>
      <c r="F461" s="48">
        <v>11.002131280023605</v>
      </c>
      <c r="G461" s="48">
        <v>63.499471980000003</v>
      </c>
      <c r="H461" s="49">
        <v>1E+100</v>
      </c>
    </row>
    <row r="462" spans="2:8" x14ac:dyDescent="0.3">
      <c r="B462" s="47" t="s">
        <v>505</v>
      </c>
      <c r="C462" s="48"/>
      <c r="D462" s="48">
        <v>0</v>
      </c>
      <c r="E462" s="48">
        <v>-48.885916000000002</v>
      </c>
      <c r="F462" s="48">
        <v>32.094087147270329</v>
      </c>
      <c r="G462" s="48">
        <v>48.885916399999999</v>
      </c>
      <c r="H462" s="49">
        <v>1E+100</v>
      </c>
    </row>
    <row r="463" spans="2:8" x14ac:dyDescent="0.3">
      <c r="B463" s="47" t="s">
        <v>506</v>
      </c>
      <c r="C463" s="48"/>
      <c r="D463" s="48">
        <v>0</v>
      </c>
      <c r="E463" s="48">
        <v>-208.24862999999999</v>
      </c>
      <c r="F463" s="48">
        <v>77.025809153565206</v>
      </c>
      <c r="G463" s="48">
        <v>208.24863439999999</v>
      </c>
      <c r="H463" s="49">
        <v>1E+100</v>
      </c>
    </row>
    <row r="464" spans="2:8" x14ac:dyDescent="0.3">
      <c r="B464" s="47" t="s">
        <v>507</v>
      </c>
      <c r="C464" s="48"/>
      <c r="D464" s="48">
        <v>0</v>
      </c>
      <c r="E464" s="48">
        <v>-664.05745000000002</v>
      </c>
      <c r="F464" s="48">
        <v>128.37634858931415</v>
      </c>
      <c r="G464" s="48">
        <v>664.05744630000004</v>
      </c>
      <c r="H464" s="49">
        <v>1E+100</v>
      </c>
    </row>
    <row r="465" spans="2:8" x14ac:dyDescent="0.3">
      <c r="B465" s="47" t="s">
        <v>508</v>
      </c>
      <c r="C465" s="48"/>
      <c r="D465" s="48">
        <v>0</v>
      </c>
      <c r="E465" s="48">
        <v>-208.24862999999999</v>
      </c>
      <c r="F465" s="48">
        <v>77.025809153565206</v>
      </c>
      <c r="G465" s="48">
        <v>208.24863439999999</v>
      </c>
      <c r="H465" s="49">
        <v>1E+100</v>
      </c>
    </row>
    <row r="466" spans="2:8" x14ac:dyDescent="0.3">
      <c r="B466" s="47" t="s">
        <v>509</v>
      </c>
      <c r="C466" s="48"/>
      <c r="D466" s="48">
        <v>0</v>
      </c>
      <c r="E466" s="48">
        <v>-48.885916000000002</v>
      </c>
      <c r="F466" s="48">
        <v>32.094087147270329</v>
      </c>
      <c r="G466" s="48">
        <v>48.885916399999999</v>
      </c>
      <c r="H466" s="49">
        <v>1E+100</v>
      </c>
    </row>
    <row r="467" spans="2:8" x14ac:dyDescent="0.3">
      <c r="B467" s="47" t="s">
        <v>510</v>
      </c>
      <c r="C467" s="48"/>
      <c r="D467" s="48">
        <v>0</v>
      </c>
      <c r="E467" s="48">
        <v>-72.216098000000002</v>
      </c>
      <c r="F467" s="48">
        <v>73.105009660474025</v>
      </c>
      <c r="G467" s="48">
        <v>72.216097540000007</v>
      </c>
      <c r="H467" s="49">
        <v>1E+100</v>
      </c>
    </row>
    <row r="468" spans="2:8" x14ac:dyDescent="0.3">
      <c r="B468" s="47" t="s">
        <v>511</v>
      </c>
      <c r="C468" s="48"/>
      <c r="D468" s="48">
        <v>0</v>
      </c>
      <c r="E468" s="48">
        <v>-336.48174</v>
      </c>
      <c r="F468" s="48">
        <v>175.45202318520751</v>
      </c>
      <c r="G468" s="48">
        <v>336.4817405</v>
      </c>
      <c r="H468" s="49">
        <v>1E+100</v>
      </c>
    </row>
    <row r="469" spans="2:8" x14ac:dyDescent="0.3">
      <c r="B469" s="47" t="s">
        <v>512</v>
      </c>
      <c r="C469" s="48"/>
      <c r="D469" s="48">
        <v>0</v>
      </c>
      <c r="E469" s="48">
        <v>-1129.6268</v>
      </c>
      <c r="F469" s="48">
        <v>292.42003864201251</v>
      </c>
      <c r="G469" s="48">
        <v>1129.6267809999999</v>
      </c>
      <c r="H469" s="49">
        <v>1E+100</v>
      </c>
    </row>
    <row r="470" spans="2:8" x14ac:dyDescent="0.3">
      <c r="B470" s="47" t="s">
        <v>513</v>
      </c>
      <c r="C470" s="48"/>
      <c r="D470" s="48">
        <v>0</v>
      </c>
      <c r="E470" s="48">
        <v>-336.48174</v>
      </c>
      <c r="F470" s="48">
        <v>175.45202318520751</v>
      </c>
      <c r="G470" s="48">
        <v>336.4817405</v>
      </c>
      <c r="H470" s="49">
        <v>1E+100</v>
      </c>
    </row>
    <row r="471" spans="2:8" x14ac:dyDescent="0.3">
      <c r="B471" s="47" t="s">
        <v>514</v>
      </c>
      <c r="C471" s="48"/>
      <c r="D471" s="48">
        <v>0</v>
      </c>
      <c r="E471" s="48">
        <v>-72.216098000000002</v>
      </c>
      <c r="F471" s="48">
        <v>73.105009660474025</v>
      </c>
      <c r="G471" s="48">
        <v>72.216097540000007</v>
      </c>
      <c r="H471" s="49">
        <v>1E+100</v>
      </c>
    </row>
    <row r="472" spans="2:8" x14ac:dyDescent="0.3">
      <c r="B472" s="47" t="s">
        <v>515</v>
      </c>
      <c r="C472" s="48"/>
      <c r="D472" s="48">
        <v>0</v>
      </c>
      <c r="E472" s="48">
        <v>-26.329827000000002</v>
      </c>
      <c r="F472" s="48">
        <v>29.483131018467247</v>
      </c>
      <c r="G472" s="48">
        <v>26.329827099999999</v>
      </c>
      <c r="H472" s="49">
        <v>1E+100</v>
      </c>
    </row>
    <row r="473" spans="2:8" x14ac:dyDescent="0.3">
      <c r="B473" s="47" t="s">
        <v>516</v>
      </c>
      <c r="C473" s="48"/>
      <c r="D473" s="48">
        <v>0</v>
      </c>
      <c r="E473" s="48">
        <v>-125.85706</v>
      </c>
      <c r="F473" s="48">
        <v>70.759514444391243</v>
      </c>
      <c r="G473" s="48">
        <v>125.857056</v>
      </c>
      <c r="H473" s="49">
        <v>1E+100</v>
      </c>
    </row>
    <row r="474" spans="2:8" x14ac:dyDescent="0.3">
      <c r="B474" s="47" t="s">
        <v>517</v>
      </c>
      <c r="C474" s="48"/>
      <c r="D474" s="48">
        <v>0</v>
      </c>
      <c r="E474" s="48">
        <v>-428.22791000000001</v>
      </c>
      <c r="F474" s="48">
        <v>117.93252407386899</v>
      </c>
      <c r="G474" s="48">
        <v>428.22791389999998</v>
      </c>
      <c r="H474" s="49">
        <v>1E+100</v>
      </c>
    </row>
    <row r="475" spans="2:8" x14ac:dyDescent="0.3">
      <c r="B475" s="47" t="s">
        <v>518</v>
      </c>
      <c r="C475" s="48"/>
      <c r="D475" s="48">
        <v>0</v>
      </c>
      <c r="E475" s="48">
        <v>-125.85706</v>
      </c>
      <c r="F475" s="48">
        <v>70.759514444391243</v>
      </c>
      <c r="G475" s="48">
        <v>125.857056</v>
      </c>
      <c r="H475" s="49">
        <v>1E+100</v>
      </c>
    </row>
    <row r="476" spans="2:8" x14ac:dyDescent="0.3">
      <c r="B476" s="47" t="s">
        <v>519</v>
      </c>
      <c r="C476" s="48"/>
      <c r="D476" s="48">
        <v>0</v>
      </c>
      <c r="E476" s="48">
        <v>-26.329827000000002</v>
      </c>
      <c r="F476" s="48">
        <v>29.483131018467247</v>
      </c>
      <c r="G476" s="48">
        <v>26.329827099999999</v>
      </c>
      <c r="H476" s="49">
        <v>1E+100</v>
      </c>
    </row>
    <row r="477" spans="2:8" x14ac:dyDescent="0.3">
      <c r="B477" s="47" t="s">
        <v>520</v>
      </c>
      <c r="C477" s="48"/>
      <c r="D477" s="48">
        <v>0</v>
      </c>
      <c r="E477" s="48">
        <v>-111.31437</v>
      </c>
      <c r="F477" s="48">
        <v>37.688834297470748</v>
      </c>
      <c r="G477" s="48">
        <v>111.31437219999999</v>
      </c>
      <c r="H477" s="49">
        <v>1E+100</v>
      </c>
    </row>
    <row r="478" spans="2:8" x14ac:dyDescent="0.3">
      <c r="B478" s="47" t="s">
        <v>521</v>
      </c>
      <c r="C478" s="48"/>
      <c r="D478" s="48">
        <v>0</v>
      </c>
      <c r="E478" s="48">
        <v>-434.45177000000001</v>
      </c>
      <c r="F478" s="48">
        <v>90.453202313859947</v>
      </c>
      <c r="G478" s="48">
        <v>434.45177389999998</v>
      </c>
      <c r="H478" s="49">
        <v>1E+100</v>
      </c>
    </row>
    <row r="479" spans="2:8" x14ac:dyDescent="0.3">
      <c r="B479" s="47" t="s">
        <v>522</v>
      </c>
      <c r="C479" s="48"/>
      <c r="D479" s="48">
        <v>0</v>
      </c>
      <c r="E479" s="48">
        <v>-1307.3227999999999</v>
      </c>
      <c r="F479" s="48">
        <v>150.75533718965016</v>
      </c>
      <c r="G479" s="48">
        <v>1307.3228449999999</v>
      </c>
      <c r="H479" s="49">
        <v>1E+100</v>
      </c>
    </row>
    <row r="480" spans="2:8" x14ac:dyDescent="0.3">
      <c r="B480" s="47" t="s">
        <v>523</v>
      </c>
      <c r="C480" s="48"/>
      <c r="D480" s="48">
        <v>0</v>
      </c>
      <c r="E480" s="48">
        <v>-434.45177000000001</v>
      </c>
      <c r="F480" s="48">
        <v>90.453202313859947</v>
      </c>
      <c r="G480" s="48">
        <v>434.45177389999998</v>
      </c>
      <c r="H480" s="49">
        <v>1E+100</v>
      </c>
    </row>
    <row r="481" spans="2:8" x14ac:dyDescent="0.3">
      <c r="B481" s="47" t="s">
        <v>524</v>
      </c>
      <c r="C481" s="48"/>
      <c r="D481" s="48">
        <v>0</v>
      </c>
      <c r="E481" s="48">
        <v>-111.31437</v>
      </c>
      <c r="F481" s="48">
        <v>37.688834297470748</v>
      </c>
      <c r="G481" s="48">
        <v>111.31437219999999</v>
      </c>
      <c r="H481" s="49">
        <v>1E+100</v>
      </c>
    </row>
    <row r="482" spans="2:8" x14ac:dyDescent="0.3">
      <c r="B482" s="47" t="s">
        <v>525</v>
      </c>
      <c r="C482" s="48"/>
      <c r="D482" s="48">
        <v>0.41521661999999998</v>
      </c>
      <c r="E482" s="48">
        <v>0</v>
      </c>
      <c r="F482" s="48">
        <v>221.80539205949754</v>
      </c>
      <c r="G482" s="48">
        <v>0</v>
      </c>
      <c r="H482" s="49">
        <v>0</v>
      </c>
    </row>
    <row r="483" spans="2:8" x14ac:dyDescent="0.3">
      <c r="B483" s="47" t="s">
        <v>526</v>
      </c>
      <c r="C483" s="48"/>
      <c r="D483" s="48">
        <v>0</v>
      </c>
      <c r="E483" s="48">
        <v>0</v>
      </c>
      <c r="F483" s="48">
        <v>532.33294094284065</v>
      </c>
      <c r="G483" s="48">
        <v>0</v>
      </c>
      <c r="H483" s="49">
        <v>1E+100</v>
      </c>
    </row>
    <row r="484" spans="2:8" x14ac:dyDescent="0.3">
      <c r="B484" s="47" t="s">
        <v>527</v>
      </c>
      <c r="C484" s="48"/>
      <c r="D484" s="48">
        <v>0</v>
      </c>
      <c r="E484" s="48">
        <v>-415.99358999999998</v>
      </c>
      <c r="F484" s="48">
        <v>887.22156823799014</v>
      </c>
      <c r="G484" s="48">
        <v>415.99358669999998</v>
      </c>
      <c r="H484" s="49">
        <v>1E+100</v>
      </c>
    </row>
    <row r="485" spans="2:8" x14ac:dyDescent="0.3">
      <c r="B485" s="47" t="s">
        <v>528</v>
      </c>
      <c r="C485" s="48"/>
      <c r="D485" s="48">
        <v>0.48287153999999999</v>
      </c>
      <c r="E485" s="48">
        <v>0</v>
      </c>
      <c r="F485" s="48">
        <v>532.33294094284065</v>
      </c>
      <c r="G485" s="48">
        <v>7.5782455449999997</v>
      </c>
      <c r="H485" s="49">
        <v>0</v>
      </c>
    </row>
    <row r="486" spans="2:8" x14ac:dyDescent="0.3">
      <c r="B486" s="47" t="s">
        <v>529</v>
      </c>
      <c r="C486" s="48"/>
      <c r="D486" s="48">
        <v>0.10191182999999999</v>
      </c>
      <c r="E486" s="48">
        <v>0</v>
      </c>
      <c r="F486" s="48">
        <v>221.80539205949754</v>
      </c>
      <c r="G486" s="48">
        <v>0</v>
      </c>
      <c r="H486" s="49">
        <v>0</v>
      </c>
    </row>
    <row r="487" spans="2:8" x14ac:dyDescent="0.3">
      <c r="B487" s="47" t="s">
        <v>530</v>
      </c>
      <c r="C487" s="48"/>
      <c r="D487" s="48">
        <v>0</v>
      </c>
      <c r="E487" s="48">
        <v>0</v>
      </c>
      <c r="F487" s="48">
        <v>93.284477026900277</v>
      </c>
      <c r="G487" s="48">
        <v>0</v>
      </c>
      <c r="H487" s="49">
        <v>1E+100</v>
      </c>
    </row>
    <row r="488" spans="2:8" x14ac:dyDescent="0.3">
      <c r="B488" s="47" t="s">
        <v>531</v>
      </c>
      <c r="C488" s="48"/>
      <c r="D488" s="48">
        <v>0</v>
      </c>
      <c r="E488" s="48">
        <v>-104.73761</v>
      </c>
      <c r="F488" s="48">
        <v>223.88274486444425</v>
      </c>
      <c r="G488" s="48">
        <v>104.73760729999999</v>
      </c>
      <c r="H488" s="49">
        <v>1E+100</v>
      </c>
    </row>
    <row r="489" spans="2:8" x14ac:dyDescent="0.3">
      <c r="B489" s="47" t="s">
        <v>532</v>
      </c>
      <c r="C489" s="48"/>
      <c r="D489" s="48">
        <v>0</v>
      </c>
      <c r="E489" s="48">
        <v>-539.70191999999997</v>
      </c>
      <c r="F489" s="48">
        <v>373.13790810736828</v>
      </c>
      <c r="G489" s="48">
        <v>539.7019153</v>
      </c>
      <c r="H489" s="49">
        <v>1E+100</v>
      </c>
    </row>
    <row r="490" spans="2:8" x14ac:dyDescent="0.3">
      <c r="B490" s="47" t="s">
        <v>533</v>
      </c>
      <c r="C490" s="48"/>
      <c r="D490" s="48">
        <v>0</v>
      </c>
      <c r="E490" s="48">
        <v>-104.73761</v>
      </c>
      <c r="F490" s="48">
        <v>223.88274486444425</v>
      </c>
      <c r="G490" s="48">
        <v>104.73760729999999</v>
      </c>
      <c r="H490" s="49">
        <v>1E+100</v>
      </c>
    </row>
    <row r="491" spans="2:8" x14ac:dyDescent="0.3">
      <c r="B491" s="47" t="s">
        <v>534</v>
      </c>
      <c r="C491" s="48"/>
      <c r="D491" s="48">
        <v>0</v>
      </c>
      <c r="E491" s="48">
        <v>0</v>
      </c>
      <c r="F491" s="48">
        <v>93.284477026900277</v>
      </c>
      <c r="G491" s="48">
        <v>0</v>
      </c>
      <c r="H491" s="49">
        <v>1E+100</v>
      </c>
    </row>
    <row r="492" spans="2:8" x14ac:dyDescent="0.3">
      <c r="B492" s="47" t="s">
        <v>535</v>
      </c>
      <c r="C492" s="48"/>
      <c r="D492" s="48">
        <v>0</v>
      </c>
      <c r="E492" s="48">
        <v>0</v>
      </c>
      <c r="F492" s="48">
        <v>112</v>
      </c>
      <c r="G492" s="48">
        <v>0</v>
      </c>
      <c r="H492" s="49">
        <v>1E+100</v>
      </c>
    </row>
    <row r="493" spans="2:8" x14ac:dyDescent="0.3">
      <c r="B493" s="47" t="s">
        <v>536</v>
      </c>
      <c r="C493" s="48"/>
      <c r="D493" s="48">
        <v>0</v>
      </c>
      <c r="E493" s="48">
        <v>-70.846259000000003</v>
      </c>
      <c r="F493" s="48">
        <v>268.79999999993015</v>
      </c>
      <c r="G493" s="48">
        <v>70.846259029999999</v>
      </c>
      <c r="H493" s="49">
        <v>1E+100</v>
      </c>
    </row>
    <row r="494" spans="2:8" x14ac:dyDescent="0.3">
      <c r="B494" s="47" t="s">
        <v>537</v>
      </c>
      <c r="C494" s="48"/>
      <c r="D494" s="48">
        <v>0</v>
      </c>
      <c r="E494" s="48">
        <v>-456.77632</v>
      </c>
      <c r="F494" s="48">
        <v>448</v>
      </c>
      <c r="G494" s="48">
        <v>456.7763185</v>
      </c>
      <c r="H494" s="49">
        <v>1E+100</v>
      </c>
    </row>
    <row r="495" spans="2:8" x14ac:dyDescent="0.3">
      <c r="B495" s="47" t="s">
        <v>538</v>
      </c>
      <c r="C495" s="48"/>
      <c r="D495" s="48">
        <v>0</v>
      </c>
      <c r="E495" s="48">
        <v>-70.846259000000003</v>
      </c>
      <c r="F495" s="48">
        <v>268.79999999993015</v>
      </c>
      <c r="G495" s="48">
        <v>70.846259029999999</v>
      </c>
      <c r="H495" s="49">
        <v>1E+100</v>
      </c>
    </row>
    <row r="496" spans="2:8" x14ac:dyDescent="0.3">
      <c r="B496" s="47" t="s">
        <v>539</v>
      </c>
      <c r="C496" s="48"/>
      <c r="D496" s="48">
        <v>1</v>
      </c>
      <c r="E496" s="48">
        <v>0</v>
      </c>
      <c r="F496" s="48">
        <v>112</v>
      </c>
      <c r="G496" s="48">
        <v>1E+100</v>
      </c>
      <c r="H496" s="49">
        <v>0</v>
      </c>
    </row>
    <row r="497" spans="1:8" x14ac:dyDescent="0.3">
      <c r="B497" s="47" t="s">
        <v>540</v>
      </c>
      <c r="C497" s="48"/>
      <c r="D497" s="48">
        <v>0</v>
      </c>
      <c r="E497" s="48">
        <v>0</v>
      </c>
      <c r="F497" s="48">
        <v>125.17581449216232</v>
      </c>
      <c r="G497" s="48">
        <v>0</v>
      </c>
      <c r="H497" s="49">
        <v>1E+100</v>
      </c>
    </row>
    <row r="498" spans="1:8" x14ac:dyDescent="0.3">
      <c r="B498" s="47" t="s">
        <v>541</v>
      </c>
      <c r="C498" s="48"/>
      <c r="D498" s="48">
        <v>0</v>
      </c>
      <c r="E498" s="48">
        <v>-126.67017</v>
      </c>
      <c r="F498" s="48">
        <v>300.42195478116628</v>
      </c>
      <c r="G498" s="48">
        <v>126.67016510000001</v>
      </c>
      <c r="H498" s="49">
        <v>1E+100</v>
      </c>
    </row>
    <row r="499" spans="1:8" x14ac:dyDescent="0.3">
      <c r="B499" s="47" t="s">
        <v>542</v>
      </c>
      <c r="C499" s="48"/>
      <c r="D499" s="48">
        <v>0</v>
      </c>
      <c r="E499" s="48">
        <v>-675.89373000000001</v>
      </c>
      <c r="F499" s="48">
        <v>500.70325796853285</v>
      </c>
      <c r="G499" s="48">
        <v>675.89373109999997</v>
      </c>
      <c r="H499" s="49">
        <v>1E+100</v>
      </c>
    </row>
    <row r="500" spans="1:8" x14ac:dyDescent="0.3">
      <c r="B500" s="47" t="s">
        <v>543</v>
      </c>
      <c r="C500" s="48"/>
      <c r="D500" s="48">
        <v>0</v>
      </c>
      <c r="E500" s="48">
        <v>-126.67017</v>
      </c>
      <c r="F500" s="48">
        <v>300.42195478116628</v>
      </c>
      <c r="G500" s="48">
        <v>126.67016510000001</v>
      </c>
      <c r="H500" s="49">
        <v>1E+100</v>
      </c>
    </row>
    <row r="501" spans="1:8" x14ac:dyDescent="0.3">
      <c r="B501" s="47" t="s">
        <v>544</v>
      </c>
      <c r="C501" s="48"/>
      <c r="D501" s="48">
        <v>1</v>
      </c>
      <c r="E501" s="48">
        <v>0</v>
      </c>
      <c r="F501" s="48">
        <v>125.17581449216232</v>
      </c>
      <c r="G501" s="48">
        <v>1E+100</v>
      </c>
      <c r="H501" s="49">
        <v>0</v>
      </c>
    </row>
    <row r="502" spans="1:8" x14ac:dyDescent="0.3">
      <c r="B502" s="47" t="s">
        <v>545</v>
      </c>
      <c r="C502" s="48"/>
      <c r="D502" s="48">
        <v>0</v>
      </c>
      <c r="E502" s="48">
        <v>-372.12625000000003</v>
      </c>
      <c r="F502" s="48">
        <v>548.91529088153038</v>
      </c>
      <c r="G502" s="48">
        <v>372.12624920000002</v>
      </c>
      <c r="H502" s="49">
        <v>1E+100</v>
      </c>
    </row>
    <row r="503" spans="1:8" x14ac:dyDescent="0.3">
      <c r="B503" s="47" t="s">
        <v>546</v>
      </c>
      <c r="C503" s="48"/>
      <c r="D503" s="48">
        <v>0.70698916000000001</v>
      </c>
      <c r="E503" s="48">
        <v>0</v>
      </c>
      <c r="F503" s="48">
        <v>1317.3966981157428</v>
      </c>
      <c r="G503" s="48">
        <v>0</v>
      </c>
      <c r="H503" s="49">
        <v>0</v>
      </c>
    </row>
    <row r="504" spans="1:8" x14ac:dyDescent="0.3">
      <c r="B504" s="47" t="s">
        <v>547</v>
      </c>
      <c r="C504" s="48"/>
      <c r="D504" s="48">
        <v>0</v>
      </c>
      <c r="E504" s="48">
        <v>-105.68411999999999</v>
      </c>
      <c r="F504" s="48">
        <v>2195.6611635261215</v>
      </c>
      <c r="G504" s="48">
        <v>105.6841178</v>
      </c>
      <c r="H504" s="49">
        <v>1E+100</v>
      </c>
    </row>
    <row r="505" spans="1:8" x14ac:dyDescent="0.3">
      <c r="B505" s="47" t="s">
        <v>548</v>
      </c>
      <c r="C505" s="48"/>
      <c r="D505" s="48">
        <v>0.29301083999999999</v>
      </c>
      <c r="E505" s="48">
        <v>0</v>
      </c>
      <c r="F505" s="48">
        <v>1317.3966981157428</v>
      </c>
      <c r="G505" s="48">
        <v>0</v>
      </c>
      <c r="H505" s="49">
        <v>0</v>
      </c>
    </row>
    <row r="506" spans="1:8" ht="15" thickBot="1" x14ac:dyDescent="0.35">
      <c r="B506" s="50" t="s">
        <v>549</v>
      </c>
      <c r="C506" s="51"/>
      <c r="D506" s="51">
        <v>0</v>
      </c>
      <c r="E506" s="51">
        <v>-372.12625000000003</v>
      </c>
      <c r="F506" s="51">
        <v>548.91529088153038</v>
      </c>
      <c r="G506" s="51">
        <v>372.12624920000002</v>
      </c>
      <c r="H506" s="52">
        <v>1E+100</v>
      </c>
    </row>
    <row r="507" spans="1:8" x14ac:dyDescent="0.3">
      <c r="B507" s="46"/>
      <c r="C507" s="46"/>
      <c r="D507" s="46"/>
      <c r="E507" s="46"/>
      <c r="F507" s="46"/>
      <c r="G507" s="46"/>
      <c r="H507" s="46"/>
    </row>
    <row r="508" spans="1:8" ht="15" thickBot="1" x14ac:dyDescent="0.35">
      <c r="A508" s="56" t="s">
        <v>550</v>
      </c>
      <c r="B508" s="46"/>
      <c r="C508" s="46"/>
      <c r="D508" s="46"/>
      <c r="E508" s="46"/>
      <c r="F508" s="46"/>
      <c r="G508" s="46"/>
      <c r="H508" s="46"/>
    </row>
    <row r="509" spans="1:8" ht="15" thickBot="1" x14ac:dyDescent="0.35">
      <c r="B509" s="53" t="s">
        <v>43</v>
      </c>
      <c r="C509" s="54" t="s">
        <v>44</v>
      </c>
      <c r="D509" s="54" t="s">
        <v>45</v>
      </c>
      <c r="E509" s="54" t="s">
        <v>551</v>
      </c>
      <c r="F509" s="54" t="s">
        <v>552</v>
      </c>
      <c r="G509" s="54" t="s">
        <v>48</v>
      </c>
      <c r="H509" s="55" t="s">
        <v>49</v>
      </c>
    </row>
    <row r="510" spans="1:8" x14ac:dyDescent="0.3">
      <c r="B510" s="47" t="s">
        <v>553</v>
      </c>
      <c r="C510" s="48" t="s">
        <v>16</v>
      </c>
      <c r="D510" s="48">
        <v>1</v>
      </c>
      <c r="E510" s="48">
        <v>257.01817</v>
      </c>
      <c r="F510" s="48">
        <v>1</v>
      </c>
      <c r="G510" s="48">
        <v>0</v>
      </c>
      <c r="H510" s="49">
        <v>4.374082135E-2</v>
      </c>
    </row>
    <row r="511" spans="1:8" x14ac:dyDescent="0.3">
      <c r="B511" s="47" t="s">
        <v>554</v>
      </c>
      <c r="C511" s="48" t="s">
        <v>16</v>
      </c>
      <c r="D511" s="48">
        <v>1</v>
      </c>
      <c r="E511" s="48">
        <v>7.4656754000000003</v>
      </c>
      <c r="F511" s="48">
        <v>1</v>
      </c>
      <c r="G511" s="48">
        <v>1</v>
      </c>
      <c r="H511" s="49">
        <v>0</v>
      </c>
    </row>
    <row r="512" spans="1:8" x14ac:dyDescent="0.3">
      <c r="B512" s="47" t="s">
        <v>555</v>
      </c>
      <c r="C512" s="48" t="s">
        <v>16</v>
      </c>
      <c r="D512" s="48">
        <v>1</v>
      </c>
      <c r="E512" s="48">
        <v>0</v>
      </c>
      <c r="F512" s="48">
        <v>1</v>
      </c>
      <c r="G512" s="48">
        <v>1E+100</v>
      </c>
      <c r="H512" s="49">
        <v>0</v>
      </c>
    </row>
    <row r="513" spans="2:8" x14ac:dyDescent="0.3">
      <c r="B513" s="47" t="s">
        <v>556</v>
      </c>
      <c r="C513" s="48" t="s">
        <v>16</v>
      </c>
      <c r="D513" s="48">
        <v>0</v>
      </c>
      <c r="E513" s="48">
        <v>0</v>
      </c>
      <c r="F513" s="48">
        <v>1</v>
      </c>
      <c r="G513" s="48">
        <v>1E+100</v>
      </c>
      <c r="H513" s="49">
        <v>1</v>
      </c>
    </row>
    <row r="514" spans="2:8" x14ac:dyDescent="0.3">
      <c r="B514" s="47" t="s">
        <v>557</v>
      </c>
      <c r="C514" s="48" t="s">
        <v>16</v>
      </c>
      <c r="D514" s="48">
        <v>1</v>
      </c>
      <c r="E514" s="48">
        <v>518.88207</v>
      </c>
      <c r="F514" s="48">
        <v>1</v>
      </c>
      <c r="G514" s="48">
        <v>0.67255019959999995</v>
      </c>
      <c r="H514" s="49">
        <v>4.9068670100000003E-2</v>
      </c>
    </row>
    <row r="515" spans="2:8" x14ac:dyDescent="0.3">
      <c r="B515" s="47" t="s">
        <v>558</v>
      </c>
      <c r="C515" s="48" t="s">
        <v>16</v>
      </c>
      <c r="D515" s="48">
        <v>0</v>
      </c>
      <c r="E515" s="48">
        <v>0</v>
      </c>
      <c r="F515" s="48">
        <v>1</v>
      </c>
      <c r="G515" s="48">
        <v>1E+100</v>
      </c>
      <c r="H515" s="49">
        <v>1</v>
      </c>
    </row>
    <row r="516" spans="2:8" x14ac:dyDescent="0.3">
      <c r="B516" s="47" t="s">
        <v>559</v>
      </c>
      <c r="C516" s="48" t="s">
        <v>16</v>
      </c>
      <c r="D516" s="48">
        <v>0</v>
      </c>
      <c r="E516" s="48">
        <v>0</v>
      </c>
      <c r="F516" s="48">
        <v>1</v>
      </c>
      <c r="G516" s="48">
        <v>1E+100</v>
      </c>
      <c r="H516" s="49">
        <v>1</v>
      </c>
    </row>
    <row r="517" spans="2:8" x14ac:dyDescent="0.3">
      <c r="B517" s="47" t="s">
        <v>560</v>
      </c>
      <c r="C517" s="48" t="s">
        <v>16</v>
      </c>
      <c r="D517" s="48">
        <v>1</v>
      </c>
      <c r="E517" s="48">
        <v>102.31780999999999</v>
      </c>
      <c r="F517" s="48">
        <v>1</v>
      </c>
      <c r="G517" s="48">
        <v>0</v>
      </c>
      <c r="H517" s="49">
        <v>0</v>
      </c>
    </row>
    <row r="518" spans="2:8" x14ac:dyDescent="0.3">
      <c r="B518" s="47" t="s">
        <v>561</v>
      </c>
      <c r="C518" s="48" t="s">
        <v>16</v>
      </c>
      <c r="D518" s="48">
        <v>1</v>
      </c>
      <c r="E518" s="48">
        <v>0</v>
      </c>
      <c r="F518" s="48">
        <v>1</v>
      </c>
      <c r="G518" s="48">
        <v>1E+100</v>
      </c>
      <c r="H518" s="49">
        <v>0</v>
      </c>
    </row>
    <row r="519" spans="2:8" x14ac:dyDescent="0.3">
      <c r="B519" s="47" t="s">
        <v>562</v>
      </c>
      <c r="C519" s="48" t="s">
        <v>16</v>
      </c>
      <c r="D519" s="48">
        <v>1</v>
      </c>
      <c r="E519" s="48">
        <v>77.578081999999995</v>
      </c>
      <c r="F519" s="48">
        <v>1</v>
      </c>
      <c r="G519" s="48">
        <v>0</v>
      </c>
      <c r="H519" s="49">
        <v>5.0728590570000003E-2</v>
      </c>
    </row>
    <row r="520" spans="2:8" x14ac:dyDescent="0.3">
      <c r="B520" s="47" t="s">
        <v>563</v>
      </c>
      <c r="C520" s="48" t="s">
        <v>16</v>
      </c>
      <c r="D520" s="48">
        <v>0</v>
      </c>
      <c r="E520" s="48">
        <v>0</v>
      </c>
      <c r="F520" s="48">
        <v>1</v>
      </c>
      <c r="G520" s="48">
        <v>1E+100</v>
      </c>
      <c r="H520" s="49">
        <v>1</v>
      </c>
    </row>
    <row r="521" spans="2:8" x14ac:dyDescent="0.3">
      <c r="B521" s="47" t="s">
        <v>564</v>
      </c>
      <c r="C521" s="48" t="s">
        <v>16</v>
      </c>
      <c r="D521" s="48">
        <v>1</v>
      </c>
      <c r="E521" s="48">
        <v>0</v>
      </c>
      <c r="F521" s="48">
        <v>1</v>
      </c>
      <c r="G521" s="48">
        <v>1E+100</v>
      </c>
      <c r="H521" s="49">
        <v>0</v>
      </c>
    </row>
    <row r="522" spans="2:8" x14ac:dyDescent="0.3">
      <c r="B522" s="47" t="s">
        <v>565</v>
      </c>
      <c r="C522" s="48" t="s">
        <v>16</v>
      </c>
      <c r="D522" s="48">
        <v>0</v>
      </c>
      <c r="E522" s="48">
        <v>0</v>
      </c>
      <c r="F522" s="48">
        <v>1</v>
      </c>
      <c r="G522" s="48">
        <v>1E+100</v>
      </c>
      <c r="H522" s="49">
        <v>1</v>
      </c>
    </row>
    <row r="523" spans="2:8" x14ac:dyDescent="0.3">
      <c r="B523" s="47" t="s">
        <v>566</v>
      </c>
      <c r="C523" s="48" t="s">
        <v>16</v>
      </c>
      <c r="D523" s="48">
        <v>1</v>
      </c>
      <c r="E523" s="48">
        <v>1202.8015</v>
      </c>
      <c r="F523" s="48">
        <v>1</v>
      </c>
      <c r="G523" s="48">
        <v>0</v>
      </c>
      <c r="H523" s="49">
        <v>6.3410738209999998E-2</v>
      </c>
    </row>
    <row r="524" spans="2:8" x14ac:dyDescent="0.3">
      <c r="B524" s="47" t="s">
        <v>567</v>
      </c>
      <c r="C524" s="48" t="s">
        <v>16</v>
      </c>
      <c r="D524" s="48">
        <v>1</v>
      </c>
      <c r="E524" s="48">
        <v>699.05969000000005</v>
      </c>
      <c r="F524" s="48">
        <v>1</v>
      </c>
      <c r="G524" s="48">
        <v>0</v>
      </c>
      <c r="H524" s="49">
        <v>2.8182550319999999E-2</v>
      </c>
    </row>
    <row r="525" spans="2:8" x14ac:dyDescent="0.3">
      <c r="B525" s="47" t="s">
        <v>568</v>
      </c>
      <c r="C525" s="48" t="s">
        <v>16</v>
      </c>
      <c r="D525" s="48">
        <v>0</v>
      </c>
      <c r="E525" s="48">
        <v>0</v>
      </c>
      <c r="F525" s="48">
        <v>1</v>
      </c>
      <c r="G525" s="48">
        <v>1E+100</v>
      </c>
      <c r="H525" s="49">
        <v>1</v>
      </c>
    </row>
    <row r="526" spans="2:8" x14ac:dyDescent="0.3">
      <c r="B526" s="47" t="s">
        <v>569</v>
      </c>
      <c r="C526" s="48" t="s">
        <v>16</v>
      </c>
      <c r="D526" s="48">
        <v>0</v>
      </c>
      <c r="E526" s="48">
        <v>0</v>
      </c>
      <c r="F526" s="48">
        <v>1</v>
      </c>
      <c r="G526" s="48">
        <v>1E+100</v>
      </c>
      <c r="H526" s="49">
        <v>1</v>
      </c>
    </row>
    <row r="527" spans="2:8" x14ac:dyDescent="0.3">
      <c r="B527" s="47" t="s">
        <v>570</v>
      </c>
      <c r="C527" s="48" t="s">
        <v>16</v>
      </c>
      <c r="D527" s="48">
        <v>0</v>
      </c>
      <c r="E527" s="48">
        <v>0</v>
      </c>
      <c r="F527" s="48">
        <v>1</v>
      </c>
      <c r="G527" s="48">
        <v>1E+100</v>
      </c>
      <c r="H527" s="49">
        <v>1</v>
      </c>
    </row>
    <row r="528" spans="2:8" x14ac:dyDescent="0.3">
      <c r="B528" s="47" t="s">
        <v>571</v>
      </c>
      <c r="C528" s="48" t="s">
        <v>16</v>
      </c>
      <c r="D528" s="48">
        <v>0</v>
      </c>
      <c r="E528" s="48">
        <v>0</v>
      </c>
      <c r="F528" s="48">
        <v>1</v>
      </c>
      <c r="G528" s="48">
        <v>1E+100</v>
      </c>
      <c r="H528" s="49">
        <v>1</v>
      </c>
    </row>
    <row r="529" spans="2:8" x14ac:dyDescent="0.3">
      <c r="B529" s="47" t="s">
        <v>572</v>
      </c>
      <c r="C529" s="48" t="s">
        <v>16</v>
      </c>
      <c r="D529" s="48">
        <v>0</v>
      </c>
      <c r="E529" s="48">
        <v>0</v>
      </c>
      <c r="F529" s="48">
        <v>1</v>
      </c>
      <c r="G529" s="48">
        <v>1E+100</v>
      </c>
      <c r="H529" s="49">
        <v>1</v>
      </c>
    </row>
    <row r="530" spans="2:8" x14ac:dyDescent="0.3">
      <c r="B530" s="47" t="s">
        <v>573</v>
      </c>
      <c r="C530" s="48" t="s">
        <v>16</v>
      </c>
      <c r="D530" s="48">
        <v>1</v>
      </c>
      <c r="E530" s="48">
        <v>98.715787000000006</v>
      </c>
      <c r="F530" s="48">
        <v>1</v>
      </c>
      <c r="G530" s="48">
        <v>0.53911929510000001</v>
      </c>
      <c r="H530" s="49">
        <v>3.5229882400000002E-2</v>
      </c>
    </row>
    <row r="531" spans="2:8" x14ac:dyDescent="0.3">
      <c r="B531" s="47" t="s">
        <v>574</v>
      </c>
      <c r="C531" s="48" t="s">
        <v>16</v>
      </c>
      <c r="D531" s="48">
        <v>0.93866121000000002</v>
      </c>
      <c r="E531" s="48">
        <v>0</v>
      </c>
      <c r="F531" s="48">
        <v>1</v>
      </c>
      <c r="G531" s="48">
        <v>1E+100</v>
      </c>
      <c r="H531" s="49">
        <v>6.1338787929999999E-2</v>
      </c>
    </row>
    <row r="532" spans="2:8" x14ac:dyDescent="0.3">
      <c r="B532" s="47" t="s">
        <v>575</v>
      </c>
      <c r="C532" s="48" t="s">
        <v>16</v>
      </c>
      <c r="D532" s="48">
        <v>1</v>
      </c>
      <c r="E532" s="48">
        <v>21.7636</v>
      </c>
      <c r="F532" s="48">
        <v>1</v>
      </c>
      <c r="G532" s="48">
        <v>0</v>
      </c>
      <c r="H532" s="49">
        <v>4.8056353199999999E-2</v>
      </c>
    </row>
    <row r="533" spans="2:8" x14ac:dyDescent="0.3">
      <c r="B533" s="47" t="s">
        <v>576</v>
      </c>
      <c r="C533" s="48" t="s">
        <v>16</v>
      </c>
      <c r="D533" s="48">
        <v>1</v>
      </c>
      <c r="E533" s="48">
        <v>5.4996086000000002</v>
      </c>
      <c r="F533" s="48">
        <v>1</v>
      </c>
      <c r="G533" s="48">
        <v>0</v>
      </c>
      <c r="H533" s="49">
        <v>3.6234707550000002E-2</v>
      </c>
    </row>
    <row r="534" spans="2:8" x14ac:dyDescent="0.3">
      <c r="B534" s="47" t="s">
        <v>577</v>
      </c>
      <c r="C534" s="48" t="s">
        <v>16</v>
      </c>
      <c r="D534" s="48">
        <v>1</v>
      </c>
      <c r="E534" s="48">
        <v>763.93083999999999</v>
      </c>
      <c r="F534" s="48">
        <v>1</v>
      </c>
      <c r="G534" s="48">
        <v>0.37830948730000002</v>
      </c>
      <c r="H534" s="49">
        <v>2.7601126930000001E-2</v>
      </c>
    </row>
    <row r="535" spans="2:8" x14ac:dyDescent="0.3">
      <c r="B535" s="47" t="s">
        <v>578</v>
      </c>
      <c r="C535" s="48" t="s">
        <v>579</v>
      </c>
      <c r="D535" s="48">
        <v>6</v>
      </c>
      <c r="E535" s="48">
        <v>0</v>
      </c>
      <c r="F535" s="48">
        <v>0</v>
      </c>
      <c r="G535" s="48">
        <v>6</v>
      </c>
      <c r="H535" s="49">
        <v>1E+100</v>
      </c>
    </row>
    <row r="536" spans="2:8" x14ac:dyDescent="0.3">
      <c r="B536" s="47" t="s">
        <v>580</v>
      </c>
      <c r="C536" s="48" t="s">
        <v>579</v>
      </c>
      <c r="D536" s="48">
        <v>5.5975396000000002</v>
      </c>
      <c r="E536" s="48">
        <v>0</v>
      </c>
      <c r="F536" s="48">
        <v>0</v>
      </c>
      <c r="G536" s="48">
        <v>5.5975395539999999</v>
      </c>
      <c r="H536" s="49">
        <v>1E+100</v>
      </c>
    </row>
    <row r="537" spans="2:8" x14ac:dyDescent="0.3">
      <c r="B537" s="47" t="s">
        <v>581</v>
      </c>
      <c r="C537" s="48" t="s">
        <v>579</v>
      </c>
      <c r="D537" s="48">
        <v>3.5471496999999999</v>
      </c>
      <c r="E537" s="48">
        <v>0</v>
      </c>
      <c r="F537" s="48">
        <v>0</v>
      </c>
      <c r="G537" s="48">
        <v>3.5471496999999999</v>
      </c>
      <c r="H537" s="49">
        <v>1E+100</v>
      </c>
    </row>
    <row r="538" spans="2:8" x14ac:dyDescent="0.3">
      <c r="B538" s="47" t="s">
        <v>582</v>
      </c>
      <c r="C538" s="48" t="s">
        <v>579</v>
      </c>
      <c r="D538" s="48">
        <v>0</v>
      </c>
      <c r="E538" s="48">
        <v>0</v>
      </c>
      <c r="F538" s="48">
        <v>0</v>
      </c>
      <c r="G538" s="48">
        <v>0</v>
      </c>
      <c r="H538" s="49">
        <v>1E+100</v>
      </c>
    </row>
    <row r="539" spans="2:8" x14ac:dyDescent="0.3">
      <c r="B539" s="47" t="s">
        <v>583</v>
      </c>
      <c r="C539" s="48" t="s">
        <v>579</v>
      </c>
      <c r="D539" s="48">
        <v>6.2837582000000003</v>
      </c>
      <c r="E539" s="48">
        <v>0</v>
      </c>
      <c r="F539" s="48">
        <v>0</v>
      </c>
      <c r="G539" s="48">
        <v>6.2837582330000004</v>
      </c>
      <c r="H539" s="49">
        <v>1E+100</v>
      </c>
    </row>
    <row r="540" spans="2:8" x14ac:dyDescent="0.3">
      <c r="B540" s="47" t="s">
        <v>584</v>
      </c>
      <c r="C540" s="48" t="s">
        <v>579</v>
      </c>
      <c r="D540" s="48">
        <v>0</v>
      </c>
      <c r="E540" s="48">
        <v>0</v>
      </c>
      <c r="F540" s="48">
        <v>0</v>
      </c>
      <c r="G540" s="48">
        <v>0</v>
      </c>
      <c r="H540" s="49">
        <v>1E+100</v>
      </c>
    </row>
    <row r="541" spans="2:8" x14ac:dyDescent="0.3">
      <c r="B541" s="47" t="s">
        <v>585</v>
      </c>
      <c r="C541" s="48" t="s">
        <v>579</v>
      </c>
      <c r="D541" s="48">
        <v>0</v>
      </c>
      <c r="E541" s="48">
        <v>0</v>
      </c>
      <c r="F541" s="48">
        <v>0</v>
      </c>
      <c r="G541" s="48">
        <v>0</v>
      </c>
      <c r="H541" s="49">
        <v>1E+100</v>
      </c>
    </row>
    <row r="542" spans="2:8" x14ac:dyDescent="0.3">
      <c r="B542" s="47" t="s">
        <v>586</v>
      </c>
      <c r="C542" s="48" t="s">
        <v>579</v>
      </c>
      <c r="D542" s="48">
        <v>3.5471496999999999</v>
      </c>
      <c r="E542" s="48">
        <v>0</v>
      </c>
      <c r="F542" s="48">
        <v>0</v>
      </c>
      <c r="G542" s="48">
        <v>3.5471496999999999</v>
      </c>
      <c r="H542" s="49">
        <v>1E+100</v>
      </c>
    </row>
    <row r="543" spans="2:8" x14ac:dyDescent="0.3">
      <c r="B543" s="47" t="s">
        <v>587</v>
      </c>
      <c r="C543" s="48" t="s">
        <v>579</v>
      </c>
      <c r="D543" s="48">
        <v>7.0942993999999997</v>
      </c>
      <c r="E543" s="48">
        <v>0</v>
      </c>
      <c r="F543" s="48">
        <v>0</v>
      </c>
      <c r="G543" s="48">
        <v>7.0942993989999996</v>
      </c>
      <c r="H543" s="49">
        <v>1E+100</v>
      </c>
    </row>
    <row r="544" spans="2:8" x14ac:dyDescent="0.3">
      <c r="B544" s="47" t="s">
        <v>588</v>
      </c>
      <c r="C544" s="48" t="s">
        <v>579</v>
      </c>
      <c r="D544" s="48">
        <v>8.0942994000000006</v>
      </c>
      <c r="E544" s="48">
        <v>0</v>
      </c>
      <c r="F544" s="48">
        <v>0</v>
      </c>
      <c r="G544" s="48">
        <v>8.0942993990000005</v>
      </c>
      <c r="H544" s="49">
        <v>1E+100</v>
      </c>
    </row>
    <row r="545" spans="2:8" x14ac:dyDescent="0.3">
      <c r="B545" s="47" t="s">
        <v>589</v>
      </c>
      <c r="C545" s="48" t="s">
        <v>579</v>
      </c>
      <c r="D545" s="48">
        <v>0</v>
      </c>
      <c r="E545" s="48">
        <v>0</v>
      </c>
      <c r="F545" s="48">
        <v>0</v>
      </c>
      <c r="G545" s="48">
        <v>0</v>
      </c>
      <c r="H545" s="49">
        <v>1E+100</v>
      </c>
    </row>
    <row r="546" spans="2:8" x14ac:dyDescent="0.3">
      <c r="B546" s="47" t="s">
        <v>590</v>
      </c>
      <c r="C546" s="48" t="s">
        <v>579</v>
      </c>
      <c r="D546" s="48">
        <v>13.157166</v>
      </c>
      <c r="E546" s="48">
        <v>0</v>
      </c>
      <c r="F546" s="48">
        <v>0</v>
      </c>
      <c r="G546" s="48">
        <v>13.157165669999999</v>
      </c>
      <c r="H546" s="49">
        <v>1E+100</v>
      </c>
    </row>
    <row r="547" spans="2:8" x14ac:dyDescent="0.3">
      <c r="B547" s="47" t="s">
        <v>591</v>
      </c>
      <c r="C547" s="48" t="s">
        <v>579</v>
      </c>
      <c r="D547" s="48">
        <v>0</v>
      </c>
      <c r="E547" s="48">
        <v>0</v>
      </c>
      <c r="F547" s="48">
        <v>0</v>
      </c>
      <c r="G547" s="48">
        <v>0</v>
      </c>
      <c r="H547" s="49">
        <v>1E+100</v>
      </c>
    </row>
    <row r="548" spans="2:8" x14ac:dyDescent="0.3">
      <c r="B548" s="47" t="s">
        <v>592</v>
      </c>
      <c r="C548" s="48" t="s">
        <v>579</v>
      </c>
      <c r="D548" s="48">
        <v>3.0628663</v>
      </c>
      <c r="E548" s="48">
        <v>0</v>
      </c>
      <c r="F548" s="48">
        <v>0</v>
      </c>
      <c r="G548" s="48">
        <v>3.0628662659999999</v>
      </c>
      <c r="H548" s="49">
        <v>1E+100</v>
      </c>
    </row>
    <row r="549" spans="2:8" x14ac:dyDescent="0.3">
      <c r="B549" s="47" t="s">
        <v>593</v>
      </c>
      <c r="C549" s="48" t="s">
        <v>579</v>
      </c>
      <c r="D549" s="48">
        <v>6.0942993999999997</v>
      </c>
      <c r="E549" s="48">
        <v>0</v>
      </c>
      <c r="F549" s="48">
        <v>0</v>
      </c>
      <c r="G549" s="48">
        <v>6.0942993989999996</v>
      </c>
      <c r="H549" s="49">
        <v>1E+100</v>
      </c>
    </row>
    <row r="550" spans="2:8" x14ac:dyDescent="0.3">
      <c r="B550" s="47" t="s">
        <v>594</v>
      </c>
      <c r="C550" s="48" t="s">
        <v>579</v>
      </c>
      <c r="D550" s="48">
        <v>0</v>
      </c>
      <c r="E550" s="48">
        <v>0</v>
      </c>
      <c r="F550" s="48">
        <v>0</v>
      </c>
      <c r="G550" s="48">
        <v>0</v>
      </c>
      <c r="H550" s="49">
        <v>1E+100</v>
      </c>
    </row>
    <row r="551" spans="2:8" x14ac:dyDescent="0.3">
      <c r="B551" s="47" t="s">
        <v>595</v>
      </c>
      <c r="C551" s="48" t="s">
        <v>579</v>
      </c>
      <c r="D551" s="48">
        <v>0</v>
      </c>
      <c r="E551" s="48">
        <v>0</v>
      </c>
      <c r="F551" s="48">
        <v>0</v>
      </c>
      <c r="G551" s="48">
        <v>0</v>
      </c>
      <c r="H551" s="49">
        <v>1E+100</v>
      </c>
    </row>
    <row r="552" spans="2:8" x14ac:dyDescent="0.3">
      <c r="B552" s="47" t="s">
        <v>596</v>
      </c>
      <c r="C552" s="48" t="s">
        <v>579</v>
      </c>
      <c r="D552" s="48">
        <v>0</v>
      </c>
      <c r="E552" s="48">
        <v>0</v>
      </c>
      <c r="F552" s="48">
        <v>0</v>
      </c>
      <c r="G552" s="48">
        <v>0</v>
      </c>
      <c r="H552" s="49">
        <v>1E+100</v>
      </c>
    </row>
    <row r="553" spans="2:8" x14ac:dyDescent="0.3">
      <c r="B553" s="47" t="s">
        <v>597</v>
      </c>
      <c r="C553" s="48" t="s">
        <v>579</v>
      </c>
      <c r="D553" s="48">
        <v>0</v>
      </c>
      <c r="E553" s="48">
        <v>0</v>
      </c>
      <c r="F553" s="48">
        <v>0</v>
      </c>
      <c r="G553" s="48">
        <v>0</v>
      </c>
      <c r="H553" s="49">
        <v>1E+100</v>
      </c>
    </row>
    <row r="554" spans="2:8" x14ac:dyDescent="0.3">
      <c r="B554" s="47" t="s">
        <v>598</v>
      </c>
      <c r="C554" s="48" t="s">
        <v>579</v>
      </c>
      <c r="D554" s="48">
        <v>0</v>
      </c>
      <c r="E554" s="48">
        <v>0</v>
      </c>
      <c r="F554" s="48">
        <v>0</v>
      </c>
      <c r="G554" s="48">
        <v>0</v>
      </c>
      <c r="H554" s="49">
        <v>1E+100</v>
      </c>
    </row>
    <row r="555" spans="2:8" x14ac:dyDescent="0.3">
      <c r="B555" s="47" t="s">
        <v>599</v>
      </c>
      <c r="C555" s="48" t="s">
        <v>579</v>
      </c>
      <c r="D555" s="48">
        <v>5.8461074000000002</v>
      </c>
      <c r="E555" s="48">
        <v>0</v>
      </c>
      <c r="F555" s="48">
        <v>0</v>
      </c>
      <c r="G555" s="48">
        <v>5.8461074350000004</v>
      </c>
      <c r="H555" s="49">
        <v>1E+100</v>
      </c>
    </row>
    <row r="556" spans="2:8" x14ac:dyDescent="0.3">
      <c r="B556" s="47" t="s">
        <v>600</v>
      </c>
      <c r="C556" s="48" t="s">
        <v>579</v>
      </c>
      <c r="D556" s="48">
        <v>2.7770514999999998</v>
      </c>
      <c r="E556" s="48">
        <v>0</v>
      </c>
      <c r="F556" s="48">
        <v>0</v>
      </c>
      <c r="G556" s="48">
        <v>2.7770514730000002</v>
      </c>
      <c r="H556" s="49">
        <v>1E+100</v>
      </c>
    </row>
    <row r="557" spans="2:8" x14ac:dyDescent="0.3">
      <c r="B557" s="47" t="s">
        <v>601</v>
      </c>
      <c r="C557" s="48" t="s">
        <v>579</v>
      </c>
      <c r="D557" s="48">
        <v>6</v>
      </c>
      <c r="E557" s="48">
        <v>0</v>
      </c>
      <c r="F557" s="48">
        <v>0</v>
      </c>
      <c r="G557" s="48">
        <v>6</v>
      </c>
      <c r="H557" s="49">
        <v>1E+100</v>
      </c>
    </row>
    <row r="558" spans="2:8" x14ac:dyDescent="0.3">
      <c r="B558" s="47" t="s">
        <v>602</v>
      </c>
      <c r="C558" s="48" t="s">
        <v>579</v>
      </c>
      <c r="D558" s="48">
        <v>14.157166</v>
      </c>
      <c r="E558" s="48">
        <v>0</v>
      </c>
      <c r="F558" s="48">
        <v>0</v>
      </c>
      <c r="G558" s="48">
        <v>14.157165669999999</v>
      </c>
      <c r="H558" s="49">
        <v>1E+100</v>
      </c>
    </row>
    <row r="559" spans="2:8" x14ac:dyDescent="0.3">
      <c r="B559" s="47" t="s">
        <v>603</v>
      </c>
      <c r="C559" s="48" t="s">
        <v>579</v>
      </c>
      <c r="D559" s="48">
        <v>7.4262838000000002</v>
      </c>
      <c r="E559" s="48">
        <v>0</v>
      </c>
      <c r="F559" s="48">
        <v>0</v>
      </c>
      <c r="G559" s="48">
        <v>7.426283754</v>
      </c>
      <c r="H559" s="49">
        <v>1E+100</v>
      </c>
    </row>
    <row r="560" spans="2:8" x14ac:dyDescent="0.3">
      <c r="B560" s="47" t="s">
        <v>604</v>
      </c>
      <c r="C560" s="48" t="s">
        <v>25</v>
      </c>
      <c r="D560" s="48">
        <v>-7</v>
      </c>
      <c r="E560" s="48">
        <v>0</v>
      </c>
      <c r="F560" s="48">
        <v>0</v>
      </c>
      <c r="G560" s="48">
        <v>1E+100</v>
      </c>
      <c r="H560" s="49">
        <v>7</v>
      </c>
    </row>
    <row r="561" spans="2:8" x14ac:dyDescent="0.3">
      <c r="B561" s="47" t="s">
        <v>605</v>
      </c>
      <c r="C561" s="48" t="s">
        <v>25</v>
      </c>
      <c r="D561" s="48">
        <v>-12.40246</v>
      </c>
      <c r="E561" s="48">
        <v>0</v>
      </c>
      <c r="F561" s="48">
        <v>0</v>
      </c>
      <c r="G561" s="48">
        <v>1E+100</v>
      </c>
      <c r="H561" s="49">
        <v>12.40246045</v>
      </c>
    </row>
    <row r="562" spans="2:8" x14ac:dyDescent="0.3">
      <c r="B562" s="47" t="s">
        <v>606</v>
      </c>
      <c r="C562" s="48" t="s">
        <v>25</v>
      </c>
      <c r="D562" s="48">
        <v>-18.452850000000002</v>
      </c>
      <c r="E562" s="48">
        <v>0</v>
      </c>
      <c r="F562" s="48">
        <v>0</v>
      </c>
      <c r="G562" s="48">
        <v>1E+100</v>
      </c>
      <c r="H562" s="49">
        <v>18.452850300000001</v>
      </c>
    </row>
    <row r="563" spans="2:8" x14ac:dyDescent="0.3">
      <c r="B563" s="47" t="s">
        <v>607</v>
      </c>
      <c r="C563" s="48" t="s">
        <v>25</v>
      </c>
      <c r="D563" s="48">
        <v>0</v>
      </c>
      <c r="E563" s="48">
        <v>0</v>
      </c>
      <c r="F563" s="48">
        <v>0</v>
      </c>
      <c r="G563" s="48">
        <v>1E+100</v>
      </c>
      <c r="H563" s="49">
        <v>0</v>
      </c>
    </row>
    <row r="564" spans="2:8" x14ac:dyDescent="0.3">
      <c r="B564" s="47" t="s">
        <v>608</v>
      </c>
      <c r="C564" s="48" t="s">
        <v>25</v>
      </c>
      <c r="D564" s="48">
        <v>-8.7162418000000006</v>
      </c>
      <c r="E564" s="48">
        <v>0</v>
      </c>
      <c r="F564" s="48">
        <v>0</v>
      </c>
      <c r="G564" s="48">
        <v>1E+100</v>
      </c>
      <c r="H564" s="49">
        <v>8.7162417669999996</v>
      </c>
    </row>
    <row r="565" spans="2:8" x14ac:dyDescent="0.3">
      <c r="B565" s="47" t="s">
        <v>609</v>
      </c>
      <c r="C565" s="48" t="s">
        <v>25</v>
      </c>
      <c r="D565" s="48">
        <v>0</v>
      </c>
      <c r="E565" s="48">
        <v>0</v>
      </c>
      <c r="F565" s="48">
        <v>0</v>
      </c>
      <c r="G565" s="48">
        <v>1E+100</v>
      </c>
      <c r="H565" s="49">
        <v>0</v>
      </c>
    </row>
    <row r="566" spans="2:8" x14ac:dyDescent="0.3">
      <c r="B566" s="47" t="s">
        <v>610</v>
      </c>
      <c r="C566" s="48" t="s">
        <v>25</v>
      </c>
      <c r="D566" s="48">
        <v>0</v>
      </c>
      <c r="E566" s="48">
        <v>0</v>
      </c>
      <c r="F566" s="48">
        <v>0</v>
      </c>
      <c r="G566" s="48">
        <v>1E+100</v>
      </c>
      <c r="H566" s="49">
        <v>0</v>
      </c>
    </row>
    <row r="567" spans="2:8" x14ac:dyDescent="0.3">
      <c r="B567" s="47" t="s">
        <v>611</v>
      </c>
      <c r="C567" s="48" t="s">
        <v>25</v>
      </c>
      <c r="D567" s="48">
        <v>-13.45285</v>
      </c>
      <c r="E567" s="48">
        <v>0</v>
      </c>
      <c r="F567" s="48">
        <v>0</v>
      </c>
      <c r="G567" s="48">
        <v>1E+100</v>
      </c>
      <c r="H567" s="49">
        <v>13.4528503</v>
      </c>
    </row>
    <row r="568" spans="2:8" x14ac:dyDescent="0.3">
      <c r="B568" s="47" t="s">
        <v>612</v>
      </c>
      <c r="C568" s="48" t="s">
        <v>25</v>
      </c>
      <c r="D568" s="48">
        <v>-1.9057006000000001</v>
      </c>
      <c r="E568" s="48">
        <v>0</v>
      </c>
      <c r="F568" s="48">
        <v>0</v>
      </c>
      <c r="G568" s="48">
        <v>1E+100</v>
      </c>
      <c r="H568" s="49">
        <v>1.9057006009999999</v>
      </c>
    </row>
    <row r="569" spans="2:8" x14ac:dyDescent="0.3">
      <c r="B569" s="47" t="s">
        <v>613</v>
      </c>
      <c r="C569" s="48" t="s">
        <v>25</v>
      </c>
      <c r="D569" s="48">
        <v>-1.9057006000000001</v>
      </c>
      <c r="E569" s="48">
        <v>0</v>
      </c>
      <c r="F569" s="48">
        <v>0</v>
      </c>
      <c r="G569" s="48">
        <v>1E+100</v>
      </c>
      <c r="H569" s="49">
        <v>1.9057006009999999</v>
      </c>
    </row>
    <row r="570" spans="2:8" x14ac:dyDescent="0.3">
      <c r="B570" s="47" t="s">
        <v>614</v>
      </c>
      <c r="C570" s="48" t="s">
        <v>25</v>
      </c>
      <c r="D570" s="48">
        <v>0</v>
      </c>
      <c r="E570" s="48">
        <v>0</v>
      </c>
      <c r="F570" s="48">
        <v>0</v>
      </c>
      <c r="G570" s="48">
        <v>1E+100</v>
      </c>
      <c r="H570" s="49">
        <v>0</v>
      </c>
    </row>
    <row r="571" spans="2:8" x14ac:dyDescent="0.3">
      <c r="B571" s="47" t="s">
        <v>615</v>
      </c>
      <c r="C571" s="48" t="s">
        <v>25</v>
      </c>
      <c r="D571" s="48">
        <v>-6.8428342999999998</v>
      </c>
      <c r="E571" s="48">
        <v>0</v>
      </c>
      <c r="F571" s="48">
        <v>0</v>
      </c>
      <c r="G571" s="48">
        <v>1E+100</v>
      </c>
      <c r="H571" s="49">
        <v>6.842834335</v>
      </c>
    </row>
    <row r="572" spans="2:8" x14ac:dyDescent="0.3">
      <c r="B572" s="47" t="s">
        <v>616</v>
      </c>
      <c r="C572" s="48" t="s">
        <v>25</v>
      </c>
      <c r="D572" s="48">
        <v>0</v>
      </c>
      <c r="E572" s="48">
        <v>0</v>
      </c>
      <c r="F572" s="48">
        <v>0</v>
      </c>
      <c r="G572" s="48">
        <v>1E+100</v>
      </c>
      <c r="H572" s="49">
        <v>0</v>
      </c>
    </row>
    <row r="573" spans="2:8" x14ac:dyDescent="0.3">
      <c r="B573" s="47" t="s">
        <v>617</v>
      </c>
      <c r="C573" s="48" t="s">
        <v>25</v>
      </c>
      <c r="D573" s="48">
        <v>-5.9371337000000004</v>
      </c>
      <c r="E573" s="48">
        <v>0</v>
      </c>
      <c r="F573" s="48">
        <v>0</v>
      </c>
      <c r="G573" s="48">
        <v>1E+100</v>
      </c>
      <c r="H573" s="49">
        <v>5.9371337339999997</v>
      </c>
    </row>
    <row r="574" spans="2:8" x14ac:dyDescent="0.3">
      <c r="B574" s="47" t="s">
        <v>618</v>
      </c>
      <c r="C574" s="48" t="s">
        <v>25</v>
      </c>
      <c r="D574" s="48">
        <v>-9.9057005999999994</v>
      </c>
      <c r="E574" s="48">
        <v>0</v>
      </c>
      <c r="F574" s="48">
        <v>0</v>
      </c>
      <c r="G574" s="48">
        <v>1E+100</v>
      </c>
      <c r="H574" s="49">
        <v>9.9057006009999995</v>
      </c>
    </row>
    <row r="575" spans="2:8" x14ac:dyDescent="0.3">
      <c r="B575" s="47" t="s">
        <v>619</v>
      </c>
      <c r="C575" s="48" t="s">
        <v>25</v>
      </c>
      <c r="D575" s="48">
        <v>0</v>
      </c>
      <c r="E575" s="48">
        <v>0</v>
      </c>
      <c r="F575" s="48">
        <v>0</v>
      </c>
      <c r="G575" s="48">
        <v>1E+100</v>
      </c>
      <c r="H575" s="49">
        <v>0</v>
      </c>
    </row>
    <row r="576" spans="2:8" x14ac:dyDescent="0.3">
      <c r="B576" s="47" t="s">
        <v>620</v>
      </c>
      <c r="C576" s="48" t="s">
        <v>25</v>
      </c>
      <c r="D576" s="48">
        <v>0</v>
      </c>
      <c r="E576" s="48">
        <v>0</v>
      </c>
      <c r="F576" s="48">
        <v>0</v>
      </c>
      <c r="G576" s="48">
        <v>1E+100</v>
      </c>
      <c r="H576" s="49">
        <v>0</v>
      </c>
    </row>
    <row r="577" spans="2:8" x14ac:dyDescent="0.3">
      <c r="B577" s="47" t="s">
        <v>621</v>
      </c>
      <c r="C577" s="48" t="s">
        <v>25</v>
      </c>
      <c r="D577" s="48">
        <v>0</v>
      </c>
      <c r="E577" s="48">
        <v>0</v>
      </c>
      <c r="F577" s="48">
        <v>0</v>
      </c>
      <c r="G577" s="48">
        <v>1E+100</v>
      </c>
      <c r="H577" s="49">
        <v>0</v>
      </c>
    </row>
    <row r="578" spans="2:8" x14ac:dyDescent="0.3">
      <c r="B578" s="47" t="s">
        <v>622</v>
      </c>
      <c r="C578" s="48" t="s">
        <v>25</v>
      </c>
      <c r="D578" s="48">
        <v>0</v>
      </c>
      <c r="E578" s="48">
        <v>0</v>
      </c>
      <c r="F578" s="48">
        <v>0</v>
      </c>
      <c r="G578" s="48">
        <v>1E+100</v>
      </c>
      <c r="H578" s="49">
        <v>0</v>
      </c>
    </row>
    <row r="579" spans="2:8" x14ac:dyDescent="0.3">
      <c r="B579" s="47" t="s">
        <v>623</v>
      </c>
      <c r="C579" s="48" t="s">
        <v>25</v>
      </c>
      <c r="D579" s="48">
        <v>0</v>
      </c>
      <c r="E579" s="48">
        <v>0</v>
      </c>
      <c r="F579" s="48">
        <v>0</v>
      </c>
      <c r="G579" s="48">
        <v>1E+100</v>
      </c>
      <c r="H579" s="49">
        <v>0</v>
      </c>
    </row>
    <row r="580" spans="2:8" x14ac:dyDescent="0.3">
      <c r="B580" s="47" t="s">
        <v>624</v>
      </c>
      <c r="C580" s="48" t="s">
        <v>25</v>
      </c>
      <c r="D580" s="48">
        <v>-16.153893</v>
      </c>
      <c r="E580" s="48">
        <v>0</v>
      </c>
      <c r="F580" s="48">
        <v>0</v>
      </c>
      <c r="G580" s="48">
        <v>1E+100</v>
      </c>
      <c r="H580" s="49">
        <v>16.153892559999999</v>
      </c>
    </row>
    <row r="581" spans="2:8" x14ac:dyDescent="0.3">
      <c r="B581" s="47" t="s">
        <v>625</v>
      </c>
      <c r="C581" s="48" t="s">
        <v>25</v>
      </c>
      <c r="D581" s="48">
        <v>-11.302867000000001</v>
      </c>
      <c r="E581" s="48">
        <v>0</v>
      </c>
      <c r="F581" s="48">
        <v>0</v>
      </c>
      <c r="G581" s="48">
        <v>1E+100</v>
      </c>
      <c r="H581" s="49">
        <v>11.30286671</v>
      </c>
    </row>
    <row r="582" spans="2:8" x14ac:dyDescent="0.3">
      <c r="B582" s="47" t="s">
        <v>626</v>
      </c>
      <c r="C582" s="48" t="s">
        <v>25</v>
      </c>
      <c r="D582" s="48">
        <v>-5</v>
      </c>
      <c r="E582" s="48">
        <v>0</v>
      </c>
      <c r="F582" s="48">
        <v>0</v>
      </c>
      <c r="G582" s="48">
        <v>1E+100</v>
      </c>
      <c r="H582" s="49">
        <v>5</v>
      </c>
    </row>
    <row r="583" spans="2:8" x14ac:dyDescent="0.3">
      <c r="B583" s="47" t="s">
        <v>627</v>
      </c>
      <c r="C583" s="48" t="s">
        <v>25</v>
      </c>
      <c r="D583" s="48">
        <v>-0.84283432999999996</v>
      </c>
      <c r="E583" s="48">
        <v>0</v>
      </c>
      <c r="F583" s="48">
        <v>0</v>
      </c>
      <c r="G583" s="48">
        <v>1E+100</v>
      </c>
      <c r="H583" s="49">
        <v>0.84283433490000004</v>
      </c>
    </row>
    <row r="584" spans="2:8" x14ac:dyDescent="0.3">
      <c r="B584" s="47" t="s">
        <v>628</v>
      </c>
      <c r="C584" s="48" t="s">
        <v>25</v>
      </c>
      <c r="D584" s="48">
        <v>-4.5737161999999998</v>
      </c>
      <c r="E584" s="48">
        <v>0</v>
      </c>
      <c r="F584" s="48">
        <v>0</v>
      </c>
      <c r="G584" s="48">
        <v>1E+100</v>
      </c>
      <c r="H584" s="49">
        <v>4.573716246</v>
      </c>
    </row>
    <row r="585" spans="2:8" x14ac:dyDescent="0.3">
      <c r="B585" s="47" t="s">
        <v>629</v>
      </c>
      <c r="C585" s="48" t="s">
        <v>630</v>
      </c>
      <c r="D585" s="48">
        <v>50</v>
      </c>
      <c r="E585" s="48">
        <v>2.8198875000000001</v>
      </c>
      <c r="F585" s="48">
        <v>50</v>
      </c>
      <c r="G585" s="48">
        <v>1.5378033019999999</v>
      </c>
      <c r="H585" s="49">
        <v>18.1244288</v>
      </c>
    </row>
    <row r="586" spans="2:8" x14ac:dyDescent="0.3">
      <c r="B586" s="47" t="s">
        <v>631</v>
      </c>
      <c r="C586" s="48" t="s">
        <v>630</v>
      </c>
      <c r="D586" s="48">
        <v>65</v>
      </c>
      <c r="E586" s="48">
        <v>9.9338330999999993</v>
      </c>
      <c r="F586" s="48">
        <v>65</v>
      </c>
      <c r="G586" s="48">
        <v>1.5378033019999999</v>
      </c>
      <c r="H586" s="49">
        <v>21.077602379999998</v>
      </c>
    </row>
    <row r="587" spans="2:8" x14ac:dyDescent="0.3">
      <c r="B587" s="47" t="s">
        <v>632</v>
      </c>
      <c r="C587" s="48" t="s">
        <v>630</v>
      </c>
      <c r="D587" s="48">
        <v>80</v>
      </c>
      <c r="E587" s="48">
        <v>27.594147</v>
      </c>
      <c r="F587" s="48">
        <v>80</v>
      </c>
      <c r="G587" s="48">
        <v>1.5378033019999999</v>
      </c>
      <c r="H587" s="49">
        <v>21.077602379999998</v>
      </c>
    </row>
    <row r="588" spans="2:8" x14ac:dyDescent="0.3">
      <c r="B588" s="47" t="s">
        <v>633</v>
      </c>
      <c r="C588" s="48" t="s">
        <v>630</v>
      </c>
      <c r="D588" s="48">
        <v>95</v>
      </c>
      <c r="E588" s="48">
        <v>9.9338330999999993</v>
      </c>
      <c r="F588" s="48">
        <v>95</v>
      </c>
      <c r="G588" s="48">
        <v>1.5378033019999999</v>
      </c>
      <c r="H588" s="49">
        <v>21.077602379999998</v>
      </c>
    </row>
    <row r="589" spans="2:8" x14ac:dyDescent="0.3">
      <c r="B589" s="47" t="s">
        <v>634</v>
      </c>
      <c r="C589" s="48" t="s">
        <v>630</v>
      </c>
      <c r="D589" s="48">
        <v>110</v>
      </c>
      <c r="E589" s="48">
        <v>2.8198875000000001</v>
      </c>
      <c r="F589" s="48">
        <v>110</v>
      </c>
      <c r="G589" s="48">
        <v>1.5378033019999999</v>
      </c>
      <c r="H589" s="49">
        <v>23.532847</v>
      </c>
    </row>
    <row r="590" spans="2:8" x14ac:dyDescent="0.3">
      <c r="B590" s="47" t="s">
        <v>635</v>
      </c>
      <c r="C590" s="48" t="s">
        <v>21</v>
      </c>
      <c r="D590" s="48">
        <v>0</v>
      </c>
      <c r="E590" s="48">
        <v>-218.54759000000001</v>
      </c>
      <c r="F590" s="48">
        <v>0</v>
      </c>
      <c r="G590" s="48">
        <v>0.1014571811</v>
      </c>
      <c r="H590" s="49">
        <v>0</v>
      </c>
    </row>
    <row r="591" spans="2:8" x14ac:dyDescent="0.3">
      <c r="B591" s="47" t="s">
        <v>636</v>
      </c>
      <c r="C591" s="48" t="s">
        <v>21</v>
      </c>
      <c r="D591" s="48">
        <v>0</v>
      </c>
      <c r="E591" s="48">
        <v>101.58046</v>
      </c>
      <c r="F591" s="48">
        <v>0</v>
      </c>
      <c r="G591" s="48">
        <v>0</v>
      </c>
      <c r="H591" s="49">
        <v>0</v>
      </c>
    </row>
    <row r="592" spans="2:8" x14ac:dyDescent="0.3">
      <c r="B592" s="47" t="s">
        <v>637</v>
      </c>
      <c r="C592" s="48" t="s">
        <v>21</v>
      </c>
      <c r="D592" s="48">
        <v>0</v>
      </c>
      <c r="E592" s="48">
        <v>98.175905</v>
      </c>
      <c r="F592" s="48">
        <v>0</v>
      </c>
      <c r="G592" s="48">
        <v>0</v>
      </c>
      <c r="H592" s="49">
        <v>5.6365100629999998E-2</v>
      </c>
    </row>
    <row r="593" spans="2:8" x14ac:dyDescent="0.3">
      <c r="B593" s="47" t="s">
        <v>638</v>
      </c>
      <c r="C593" s="48" t="s">
        <v>21</v>
      </c>
      <c r="D593" s="48">
        <v>0</v>
      </c>
      <c r="E593" s="48">
        <v>0</v>
      </c>
      <c r="F593" s="48">
        <v>0</v>
      </c>
      <c r="G593" s="48">
        <v>0</v>
      </c>
      <c r="H593" s="49">
        <v>0</v>
      </c>
    </row>
    <row r="594" spans="2:8" x14ac:dyDescent="0.3">
      <c r="B594" s="47" t="s">
        <v>639</v>
      </c>
      <c r="C594" s="48" t="s">
        <v>21</v>
      </c>
      <c r="D594" s="48">
        <v>1</v>
      </c>
      <c r="E594" s="48">
        <v>0</v>
      </c>
      <c r="F594" s="48">
        <v>1</v>
      </c>
      <c r="G594" s="48">
        <v>0</v>
      </c>
      <c r="H594" s="49">
        <v>0.37459303890000001</v>
      </c>
    </row>
    <row r="595" spans="2:8" x14ac:dyDescent="0.3">
      <c r="B595" s="47" t="s">
        <v>640</v>
      </c>
      <c r="C595" s="48" t="s">
        <v>21</v>
      </c>
      <c r="D595" s="48">
        <v>9.1710274999999994E-2</v>
      </c>
      <c r="E595" s="48">
        <v>0</v>
      </c>
      <c r="F595" s="48">
        <v>1</v>
      </c>
      <c r="G595" s="48">
        <v>1E+100</v>
      </c>
      <c r="H595" s="49">
        <v>0.90828972490000004</v>
      </c>
    </row>
    <row r="596" spans="2:8" x14ac:dyDescent="0.3">
      <c r="B596" s="47" t="s">
        <v>641</v>
      </c>
      <c r="C596" s="48" t="s">
        <v>21</v>
      </c>
      <c r="D596" s="48">
        <v>0.90828971999999997</v>
      </c>
      <c r="E596" s="48">
        <v>0</v>
      </c>
      <c r="F596" s="48">
        <v>1</v>
      </c>
      <c r="G596" s="48">
        <v>1E+100</v>
      </c>
      <c r="H596" s="49">
        <v>9.1710275120000004E-2</v>
      </c>
    </row>
    <row r="597" spans="2:8" x14ac:dyDescent="0.3">
      <c r="B597" s="47" t="s">
        <v>642</v>
      </c>
      <c r="C597" s="48" t="s">
        <v>21</v>
      </c>
      <c r="D597" s="48">
        <v>0</v>
      </c>
      <c r="E597" s="48">
        <v>0</v>
      </c>
      <c r="F597" s="48">
        <v>1</v>
      </c>
      <c r="G597" s="48">
        <v>1E+100</v>
      </c>
      <c r="H597" s="49">
        <v>1</v>
      </c>
    </row>
    <row r="598" spans="2:8" x14ac:dyDescent="0.3">
      <c r="B598" s="47" t="s">
        <v>643</v>
      </c>
      <c r="C598" s="48" t="s">
        <v>21</v>
      </c>
      <c r="D598" s="48">
        <v>0</v>
      </c>
      <c r="E598" s="48">
        <v>0</v>
      </c>
      <c r="F598" s="48">
        <v>1</v>
      </c>
      <c r="G598" s="48">
        <v>1E+100</v>
      </c>
      <c r="H598" s="49">
        <v>1</v>
      </c>
    </row>
    <row r="599" spans="2:8" x14ac:dyDescent="0.3">
      <c r="B599" s="47" t="s">
        <v>644</v>
      </c>
      <c r="C599" s="48" t="s">
        <v>21</v>
      </c>
      <c r="D599" s="48">
        <v>0</v>
      </c>
      <c r="E599" s="48">
        <v>0</v>
      </c>
      <c r="F599" s="48">
        <v>1</v>
      </c>
      <c r="G599" s="48">
        <v>1E+100</v>
      </c>
      <c r="H599" s="49">
        <v>1</v>
      </c>
    </row>
    <row r="600" spans="2:8" x14ac:dyDescent="0.3">
      <c r="B600" s="47" t="s">
        <v>645</v>
      </c>
      <c r="C600" s="48" t="s">
        <v>21</v>
      </c>
      <c r="D600" s="48">
        <v>1</v>
      </c>
      <c r="E600" s="48">
        <v>0</v>
      </c>
      <c r="F600" s="48">
        <v>1</v>
      </c>
      <c r="G600" s="48">
        <v>0</v>
      </c>
      <c r="H600" s="49">
        <v>1</v>
      </c>
    </row>
    <row r="601" spans="2:8" x14ac:dyDescent="0.3">
      <c r="B601" s="47" t="s">
        <v>646</v>
      </c>
      <c r="C601" s="48" t="s">
        <v>21</v>
      </c>
      <c r="D601" s="48">
        <v>0</v>
      </c>
      <c r="E601" s="48">
        <v>0</v>
      </c>
      <c r="F601" s="48">
        <v>1</v>
      </c>
      <c r="G601" s="48">
        <v>1E+100</v>
      </c>
      <c r="H601" s="49">
        <v>1</v>
      </c>
    </row>
    <row r="602" spans="2:8" x14ac:dyDescent="0.3">
      <c r="B602" s="47" t="s">
        <v>647</v>
      </c>
      <c r="C602" s="48" t="s">
        <v>21</v>
      </c>
      <c r="D602" s="48">
        <v>0</v>
      </c>
      <c r="E602" s="48">
        <v>0</v>
      </c>
      <c r="F602" s="48">
        <v>1</v>
      </c>
      <c r="G602" s="48">
        <v>1E+100</v>
      </c>
      <c r="H602" s="49">
        <v>1</v>
      </c>
    </row>
    <row r="603" spans="2:8" x14ac:dyDescent="0.3">
      <c r="B603" s="47" t="s">
        <v>648</v>
      </c>
      <c r="C603" s="48" t="s">
        <v>21</v>
      </c>
      <c r="D603" s="48">
        <v>1</v>
      </c>
      <c r="E603" s="48">
        <v>0</v>
      </c>
      <c r="F603" s="48">
        <v>1</v>
      </c>
      <c r="G603" s="48">
        <v>0</v>
      </c>
      <c r="H603" s="49">
        <v>1</v>
      </c>
    </row>
    <row r="604" spans="2:8" x14ac:dyDescent="0.3">
      <c r="B604" s="47" t="s">
        <v>649</v>
      </c>
      <c r="C604" s="48" t="s">
        <v>21</v>
      </c>
      <c r="D604" s="48">
        <v>0</v>
      </c>
      <c r="E604" s="48">
        <v>0</v>
      </c>
      <c r="F604" s="48">
        <v>1</v>
      </c>
      <c r="G604" s="48">
        <v>1E+100</v>
      </c>
      <c r="H604" s="49">
        <v>1</v>
      </c>
    </row>
    <row r="605" spans="2:8" x14ac:dyDescent="0.3">
      <c r="B605" s="47" t="s">
        <v>650</v>
      </c>
      <c r="C605" s="48" t="s">
        <v>21</v>
      </c>
      <c r="D605" s="48">
        <v>0</v>
      </c>
      <c r="E605" s="48">
        <v>0</v>
      </c>
      <c r="F605" s="48">
        <v>1</v>
      </c>
      <c r="G605" s="48">
        <v>1E+100</v>
      </c>
      <c r="H605" s="49">
        <v>1</v>
      </c>
    </row>
    <row r="606" spans="2:8" x14ac:dyDescent="0.3">
      <c r="B606" s="47" t="s">
        <v>651</v>
      </c>
      <c r="C606" s="48" t="s">
        <v>21</v>
      </c>
      <c r="D606" s="48">
        <v>0</v>
      </c>
      <c r="E606" s="48">
        <v>0</v>
      </c>
      <c r="F606" s="48">
        <v>1</v>
      </c>
      <c r="G606" s="48">
        <v>1E+100</v>
      </c>
      <c r="H606" s="49">
        <v>1</v>
      </c>
    </row>
    <row r="607" spans="2:8" x14ac:dyDescent="0.3">
      <c r="B607" s="47" t="s">
        <v>652</v>
      </c>
      <c r="C607" s="48" t="s">
        <v>21</v>
      </c>
      <c r="D607" s="48">
        <v>0</v>
      </c>
      <c r="E607" s="48">
        <v>0</v>
      </c>
      <c r="F607" s="48">
        <v>1</v>
      </c>
      <c r="G607" s="48">
        <v>1E+100</v>
      </c>
      <c r="H607" s="49">
        <v>1</v>
      </c>
    </row>
    <row r="608" spans="2:8" x14ac:dyDescent="0.3">
      <c r="B608" s="47" t="s">
        <v>653</v>
      </c>
      <c r="C608" s="48" t="s">
        <v>21</v>
      </c>
      <c r="D608" s="48">
        <v>0</v>
      </c>
      <c r="E608" s="48">
        <v>0</v>
      </c>
      <c r="F608" s="48">
        <v>1</v>
      </c>
      <c r="G608" s="48">
        <v>1E+100</v>
      </c>
      <c r="H608" s="49">
        <v>1</v>
      </c>
    </row>
    <row r="609" spans="2:8" x14ac:dyDescent="0.3">
      <c r="B609" s="47" t="s">
        <v>654</v>
      </c>
      <c r="C609" s="48" t="s">
        <v>655</v>
      </c>
      <c r="D609" s="48">
        <v>0</v>
      </c>
      <c r="E609" s="48">
        <v>0</v>
      </c>
      <c r="F609" s="48">
        <v>1</v>
      </c>
      <c r="G609" s="48">
        <v>1E+100</v>
      </c>
      <c r="H609" s="49">
        <v>1</v>
      </c>
    </row>
    <row r="610" spans="2:8" x14ac:dyDescent="0.3">
      <c r="B610" s="47" t="s">
        <v>656</v>
      </c>
      <c r="C610" s="48" t="s">
        <v>657</v>
      </c>
      <c r="D610" s="48">
        <v>0</v>
      </c>
      <c r="E610" s="48">
        <v>0</v>
      </c>
      <c r="F610" s="48">
        <v>1</v>
      </c>
      <c r="G610" s="48">
        <v>1E+100</v>
      </c>
      <c r="H610" s="49">
        <v>1</v>
      </c>
    </row>
    <row r="611" spans="2:8" x14ac:dyDescent="0.3">
      <c r="B611" s="47" t="s">
        <v>658</v>
      </c>
      <c r="C611" s="48" t="s">
        <v>21</v>
      </c>
      <c r="D611" s="48">
        <v>0</v>
      </c>
      <c r="E611" s="48">
        <v>0</v>
      </c>
      <c r="F611" s="48">
        <v>1</v>
      </c>
      <c r="G611" s="48">
        <v>1E+100</v>
      </c>
      <c r="H611" s="49">
        <v>1</v>
      </c>
    </row>
    <row r="612" spans="2:8" x14ac:dyDescent="0.3">
      <c r="B612" s="47" t="s">
        <v>659</v>
      </c>
      <c r="C612" s="48" t="s">
        <v>21</v>
      </c>
      <c r="D612" s="48">
        <v>0</v>
      </c>
      <c r="E612" s="48">
        <v>0</v>
      </c>
      <c r="F612" s="48">
        <v>1</v>
      </c>
      <c r="G612" s="48">
        <v>1E+100</v>
      </c>
      <c r="H612" s="49">
        <v>1</v>
      </c>
    </row>
    <row r="613" spans="2:8" x14ac:dyDescent="0.3">
      <c r="B613" s="47" t="s">
        <v>660</v>
      </c>
      <c r="C613" s="48" t="s">
        <v>21</v>
      </c>
      <c r="D613" s="48">
        <v>0</v>
      </c>
      <c r="E613" s="48">
        <v>0</v>
      </c>
      <c r="F613" s="48">
        <v>1</v>
      </c>
      <c r="G613" s="48">
        <v>1E+100</v>
      </c>
      <c r="H613" s="49">
        <v>1</v>
      </c>
    </row>
    <row r="614" spans="2:8" x14ac:dyDescent="0.3">
      <c r="B614" s="47" t="s">
        <v>661</v>
      </c>
      <c r="C614" s="48" t="s">
        <v>655</v>
      </c>
      <c r="D614" s="48">
        <v>0</v>
      </c>
      <c r="E614" s="48">
        <v>0</v>
      </c>
      <c r="F614" s="48">
        <v>1</v>
      </c>
      <c r="G614" s="48">
        <v>1E+100</v>
      </c>
      <c r="H614" s="49">
        <v>1</v>
      </c>
    </row>
    <row r="615" spans="2:8" x14ac:dyDescent="0.3">
      <c r="B615" s="47" t="s">
        <v>662</v>
      </c>
      <c r="C615" s="48" t="s">
        <v>657</v>
      </c>
      <c r="D615" s="48">
        <v>0</v>
      </c>
      <c r="E615" s="48">
        <v>0</v>
      </c>
      <c r="F615" s="48">
        <v>1</v>
      </c>
      <c r="G615" s="48">
        <v>1E+100</v>
      </c>
      <c r="H615" s="49">
        <v>1</v>
      </c>
    </row>
    <row r="616" spans="2:8" x14ac:dyDescent="0.3">
      <c r="B616" s="47" t="s">
        <v>663</v>
      </c>
      <c r="C616" s="48" t="s">
        <v>21</v>
      </c>
      <c r="D616" s="48">
        <v>0</v>
      </c>
      <c r="E616" s="48">
        <v>0</v>
      </c>
      <c r="F616" s="48">
        <v>1</v>
      </c>
      <c r="G616" s="48">
        <v>1E+100</v>
      </c>
      <c r="H616" s="49">
        <v>1</v>
      </c>
    </row>
    <row r="617" spans="2:8" x14ac:dyDescent="0.3">
      <c r="B617" s="47" t="s">
        <v>664</v>
      </c>
      <c r="C617" s="48" t="s">
        <v>21</v>
      </c>
      <c r="D617" s="48">
        <v>0</v>
      </c>
      <c r="E617" s="48">
        <v>0</v>
      </c>
      <c r="F617" s="48">
        <v>1</v>
      </c>
      <c r="G617" s="48">
        <v>1E+100</v>
      </c>
      <c r="H617" s="49">
        <v>1</v>
      </c>
    </row>
    <row r="618" spans="2:8" x14ac:dyDescent="0.3">
      <c r="B618" s="47" t="s">
        <v>665</v>
      </c>
      <c r="C618" s="48" t="s">
        <v>21</v>
      </c>
      <c r="D618" s="48">
        <v>0</v>
      </c>
      <c r="E618" s="48">
        <v>0</v>
      </c>
      <c r="F618" s="48">
        <v>1</v>
      </c>
      <c r="G618" s="48">
        <v>1E+100</v>
      </c>
      <c r="H618" s="49">
        <v>1</v>
      </c>
    </row>
    <row r="619" spans="2:8" x14ac:dyDescent="0.3">
      <c r="B619" s="47" t="s">
        <v>666</v>
      </c>
      <c r="C619" s="48" t="s">
        <v>655</v>
      </c>
      <c r="D619" s="48">
        <v>0</v>
      </c>
      <c r="E619" s="48">
        <v>0</v>
      </c>
      <c r="F619" s="48">
        <v>1</v>
      </c>
      <c r="G619" s="48">
        <v>1E+100</v>
      </c>
      <c r="H619" s="49">
        <v>1</v>
      </c>
    </row>
    <row r="620" spans="2:8" x14ac:dyDescent="0.3">
      <c r="B620" s="47" t="s">
        <v>667</v>
      </c>
      <c r="C620" s="48" t="s">
        <v>657</v>
      </c>
      <c r="D620" s="48">
        <v>0</v>
      </c>
      <c r="E620" s="48">
        <v>0</v>
      </c>
      <c r="F620" s="48">
        <v>1</v>
      </c>
      <c r="G620" s="48">
        <v>1E+100</v>
      </c>
      <c r="H620" s="49">
        <v>1</v>
      </c>
    </row>
    <row r="621" spans="2:8" x14ac:dyDescent="0.3">
      <c r="B621" s="47" t="s">
        <v>668</v>
      </c>
      <c r="C621" s="48" t="s">
        <v>21</v>
      </c>
      <c r="D621" s="48">
        <v>0</v>
      </c>
      <c r="E621" s="48">
        <v>0</v>
      </c>
      <c r="F621" s="48">
        <v>1</v>
      </c>
      <c r="G621" s="48">
        <v>1E+100</v>
      </c>
      <c r="H621" s="49">
        <v>1</v>
      </c>
    </row>
    <row r="622" spans="2:8" x14ac:dyDescent="0.3">
      <c r="B622" s="47" t="s">
        <v>669</v>
      </c>
      <c r="C622" s="48" t="s">
        <v>21</v>
      </c>
      <c r="D622" s="48">
        <v>0</v>
      </c>
      <c r="E622" s="48">
        <v>0</v>
      </c>
      <c r="F622" s="48">
        <v>1</v>
      </c>
      <c r="G622" s="48">
        <v>1E+100</v>
      </c>
      <c r="H622" s="49">
        <v>1</v>
      </c>
    </row>
    <row r="623" spans="2:8" x14ac:dyDescent="0.3">
      <c r="B623" s="47" t="s">
        <v>670</v>
      </c>
      <c r="C623" s="48" t="s">
        <v>21</v>
      </c>
      <c r="D623" s="48">
        <v>0</v>
      </c>
      <c r="E623" s="48">
        <v>0</v>
      </c>
      <c r="F623" s="48">
        <v>1</v>
      </c>
      <c r="G623" s="48">
        <v>1E+100</v>
      </c>
      <c r="H623" s="49">
        <v>1</v>
      </c>
    </row>
    <row r="624" spans="2:8" x14ac:dyDescent="0.3">
      <c r="B624" s="47" t="s">
        <v>671</v>
      </c>
      <c r="C624" s="48" t="s">
        <v>655</v>
      </c>
      <c r="D624" s="48">
        <v>0</v>
      </c>
      <c r="E624" s="48">
        <v>0</v>
      </c>
      <c r="F624" s="48">
        <v>1</v>
      </c>
      <c r="G624" s="48">
        <v>1E+100</v>
      </c>
      <c r="H624" s="49">
        <v>1</v>
      </c>
    </row>
    <row r="625" spans="2:8" x14ac:dyDescent="0.3">
      <c r="B625" s="47" t="s">
        <v>672</v>
      </c>
      <c r="C625" s="48" t="s">
        <v>657</v>
      </c>
      <c r="D625" s="48">
        <v>0</v>
      </c>
      <c r="E625" s="48">
        <v>0</v>
      </c>
      <c r="F625" s="48">
        <v>1</v>
      </c>
      <c r="G625" s="48">
        <v>1E+100</v>
      </c>
      <c r="H625" s="49">
        <v>1</v>
      </c>
    </row>
    <row r="626" spans="2:8" x14ac:dyDescent="0.3">
      <c r="B626" s="47" t="s">
        <v>673</v>
      </c>
      <c r="C626" s="48" t="s">
        <v>21</v>
      </c>
      <c r="D626" s="48">
        <v>0</v>
      </c>
      <c r="E626" s="48">
        <v>0</v>
      </c>
      <c r="F626" s="48">
        <v>1</v>
      </c>
      <c r="G626" s="48">
        <v>1E+100</v>
      </c>
      <c r="H626" s="49">
        <v>1</v>
      </c>
    </row>
    <row r="627" spans="2:8" x14ac:dyDescent="0.3">
      <c r="B627" s="47" t="s">
        <v>674</v>
      </c>
      <c r="C627" s="48" t="s">
        <v>21</v>
      </c>
      <c r="D627" s="48">
        <v>0</v>
      </c>
      <c r="E627" s="48">
        <v>0</v>
      </c>
      <c r="F627" s="48">
        <v>1</v>
      </c>
      <c r="G627" s="48">
        <v>1E+100</v>
      </c>
      <c r="H627" s="49">
        <v>1</v>
      </c>
    </row>
    <row r="628" spans="2:8" x14ac:dyDescent="0.3">
      <c r="B628" s="47" t="s">
        <v>675</v>
      </c>
      <c r="C628" s="48" t="s">
        <v>21</v>
      </c>
      <c r="D628" s="48">
        <v>0</v>
      </c>
      <c r="E628" s="48">
        <v>0</v>
      </c>
      <c r="F628" s="48">
        <v>1</v>
      </c>
      <c r="G628" s="48">
        <v>1E+100</v>
      </c>
      <c r="H628" s="49">
        <v>1</v>
      </c>
    </row>
    <row r="629" spans="2:8" x14ac:dyDescent="0.3">
      <c r="B629" s="47" t="s">
        <v>676</v>
      </c>
      <c r="C629" s="48" t="s">
        <v>655</v>
      </c>
      <c r="D629" s="48">
        <v>0</v>
      </c>
      <c r="E629" s="48">
        <v>0</v>
      </c>
      <c r="F629" s="48">
        <v>1</v>
      </c>
      <c r="G629" s="48">
        <v>1E+100</v>
      </c>
      <c r="H629" s="49">
        <v>1</v>
      </c>
    </row>
    <row r="630" spans="2:8" x14ac:dyDescent="0.3">
      <c r="B630" s="47" t="s">
        <v>677</v>
      </c>
      <c r="C630" s="48" t="s">
        <v>657</v>
      </c>
      <c r="D630" s="48">
        <v>0</v>
      </c>
      <c r="E630" s="48">
        <v>0</v>
      </c>
      <c r="F630" s="48">
        <v>1</v>
      </c>
      <c r="G630" s="48">
        <v>1E+100</v>
      </c>
      <c r="H630" s="49">
        <v>1</v>
      </c>
    </row>
    <row r="631" spans="2:8" x14ac:dyDescent="0.3">
      <c r="B631" s="47" t="s">
        <v>678</v>
      </c>
      <c r="C631" s="48" t="s">
        <v>21</v>
      </c>
      <c r="D631" s="48">
        <v>0</v>
      </c>
      <c r="E631" s="48">
        <v>0</v>
      </c>
      <c r="F631" s="48">
        <v>1</v>
      </c>
      <c r="G631" s="48">
        <v>1E+100</v>
      </c>
      <c r="H631" s="49">
        <v>1</v>
      </c>
    </row>
    <row r="632" spans="2:8" x14ac:dyDescent="0.3">
      <c r="B632" s="47" t="s">
        <v>679</v>
      </c>
      <c r="C632" s="48" t="s">
        <v>21</v>
      </c>
      <c r="D632" s="48">
        <v>0</v>
      </c>
      <c r="E632" s="48">
        <v>0</v>
      </c>
      <c r="F632" s="48">
        <v>1</v>
      </c>
      <c r="G632" s="48">
        <v>1E+100</v>
      </c>
      <c r="H632" s="49">
        <v>1</v>
      </c>
    </row>
    <row r="633" spans="2:8" x14ac:dyDescent="0.3">
      <c r="B633" s="47" t="s">
        <v>680</v>
      </c>
      <c r="C633" s="48" t="s">
        <v>21</v>
      </c>
      <c r="D633" s="48">
        <v>0</v>
      </c>
      <c r="E633" s="48">
        <v>0</v>
      </c>
      <c r="F633" s="48">
        <v>1</v>
      </c>
      <c r="G633" s="48">
        <v>1E+100</v>
      </c>
      <c r="H633" s="49">
        <v>1</v>
      </c>
    </row>
    <row r="634" spans="2:8" x14ac:dyDescent="0.3">
      <c r="B634" s="47" t="s">
        <v>681</v>
      </c>
      <c r="C634" s="48" t="s">
        <v>655</v>
      </c>
      <c r="D634" s="48">
        <v>0</v>
      </c>
      <c r="E634" s="48">
        <v>0</v>
      </c>
      <c r="F634" s="48">
        <v>1</v>
      </c>
      <c r="G634" s="48">
        <v>1E+100</v>
      </c>
      <c r="H634" s="49">
        <v>1</v>
      </c>
    </row>
    <row r="635" spans="2:8" x14ac:dyDescent="0.3">
      <c r="B635" s="47" t="s">
        <v>682</v>
      </c>
      <c r="C635" s="48" t="s">
        <v>657</v>
      </c>
      <c r="D635" s="48">
        <v>0</v>
      </c>
      <c r="E635" s="48">
        <v>0</v>
      </c>
      <c r="F635" s="48">
        <v>1</v>
      </c>
      <c r="G635" s="48">
        <v>1E+100</v>
      </c>
      <c r="H635" s="49">
        <v>1</v>
      </c>
    </row>
    <row r="636" spans="2:8" x14ac:dyDescent="0.3">
      <c r="B636" s="47" t="s">
        <v>683</v>
      </c>
      <c r="C636" s="48" t="s">
        <v>21</v>
      </c>
      <c r="D636" s="48">
        <v>0</v>
      </c>
      <c r="E636" s="48">
        <v>0</v>
      </c>
      <c r="F636" s="48">
        <v>1</v>
      </c>
      <c r="G636" s="48">
        <v>1E+100</v>
      </c>
      <c r="H636" s="49">
        <v>1</v>
      </c>
    </row>
    <row r="637" spans="2:8" x14ac:dyDescent="0.3">
      <c r="B637" s="47" t="s">
        <v>684</v>
      </c>
      <c r="C637" s="48" t="s">
        <v>21</v>
      </c>
      <c r="D637" s="48">
        <v>0</v>
      </c>
      <c r="E637" s="48">
        <v>0</v>
      </c>
      <c r="F637" s="48">
        <v>1</v>
      </c>
      <c r="G637" s="48">
        <v>1E+100</v>
      </c>
      <c r="H637" s="49">
        <v>1</v>
      </c>
    </row>
    <row r="638" spans="2:8" x14ac:dyDescent="0.3">
      <c r="B638" s="47" t="s">
        <v>685</v>
      </c>
      <c r="C638" s="48" t="s">
        <v>21</v>
      </c>
      <c r="D638" s="48">
        <v>0</v>
      </c>
      <c r="E638" s="48">
        <v>0</v>
      </c>
      <c r="F638" s="48">
        <v>1</v>
      </c>
      <c r="G638" s="48">
        <v>1E+100</v>
      </c>
      <c r="H638" s="49">
        <v>1</v>
      </c>
    </row>
    <row r="639" spans="2:8" x14ac:dyDescent="0.3">
      <c r="B639" s="47" t="s">
        <v>686</v>
      </c>
      <c r="C639" s="48" t="s">
        <v>655</v>
      </c>
      <c r="D639" s="48">
        <v>0</v>
      </c>
      <c r="E639" s="48">
        <v>0</v>
      </c>
      <c r="F639" s="48">
        <v>1</v>
      </c>
      <c r="G639" s="48">
        <v>1E+100</v>
      </c>
      <c r="H639" s="49">
        <v>1</v>
      </c>
    </row>
    <row r="640" spans="2:8" x14ac:dyDescent="0.3">
      <c r="B640" s="47" t="s">
        <v>687</v>
      </c>
      <c r="C640" s="48" t="s">
        <v>657</v>
      </c>
      <c r="D640" s="48">
        <v>0</v>
      </c>
      <c r="E640" s="48">
        <v>0</v>
      </c>
      <c r="F640" s="48">
        <v>1</v>
      </c>
      <c r="G640" s="48">
        <v>1E+100</v>
      </c>
      <c r="H640" s="49">
        <v>1</v>
      </c>
    </row>
    <row r="641" spans="2:8" x14ac:dyDescent="0.3">
      <c r="B641" s="47" t="s">
        <v>688</v>
      </c>
      <c r="C641" s="48" t="s">
        <v>21</v>
      </c>
      <c r="D641" s="48">
        <v>0</v>
      </c>
      <c r="E641" s="48">
        <v>0</v>
      </c>
      <c r="F641" s="48">
        <v>1</v>
      </c>
      <c r="G641" s="48">
        <v>1E+100</v>
      </c>
      <c r="H641" s="49">
        <v>1</v>
      </c>
    </row>
    <row r="642" spans="2:8" x14ac:dyDescent="0.3">
      <c r="B642" s="47" t="s">
        <v>689</v>
      </c>
      <c r="C642" s="48" t="s">
        <v>21</v>
      </c>
      <c r="D642" s="48">
        <v>0</v>
      </c>
      <c r="E642" s="48">
        <v>0</v>
      </c>
      <c r="F642" s="48">
        <v>1</v>
      </c>
      <c r="G642" s="48">
        <v>1E+100</v>
      </c>
      <c r="H642" s="49">
        <v>1</v>
      </c>
    </row>
    <row r="643" spans="2:8" x14ac:dyDescent="0.3">
      <c r="B643" s="47" t="s">
        <v>690</v>
      </c>
      <c r="C643" s="48" t="s">
        <v>21</v>
      </c>
      <c r="D643" s="48">
        <v>0</v>
      </c>
      <c r="E643" s="48">
        <v>0</v>
      </c>
      <c r="F643" s="48">
        <v>1</v>
      </c>
      <c r="G643" s="48">
        <v>1E+100</v>
      </c>
      <c r="H643" s="49">
        <v>1</v>
      </c>
    </row>
    <row r="644" spans="2:8" x14ac:dyDescent="0.3">
      <c r="B644" s="47" t="s">
        <v>691</v>
      </c>
      <c r="C644" s="48" t="s">
        <v>655</v>
      </c>
      <c r="D644" s="48">
        <v>0</v>
      </c>
      <c r="E644" s="48">
        <v>0</v>
      </c>
      <c r="F644" s="48">
        <v>1</v>
      </c>
      <c r="G644" s="48">
        <v>1E+100</v>
      </c>
      <c r="H644" s="49">
        <v>1</v>
      </c>
    </row>
    <row r="645" spans="2:8" x14ac:dyDescent="0.3">
      <c r="B645" s="47" t="s">
        <v>692</v>
      </c>
      <c r="C645" s="48" t="s">
        <v>657</v>
      </c>
      <c r="D645" s="48">
        <v>0</v>
      </c>
      <c r="E645" s="48">
        <v>0</v>
      </c>
      <c r="F645" s="48">
        <v>1</v>
      </c>
      <c r="G645" s="48">
        <v>1E+100</v>
      </c>
      <c r="H645" s="49">
        <v>1</v>
      </c>
    </row>
    <row r="646" spans="2:8" x14ac:dyDescent="0.3">
      <c r="B646" s="47" t="s">
        <v>693</v>
      </c>
      <c r="C646" s="48" t="s">
        <v>21</v>
      </c>
      <c r="D646" s="48">
        <v>0</v>
      </c>
      <c r="E646" s="48">
        <v>0</v>
      </c>
      <c r="F646" s="48">
        <v>1</v>
      </c>
      <c r="G646" s="48">
        <v>1E+100</v>
      </c>
      <c r="H646" s="49">
        <v>1</v>
      </c>
    </row>
    <row r="647" spans="2:8" x14ac:dyDescent="0.3">
      <c r="B647" s="47" t="s">
        <v>694</v>
      </c>
      <c r="C647" s="48" t="s">
        <v>21</v>
      </c>
      <c r="D647" s="48">
        <v>0</v>
      </c>
      <c r="E647" s="48">
        <v>0</v>
      </c>
      <c r="F647" s="48">
        <v>1</v>
      </c>
      <c r="G647" s="48">
        <v>1E+100</v>
      </c>
      <c r="H647" s="49">
        <v>1</v>
      </c>
    </row>
    <row r="648" spans="2:8" x14ac:dyDescent="0.3">
      <c r="B648" s="47" t="s">
        <v>695</v>
      </c>
      <c r="C648" s="48" t="s">
        <v>21</v>
      </c>
      <c r="D648" s="48">
        <v>0</v>
      </c>
      <c r="E648" s="48">
        <v>0</v>
      </c>
      <c r="F648" s="48">
        <v>1</v>
      </c>
      <c r="G648" s="48">
        <v>1E+100</v>
      </c>
      <c r="H648" s="49">
        <v>1</v>
      </c>
    </row>
    <row r="649" spans="2:8" x14ac:dyDescent="0.3">
      <c r="B649" s="47" t="s">
        <v>696</v>
      </c>
      <c r="C649" s="48" t="s">
        <v>655</v>
      </c>
      <c r="D649" s="48">
        <v>0</v>
      </c>
      <c r="E649" s="48">
        <v>0</v>
      </c>
      <c r="F649" s="48">
        <v>1</v>
      </c>
      <c r="G649" s="48">
        <v>1E+100</v>
      </c>
      <c r="H649" s="49">
        <v>1</v>
      </c>
    </row>
    <row r="650" spans="2:8" x14ac:dyDescent="0.3">
      <c r="B650" s="47" t="s">
        <v>697</v>
      </c>
      <c r="C650" s="48" t="s">
        <v>657</v>
      </c>
      <c r="D650" s="48">
        <v>0</v>
      </c>
      <c r="E650" s="48">
        <v>0</v>
      </c>
      <c r="F650" s="48">
        <v>1</v>
      </c>
      <c r="G650" s="48">
        <v>1E+100</v>
      </c>
      <c r="H650" s="49">
        <v>1</v>
      </c>
    </row>
    <row r="651" spans="2:8" x14ac:dyDescent="0.3">
      <c r="B651" s="47" t="s">
        <v>698</v>
      </c>
      <c r="C651" s="48" t="s">
        <v>21</v>
      </c>
      <c r="D651" s="48">
        <v>0</v>
      </c>
      <c r="E651" s="48">
        <v>0</v>
      </c>
      <c r="F651" s="48">
        <v>1</v>
      </c>
      <c r="G651" s="48">
        <v>1E+100</v>
      </c>
      <c r="H651" s="49">
        <v>1</v>
      </c>
    </row>
    <row r="652" spans="2:8" x14ac:dyDescent="0.3">
      <c r="B652" s="47" t="s">
        <v>699</v>
      </c>
      <c r="C652" s="48" t="s">
        <v>21</v>
      </c>
      <c r="D652" s="48">
        <v>0</v>
      </c>
      <c r="E652" s="48">
        <v>0</v>
      </c>
      <c r="F652" s="48">
        <v>1</v>
      </c>
      <c r="G652" s="48">
        <v>1E+100</v>
      </c>
      <c r="H652" s="49">
        <v>1</v>
      </c>
    </row>
    <row r="653" spans="2:8" x14ac:dyDescent="0.3">
      <c r="B653" s="47" t="s">
        <v>700</v>
      </c>
      <c r="C653" s="48" t="s">
        <v>21</v>
      </c>
      <c r="D653" s="48">
        <v>0</v>
      </c>
      <c r="E653" s="48">
        <v>0</v>
      </c>
      <c r="F653" s="48">
        <v>1</v>
      </c>
      <c r="G653" s="48">
        <v>1E+100</v>
      </c>
      <c r="H653" s="49">
        <v>1</v>
      </c>
    </row>
    <row r="654" spans="2:8" x14ac:dyDescent="0.3">
      <c r="B654" s="47" t="s">
        <v>701</v>
      </c>
      <c r="C654" s="48" t="s">
        <v>655</v>
      </c>
      <c r="D654" s="48">
        <v>0</v>
      </c>
      <c r="E654" s="48">
        <v>0</v>
      </c>
      <c r="F654" s="48">
        <v>1</v>
      </c>
      <c r="G654" s="48">
        <v>1E+100</v>
      </c>
      <c r="H654" s="49">
        <v>1</v>
      </c>
    </row>
    <row r="655" spans="2:8" x14ac:dyDescent="0.3">
      <c r="B655" s="47" t="s">
        <v>702</v>
      </c>
      <c r="C655" s="48" t="s">
        <v>657</v>
      </c>
      <c r="D655" s="48">
        <v>0</v>
      </c>
      <c r="E655" s="48">
        <v>0</v>
      </c>
      <c r="F655" s="48">
        <v>1</v>
      </c>
      <c r="G655" s="48">
        <v>1E+100</v>
      </c>
      <c r="H655" s="49">
        <v>1</v>
      </c>
    </row>
    <row r="656" spans="2:8" x14ac:dyDescent="0.3">
      <c r="B656" s="47" t="s">
        <v>703</v>
      </c>
      <c r="C656" s="48" t="s">
        <v>21</v>
      </c>
      <c r="D656" s="48">
        <v>0</v>
      </c>
      <c r="E656" s="48">
        <v>0</v>
      </c>
      <c r="F656" s="48">
        <v>1</v>
      </c>
      <c r="G656" s="48">
        <v>1E+100</v>
      </c>
      <c r="H656" s="49">
        <v>1</v>
      </c>
    </row>
    <row r="657" spans="2:8" x14ac:dyDescent="0.3">
      <c r="B657" s="47" t="s">
        <v>704</v>
      </c>
      <c r="C657" s="48" t="s">
        <v>21</v>
      </c>
      <c r="D657" s="48">
        <v>0</v>
      </c>
      <c r="E657" s="48">
        <v>0</v>
      </c>
      <c r="F657" s="48">
        <v>1</v>
      </c>
      <c r="G657" s="48">
        <v>1E+100</v>
      </c>
      <c r="H657" s="49">
        <v>1</v>
      </c>
    </row>
    <row r="658" spans="2:8" x14ac:dyDescent="0.3">
      <c r="B658" s="47" t="s">
        <v>705</v>
      </c>
      <c r="C658" s="48" t="s">
        <v>21</v>
      </c>
      <c r="D658" s="48">
        <v>0</v>
      </c>
      <c r="E658" s="48">
        <v>0</v>
      </c>
      <c r="F658" s="48">
        <v>1</v>
      </c>
      <c r="G658" s="48">
        <v>1E+100</v>
      </c>
      <c r="H658" s="49">
        <v>1</v>
      </c>
    </row>
    <row r="659" spans="2:8" x14ac:dyDescent="0.3">
      <c r="B659" s="47" t="s">
        <v>706</v>
      </c>
      <c r="C659" s="48" t="s">
        <v>655</v>
      </c>
      <c r="D659" s="48">
        <v>0</v>
      </c>
      <c r="E659" s="48">
        <v>0</v>
      </c>
      <c r="F659" s="48">
        <v>1</v>
      </c>
      <c r="G659" s="48">
        <v>1E+100</v>
      </c>
      <c r="H659" s="49">
        <v>1</v>
      </c>
    </row>
    <row r="660" spans="2:8" x14ac:dyDescent="0.3">
      <c r="B660" s="47" t="s">
        <v>707</v>
      </c>
      <c r="C660" s="48" t="s">
        <v>657</v>
      </c>
      <c r="D660" s="48">
        <v>0</v>
      </c>
      <c r="E660" s="48">
        <v>0</v>
      </c>
      <c r="F660" s="48">
        <v>1</v>
      </c>
      <c r="G660" s="48">
        <v>1E+100</v>
      </c>
      <c r="H660" s="49">
        <v>1</v>
      </c>
    </row>
    <row r="661" spans="2:8" x14ac:dyDescent="0.3">
      <c r="B661" s="47" t="s">
        <v>708</v>
      </c>
      <c r="C661" s="48" t="s">
        <v>21</v>
      </c>
      <c r="D661" s="48">
        <v>0</v>
      </c>
      <c r="E661" s="48">
        <v>0</v>
      </c>
      <c r="F661" s="48">
        <v>1</v>
      </c>
      <c r="G661" s="48">
        <v>1E+100</v>
      </c>
      <c r="H661" s="49">
        <v>1</v>
      </c>
    </row>
    <row r="662" spans="2:8" x14ac:dyDescent="0.3">
      <c r="B662" s="47" t="s">
        <v>709</v>
      </c>
      <c r="C662" s="48" t="s">
        <v>21</v>
      </c>
      <c r="D662" s="48">
        <v>0</v>
      </c>
      <c r="E662" s="48">
        <v>0</v>
      </c>
      <c r="F662" s="48">
        <v>1</v>
      </c>
      <c r="G662" s="48">
        <v>1E+100</v>
      </c>
      <c r="H662" s="49">
        <v>1</v>
      </c>
    </row>
    <row r="663" spans="2:8" x14ac:dyDescent="0.3">
      <c r="B663" s="47" t="s">
        <v>710</v>
      </c>
      <c r="C663" s="48" t="s">
        <v>21</v>
      </c>
      <c r="D663" s="48">
        <v>0</v>
      </c>
      <c r="E663" s="48">
        <v>0</v>
      </c>
      <c r="F663" s="48">
        <v>1</v>
      </c>
      <c r="G663" s="48">
        <v>1E+100</v>
      </c>
      <c r="H663" s="49">
        <v>1</v>
      </c>
    </row>
    <row r="664" spans="2:8" x14ac:dyDescent="0.3">
      <c r="B664" s="47" t="s">
        <v>711</v>
      </c>
      <c r="C664" s="48" t="s">
        <v>655</v>
      </c>
      <c r="D664" s="48">
        <v>0</v>
      </c>
      <c r="E664" s="48">
        <v>0</v>
      </c>
      <c r="F664" s="48">
        <v>1</v>
      </c>
      <c r="G664" s="48">
        <v>1E+100</v>
      </c>
      <c r="H664" s="49">
        <v>1</v>
      </c>
    </row>
    <row r="665" spans="2:8" x14ac:dyDescent="0.3">
      <c r="B665" s="47" t="s">
        <v>712</v>
      </c>
      <c r="C665" s="48" t="s">
        <v>657</v>
      </c>
      <c r="D665" s="48">
        <v>0</v>
      </c>
      <c r="E665" s="48">
        <v>0</v>
      </c>
      <c r="F665" s="48">
        <v>1</v>
      </c>
      <c r="G665" s="48">
        <v>1E+100</v>
      </c>
      <c r="H665" s="49">
        <v>1</v>
      </c>
    </row>
    <row r="666" spans="2:8" x14ac:dyDescent="0.3">
      <c r="B666" s="47" t="s">
        <v>713</v>
      </c>
      <c r="C666" s="48" t="s">
        <v>21</v>
      </c>
      <c r="D666" s="48">
        <v>0</v>
      </c>
      <c r="E666" s="48">
        <v>0</v>
      </c>
      <c r="F666" s="48">
        <v>1</v>
      </c>
      <c r="G666" s="48">
        <v>1E+100</v>
      </c>
      <c r="H666" s="49">
        <v>1</v>
      </c>
    </row>
    <row r="667" spans="2:8" x14ac:dyDescent="0.3">
      <c r="B667" s="47" t="s">
        <v>714</v>
      </c>
      <c r="C667" s="48" t="s">
        <v>21</v>
      </c>
      <c r="D667" s="48">
        <v>0</v>
      </c>
      <c r="E667" s="48">
        <v>0</v>
      </c>
      <c r="F667" s="48">
        <v>1</v>
      </c>
      <c r="G667" s="48">
        <v>1E+100</v>
      </c>
      <c r="H667" s="49">
        <v>1</v>
      </c>
    </row>
    <row r="668" spans="2:8" x14ac:dyDescent="0.3">
      <c r="B668" s="47" t="s">
        <v>715</v>
      </c>
      <c r="C668" s="48" t="s">
        <v>21</v>
      </c>
      <c r="D668" s="48">
        <v>0</v>
      </c>
      <c r="E668" s="48">
        <v>0</v>
      </c>
      <c r="F668" s="48">
        <v>1</v>
      </c>
      <c r="G668" s="48">
        <v>1E+100</v>
      </c>
      <c r="H668" s="49">
        <v>1</v>
      </c>
    </row>
    <row r="669" spans="2:8" x14ac:dyDescent="0.3">
      <c r="B669" s="47" t="s">
        <v>716</v>
      </c>
      <c r="C669" s="48" t="s">
        <v>655</v>
      </c>
      <c r="D669" s="48">
        <v>0</v>
      </c>
      <c r="E669" s="48">
        <v>0</v>
      </c>
      <c r="F669" s="48">
        <v>1</v>
      </c>
      <c r="G669" s="48">
        <v>1E+100</v>
      </c>
      <c r="H669" s="49">
        <v>1</v>
      </c>
    </row>
    <row r="670" spans="2:8" x14ac:dyDescent="0.3">
      <c r="B670" s="47" t="s">
        <v>717</v>
      </c>
      <c r="C670" s="48" t="s">
        <v>657</v>
      </c>
      <c r="D670" s="48">
        <v>0</v>
      </c>
      <c r="E670" s="48">
        <v>0</v>
      </c>
      <c r="F670" s="48">
        <v>1</v>
      </c>
      <c r="G670" s="48">
        <v>1E+100</v>
      </c>
      <c r="H670" s="49">
        <v>1</v>
      </c>
    </row>
    <row r="671" spans="2:8" x14ac:dyDescent="0.3">
      <c r="B671" s="47" t="s">
        <v>718</v>
      </c>
      <c r="C671" s="48" t="s">
        <v>21</v>
      </c>
      <c r="D671" s="48">
        <v>0</v>
      </c>
      <c r="E671" s="48">
        <v>0</v>
      </c>
      <c r="F671" s="48">
        <v>1</v>
      </c>
      <c r="G671" s="48">
        <v>1E+100</v>
      </c>
      <c r="H671" s="49">
        <v>1</v>
      </c>
    </row>
    <row r="672" spans="2:8" x14ac:dyDescent="0.3">
      <c r="B672" s="47" t="s">
        <v>719</v>
      </c>
      <c r="C672" s="48" t="s">
        <v>21</v>
      </c>
      <c r="D672" s="48">
        <v>0</v>
      </c>
      <c r="E672" s="48">
        <v>0</v>
      </c>
      <c r="F672" s="48">
        <v>1</v>
      </c>
      <c r="G672" s="48">
        <v>1E+100</v>
      </c>
      <c r="H672" s="49">
        <v>1</v>
      </c>
    </row>
    <row r="673" spans="2:8" x14ac:dyDescent="0.3">
      <c r="B673" s="47" t="s">
        <v>720</v>
      </c>
      <c r="C673" s="48" t="s">
        <v>21</v>
      </c>
      <c r="D673" s="48">
        <v>0</v>
      </c>
      <c r="E673" s="48">
        <v>0</v>
      </c>
      <c r="F673" s="48">
        <v>1</v>
      </c>
      <c r="G673" s="48">
        <v>1E+100</v>
      </c>
      <c r="H673" s="49">
        <v>1</v>
      </c>
    </row>
    <row r="674" spans="2:8" x14ac:dyDescent="0.3">
      <c r="B674" s="47" t="s">
        <v>721</v>
      </c>
      <c r="C674" s="48" t="s">
        <v>655</v>
      </c>
      <c r="D674" s="48">
        <v>0</v>
      </c>
      <c r="E674" s="48">
        <v>0</v>
      </c>
      <c r="F674" s="48">
        <v>1</v>
      </c>
      <c r="G674" s="48">
        <v>1E+100</v>
      </c>
      <c r="H674" s="49">
        <v>1</v>
      </c>
    </row>
    <row r="675" spans="2:8" x14ac:dyDescent="0.3">
      <c r="B675" s="47" t="s">
        <v>722</v>
      </c>
      <c r="C675" s="48" t="s">
        <v>657</v>
      </c>
      <c r="D675" s="48">
        <v>0</v>
      </c>
      <c r="E675" s="48">
        <v>0</v>
      </c>
      <c r="F675" s="48">
        <v>1</v>
      </c>
      <c r="G675" s="48">
        <v>1E+100</v>
      </c>
      <c r="H675" s="49">
        <v>1</v>
      </c>
    </row>
    <row r="676" spans="2:8" x14ac:dyDescent="0.3">
      <c r="B676" s="47" t="s">
        <v>723</v>
      </c>
      <c r="C676" s="48" t="s">
        <v>21</v>
      </c>
      <c r="D676" s="48">
        <v>0</v>
      </c>
      <c r="E676" s="48">
        <v>0</v>
      </c>
      <c r="F676" s="48">
        <v>1</v>
      </c>
      <c r="G676" s="48">
        <v>1E+100</v>
      </c>
      <c r="H676" s="49">
        <v>1</v>
      </c>
    </row>
    <row r="677" spans="2:8" x14ac:dyDescent="0.3">
      <c r="B677" s="47" t="s">
        <v>724</v>
      </c>
      <c r="C677" s="48" t="s">
        <v>21</v>
      </c>
      <c r="D677" s="48">
        <v>0</v>
      </c>
      <c r="E677" s="48">
        <v>0</v>
      </c>
      <c r="F677" s="48">
        <v>1</v>
      </c>
      <c r="G677" s="48">
        <v>1E+100</v>
      </c>
      <c r="H677" s="49">
        <v>1</v>
      </c>
    </row>
    <row r="678" spans="2:8" x14ac:dyDescent="0.3">
      <c r="B678" s="47" t="s">
        <v>725</v>
      </c>
      <c r="C678" s="48" t="s">
        <v>21</v>
      </c>
      <c r="D678" s="48">
        <v>0</v>
      </c>
      <c r="E678" s="48">
        <v>0</v>
      </c>
      <c r="F678" s="48">
        <v>1</v>
      </c>
      <c r="G678" s="48">
        <v>1E+100</v>
      </c>
      <c r="H678" s="49">
        <v>1</v>
      </c>
    </row>
    <row r="679" spans="2:8" x14ac:dyDescent="0.3">
      <c r="B679" s="47" t="s">
        <v>726</v>
      </c>
      <c r="C679" s="48" t="s">
        <v>655</v>
      </c>
      <c r="D679" s="48">
        <v>0</v>
      </c>
      <c r="E679" s="48">
        <v>0</v>
      </c>
      <c r="F679" s="48">
        <v>1</v>
      </c>
      <c r="G679" s="48">
        <v>1E+100</v>
      </c>
      <c r="H679" s="49">
        <v>1</v>
      </c>
    </row>
    <row r="680" spans="2:8" x14ac:dyDescent="0.3">
      <c r="B680" s="47" t="s">
        <v>727</v>
      </c>
      <c r="C680" s="48" t="s">
        <v>657</v>
      </c>
      <c r="D680" s="48">
        <v>0</v>
      </c>
      <c r="E680" s="48">
        <v>0</v>
      </c>
      <c r="F680" s="48">
        <v>1</v>
      </c>
      <c r="G680" s="48">
        <v>1E+100</v>
      </c>
      <c r="H680" s="49">
        <v>1</v>
      </c>
    </row>
    <row r="681" spans="2:8" x14ac:dyDescent="0.3">
      <c r="B681" s="47" t="s">
        <v>728</v>
      </c>
      <c r="C681" s="48" t="s">
        <v>21</v>
      </c>
      <c r="D681" s="48">
        <v>0</v>
      </c>
      <c r="E681" s="48">
        <v>0</v>
      </c>
      <c r="F681" s="48">
        <v>1</v>
      </c>
      <c r="G681" s="48">
        <v>1E+100</v>
      </c>
      <c r="H681" s="49">
        <v>1</v>
      </c>
    </row>
    <row r="682" spans="2:8" x14ac:dyDescent="0.3">
      <c r="B682" s="47" t="s">
        <v>729</v>
      </c>
      <c r="C682" s="48" t="s">
        <v>21</v>
      </c>
      <c r="D682" s="48">
        <v>0</v>
      </c>
      <c r="E682" s="48">
        <v>0</v>
      </c>
      <c r="F682" s="48">
        <v>1</v>
      </c>
      <c r="G682" s="48">
        <v>1E+100</v>
      </c>
      <c r="H682" s="49">
        <v>1</v>
      </c>
    </row>
    <row r="683" spans="2:8" x14ac:dyDescent="0.3">
      <c r="B683" s="47" t="s">
        <v>730</v>
      </c>
      <c r="C683" s="48" t="s">
        <v>21</v>
      </c>
      <c r="D683" s="48">
        <v>0</v>
      </c>
      <c r="E683" s="48">
        <v>0</v>
      </c>
      <c r="F683" s="48">
        <v>1</v>
      </c>
      <c r="G683" s="48">
        <v>1E+100</v>
      </c>
      <c r="H683" s="49">
        <v>1</v>
      </c>
    </row>
    <row r="684" spans="2:8" x14ac:dyDescent="0.3">
      <c r="B684" s="47" t="s">
        <v>731</v>
      </c>
      <c r="C684" s="48" t="s">
        <v>655</v>
      </c>
      <c r="D684" s="48">
        <v>0</v>
      </c>
      <c r="E684" s="48">
        <v>0</v>
      </c>
      <c r="F684" s="48">
        <v>1</v>
      </c>
      <c r="G684" s="48">
        <v>1E+100</v>
      </c>
      <c r="H684" s="49">
        <v>1</v>
      </c>
    </row>
    <row r="685" spans="2:8" x14ac:dyDescent="0.3">
      <c r="B685" s="47" t="s">
        <v>732</v>
      </c>
      <c r="C685" s="48" t="s">
        <v>657</v>
      </c>
      <c r="D685" s="48">
        <v>0</v>
      </c>
      <c r="E685" s="48">
        <v>0</v>
      </c>
      <c r="F685" s="48">
        <v>1</v>
      </c>
      <c r="G685" s="48">
        <v>1E+100</v>
      </c>
      <c r="H685" s="49">
        <v>1</v>
      </c>
    </row>
    <row r="686" spans="2:8" x14ac:dyDescent="0.3">
      <c r="B686" s="47" t="s">
        <v>733</v>
      </c>
      <c r="C686" s="48" t="s">
        <v>21</v>
      </c>
      <c r="D686" s="48">
        <v>0</v>
      </c>
      <c r="E686" s="48">
        <v>0</v>
      </c>
      <c r="F686" s="48">
        <v>1</v>
      </c>
      <c r="G686" s="48">
        <v>1E+100</v>
      </c>
      <c r="H686" s="49">
        <v>1</v>
      </c>
    </row>
    <row r="687" spans="2:8" x14ac:dyDescent="0.3">
      <c r="B687" s="47" t="s">
        <v>734</v>
      </c>
      <c r="C687" s="48" t="s">
        <v>21</v>
      </c>
      <c r="D687" s="48">
        <v>0</v>
      </c>
      <c r="E687" s="48">
        <v>0</v>
      </c>
      <c r="F687" s="48">
        <v>1</v>
      </c>
      <c r="G687" s="48">
        <v>1E+100</v>
      </c>
      <c r="H687" s="49">
        <v>1</v>
      </c>
    </row>
    <row r="688" spans="2:8" x14ac:dyDescent="0.3">
      <c r="B688" s="47" t="s">
        <v>735</v>
      </c>
      <c r="C688" s="48" t="s">
        <v>21</v>
      </c>
      <c r="D688" s="48">
        <v>0</v>
      </c>
      <c r="E688" s="48">
        <v>0</v>
      </c>
      <c r="F688" s="48">
        <v>1</v>
      </c>
      <c r="G688" s="48">
        <v>1E+100</v>
      </c>
      <c r="H688" s="49">
        <v>1</v>
      </c>
    </row>
    <row r="689" spans="2:8" x14ac:dyDescent="0.3">
      <c r="B689" s="47" t="s">
        <v>736</v>
      </c>
      <c r="C689" s="48" t="s">
        <v>655</v>
      </c>
      <c r="D689" s="48">
        <v>0</v>
      </c>
      <c r="E689" s="48">
        <v>0</v>
      </c>
      <c r="F689" s="48">
        <v>1</v>
      </c>
      <c r="G689" s="48">
        <v>1E+100</v>
      </c>
      <c r="H689" s="49">
        <v>1</v>
      </c>
    </row>
    <row r="690" spans="2:8" x14ac:dyDescent="0.3">
      <c r="B690" s="47" t="s">
        <v>737</v>
      </c>
      <c r="C690" s="48" t="s">
        <v>657</v>
      </c>
      <c r="D690" s="48">
        <v>0</v>
      </c>
      <c r="E690" s="48">
        <v>0</v>
      </c>
      <c r="F690" s="48">
        <v>1</v>
      </c>
      <c r="G690" s="48">
        <v>1E+100</v>
      </c>
      <c r="H690" s="49">
        <v>1</v>
      </c>
    </row>
    <row r="691" spans="2:8" x14ac:dyDescent="0.3">
      <c r="B691" s="47" t="s">
        <v>738</v>
      </c>
      <c r="C691" s="48" t="s">
        <v>21</v>
      </c>
      <c r="D691" s="48">
        <v>0</v>
      </c>
      <c r="E691" s="48">
        <v>0</v>
      </c>
      <c r="F691" s="48">
        <v>1</v>
      </c>
      <c r="G691" s="48">
        <v>1E+100</v>
      </c>
      <c r="H691" s="49">
        <v>1</v>
      </c>
    </row>
    <row r="692" spans="2:8" x14ac:dyDescent="0.3">
      <c r="B692" s="47" t="s">
        <v>739</v>
      </c>
      <c r="C692" s="48" t="s">
        <v>21</v>
      </c>
      <c r="D692" s="48">
        <v>0</v>
      </c>
      <c r="E692" s="48">
        <v>0</v>
      </c>
      <c r="F692" s="48">
        <v>1</v>
      </c>
      <c r="G692" s="48">
        <v>1E+100</v>
      </c>
      <c r="H692" s="49">
        <v>1</v>
      </c>
    </row>
    <row r="693" spans="2:8" x14ac:dyDescent="0.3">
      <c r="B693" s="47" t="s">
        <v>740</v>
      </c>
      <c r="C693" s="48" t="s">
        <v>21</v>
      </c>
      <c r="D693" s="48">
        <v>0</v>
      </c>
      <c r="E693" s="48">
        <v>0</v>
      </c>
      <c r="F693" s="48">
        <v>1</v>
      </c>
      <c r="G693" s="48">
        <v>1E+100</v>
      </c>
      <c r="H693" s="49">
        <v>1</v>
      </c>
    </row>
    <row r="694" spans="2:8" x14ac:dyDescent="0.3">
      <c r="B694" s="47" t="s">
        <v>741</v>
      </c>
      <c r="C694" s="48" t="s">
        <v>655</v>
      </c>
      <c r="D694" s="48">
        <v>0</v>
      </c>
      <c r="E694" s="48">
        <v>0</v>
      </c>
      <c r="F694" s="48">
        <v>1</v>
      </c>
      <c r="G694" s="48">
        <v>1E+100</v>
      </c>
      <c r="H694" s="49">
        <v>1</v>
      </c>
    </row>
    <row r="695" spans="2:8" x14ac:dyDescent="0.3">
      <c r="B695" s="47" t="s">
        <v>742</v>
      </c>
      <c r="C695" s="48" t="s">
        <v>657</v>
      </c>
      <c r="D695" s="48">
        <v>0</v>
      </c>
      <c r="E695" s="48">
        <v>0</v>
      </c>
      <c r="F695" s="48">
        <v>1</v>
      </c>
      <c r="G695" s="48">
        <v>1E+100</v>
      </c>
      <c r="H695" s="49">
        <v>1</v>
      </c>
    </row>
    <row r="696" spans="2:8" x14ac:dyDescent="0.3">
      <c r="B696" s="47" t="s">
        <v>743</v>
      </c>
      <c r="C696" s="48" t="s">
        <v>21</v>
      </c>
      <c r="D696" s="48">
        <v>0</v>
      </c>
      <c r="E696" s="48">
        <v>0</v>
      </c>
      <c r="F696" s="48">
        <v>1</v>
      </c>
      <c r="G696" s="48">
        <v>1E+100</v>
      </c>
      <c r="H696" s="49">
        <v>1</v>
      </c>
    </row>
    <row r="697" spans="2:8" x14ac:dyDescent="0.3">
      <c r="B697" s="47" t="s">
        <v>744</v>
      </c>
      <c r="C697" s="48" t="s">
        <v>21</v>
      </c>
      <c r="D697" s="48">
        <v>0</v>
      </c>
      <c r="E697" s="48">
        <v>0</v>
      </c>
      <c r="F697" s="48">
        <v>1</v>
      </c>
      <c r="G697" s="48">
        <v>1E+100</v>
      </c>
      <c r="H697" s="49">
        <v>1</v>
      </c>
    </row>
    <row r="698" spans="2:8" x14ac:dyDescent="0.3">
      <c r="B698" s="47" t="s">
        <v>745</v>
      </c>
      <c r="C698" s="48" t="s">
        <v>21</v>
      </c>
      <c r="D698" s="48">
        <v>0</v>
      </c>
      <c r="E698" s="48">
        <v>0</v>
      </c>
      <c r="F698" s="48">
        <v>1</v>
      </c>
      <c r="G698" s="48">
        <v>1E+100</v>
      </c>
      <c r="H698" s="49">
        <v>1</v>
      </c>
    </row>
    <row r="699" spans="2:8" x14ac:dyDescent="0.3">
      <c r="B699" s="47" t="s">
        <v>746</v>
      </c>
      <c r="C699" s="48" t="s">
        <v>655</v>
      </c>
      <c r="D699" s="48">
        <v>0</v>
      </c>
      <c r="E699" s="48">
        <v>0</v>
      </c>
      <c r="F699" s="48">
        <v>1</v>
      </c>
      <c r="G699" s="48">
        <v>1E+100</v>
      </c>
      <c r="H699" s="49">
        <v>1</v>
      </c>
    </row>
    <row r="700" spans="2:8" x14ac:dyDescent="0.3">
      <c r="B700" s="47" t="s">
        <v>747</v>
      </c>
      <c r="C700" s="48" t="s">
        <v>657</v>
      </c>
      <c r="D700" s="48">
        <v>0</v>
      </c>
      <c r="E700" s="48">
        <v>0</v>
      </c>
      <c r="F700" s="48">
        <v>1</v>
      </c>
      <c r="G700" s="48">
        <v>1E+100</v>
      </c>
      <c r="H700" s="49">
        <v>1</v>
      </c>
    </row>
    <row r="701" spans="2:8" x14ac:dyDescent="0.3">
      <c r="B701" s="47" t="s">
        <v>748</v>
      </c>
      <c r="C701" s="48" t="s">
        <v>21</v>
      </c>
      <c r="D701" s="48">
        <v>0</v>
      </c>
      <c r="E701" s="48">
        <v>0</v>
      </c>
      <c r="F701" s="48">
        <v>1</v>
      </c>
      <c r="G701" s="48">
        <v>1E+100</v>
      </c>
      <c r="H701" s="49">
        <v>1</v>
      </c>
    </row>
    <row r="702" spans="2:8" x14ac:dyDescent="0.3">
      <c r="B702" s="47" t="s">
        <v>749</v>
      </c>
      <c r="C702" s="48" t="s">
        <v>21</v>
      </c>
      <c r="D702" s="48">
        <v>0</v>
      </c>
      <c r="E702" s="48">
        <v>0</v>
      </c>
      <c r="F702" s="48">
        <v>1</v>
      </c>
      <c r="G702" s="48">
        <v>1E+100</v>
      </c>
      <c r="H702" s="49">
        <v>1</v>
      </c>
    </row>
    <row r="703" spans="2:8" x14ac:dyDescent="0.3">
      <c r="B703" s="47" t="s">
        <v>750</v>
      </c>
      <c r="C703" s="48" t="s">
        <v>21</v>
      </c>
      <c r="D703" s="48">
        <v>0</v>
      </c>
      <c r="E703" s="48">
        <v>0</v>
      </c>
      <c r="F703" s="48">
        <v>1</v>
      </c>
      <c r="G703" s="48">
        <v>1E+100</v>
      </c>
      <c r="H703" s="49">
        <v>1</v>
      </c>
    </row>
    <row r="704" spans="2:8" x14ac:dyDescent="0.3">
      <c r="B704" s="47" t="s">
        <v>751</v>
      </c>
      <c r="C704" s="48" t="s">
        <v>655</v>
      </c>
      <c r="D704" s="48">
        <v>0</v>
      </c>
      <c r="E704" s="48">
        <v>0</v>
      </c>
      <c r="F704" s="48">
        <v>1</v>
      </c>
      <c r="G704" s="48">
        <v>1E+100</v>
      </c>
      <c r="H704" s="49">
        <v>1</v>
      </c>
    </row>
    <row r="705" spans="2:8" x14ac:dyDescent="0.3">
      <c r="B705" s="47" t="s">
        <v>752</v>
      </c>
      <c r="C705" s="48" t="s">
        <v>657</v>
      </c>
      <c r="D705" s="48">
        <v>0</v>
      </c>
      <c r="E705" s="48">
        <v>0</v>
      </c>
      <c r="F705" s="48">
        <v>1</v>
      </c>
      <c r="G705" s="48">
        <v>1E+100</v>
      </c>
      <c r="H705" s="49">
        <v>1</v>
      </c>
    </row>
    <row r="706" spans="2:8" x14ac:dyDescent="0.3">
      <c r="B706" s="47" t="s">
        <v>753</v>
      </c>
      <c r="C706" s="48" t="s">
        <v>21</v>
      </c>
      <c r="D706" s="48">
        <v>0</v>
      </c>
      <c r="E706" s="48">
        <v>0</v>
      </c>
      <c r="F706" s="48">
        <v>1</v>
      </c>
      <c r="G706" s="48">
        <v>1E+100</v>
      </c>
      <c r="H706" s="49">
        <v>1</v>
      </c>
    </row>
    <row r="707" spans="2:8" x14ac:dyDescent="0.3">
      <c r="B707" s="47" t="s">
        <v>754</v>
      </c>
      <c r="C707" s="48" t="s">
        <v>21</v>
      </c>
      <c r="D707" s="48">
        <v>0</v>
      </c>
      <c r="E707" s="48">
        <v>0</v>
      </c>
      <c r="F707" s="48">
        <v>1</v>
      </c>
      <c r="G707" s="48">
        <v>1E+100</v>
      </c>
      <c r="H707" s="49">
        <v>1</v>
      </c>
    </row>
    <row r="708" spans="2:8" x14ac:dyDescent="0.3">
      <c r="B708" s="47" t="s">
        <v>755</v>
      </c>
      <c r="C708" s="48" t="s">
        <v>21</v>
      </c>
      <c r="D708" s="48">
        <v>0</v>
      </c>
      <c r="E708" s="48">
        <v>0</v>
      </c>
      <c r="F708" s="48">
        <v>1</v>
      </c>
      <c r="G708" s="48">
        <v>1E+100</v>
      </c>
      <c r="H708" s="49">
        <v>1</v>
      </c>
    </row>
    <row r="709" spans="2:8" x14ac:dyDescent="0.3">
      <c r="B709" s="47" t="s">
        <v>756</v>
      </c>
      <c r="C709" s="48" t="s">
        <v>655</v>
      </c>
      <c r="D709" s="48">
        <v>0</v>
      </c>
      <c r="E709" s="48">
        <v>0</v>
      </c>
      <c r="F709" s="48">
        <v>1</v>
      </c>
      <c r="G709" s="48">
        <v>1E+100</v>
      </c>
      <c r="H709" s="49">
        <v>1</v>
      </c>
    </row>
    <row r="710" spans="2:8" x14ac:dyDescent="0.3">
      <c r="B710" s="47" t="s">
        <v>757</v>
      </c>
      <c r="C710" s="48" t="s">
        <v>657</v>
      </c>
      <c r="D710" s="48">
        <v>0</v>
      </c>
      <c r="E710" s="48">
        <v>0</v>
      </c>
      <c r="F710" s="48">
        <v>1</v>
      </c>
      <c r="G710" s="48">
        <v>1E+100</v>
      </c>
      <c r="H710" s="49">
        <v>1</v>
      </c>
    </row>
    <row r="711" spans="2:8" x14ac:dyDescent="0.3">
      <c r="B711" s="47" t="s">
        <v>758</v>
      </c>
      <c r="C711" s="48" t="s">
        <v>21</v>
      </c>
      <c r="D711" s="48">
        <v>0</v>
      </c>
      <c r="E711" s="48">
        <v>0</v>
      </c>
      <c r="F711" s="48">
        <v>1</v>
      </c>
      <c r="G711" s="48">
        <v>1E+100</v>
      </c>
      <c r="H711" s="49">
        <v>1</v>
      </c>
    </row>
    <row r="712" spans="2:8" x14ac:dyDescent="0.3">
      <c r="B712" s="47" t="s">
        <v>759</v>
      </c>
      <c r="C712" s="48" t="s">
        <v>21</v>
      </c>
      <c r="D712" s="48">
        <v>0</v>
      </c>
      <c r="E712" s="48">
        <v>0</v>
      </c>
      <c r="F712" s="48">
        <v>1</v>
      </c>
      <c r="G712" s="48">
        <v>1E+100</v>
      </c>
      <c r="H712" s="49">
        <v>1</v>
      </c>
    </row>
    <row r="713" spans="2:8" x14ac:dyDescent="0.3">
      <c r="B713" s="47" t="s">
        <v>760</v>
      </c>
      <c r="C713" s="48" t="s">
        <v>21</v>
      </c>
      <c r="D713" s="48">
        <v>0</v>
      </c>
      <c r="E713" s="48">
        <v>0</v>
      </c>
      <c r="F713" s="48">
        <v>1</v>
      </c>
      <c r="G713" s="48">
        <v>1E+100</v>
      </c>
      <c r="H713" s="49">
        <v>1</v>
      </c>
    </row>
    <row r="714" spans="2:8" x14ac:dyDescent="0.3">
      <c r="B714" s="47" t="s">
        <v>761</v>
      </c>
      <c r="C714" s="48" t="s">
        <v>655</v>
      </c>
      <c r="D714" s="48">
        <v>0</v>
      </c>
      <c r="E714" s="48">
        <v>0</v>
      </c>
      <c r="F714" s="48">
        <v>1</v>
      </c>
      <c r="G714" s="48">
        <v>1E+100</v>
      </c>
      <c r="H714" s="49">
        <v>1</v>
      </c>
    </row>
    <row r="715" spans="2:8" x14ac:dyDescent="0.3">
      <c r="B715" s="47" t="s">
        <v>762</v>
      </c>
      <c r="C715" s="48" t="s">
        <v>657</v>
      </c>
      <c r="D715" s="48">
        <v>0</v>
      </c>
      <c r="E715" s="48">
        <v>0</v>
      </c>
      <c r="F715" s="48">
        <v>1</v>
      </c>
      <c r="G715" s="48">
        <v>1E+100</v>
      </c>
      <c r="H715" s="49">
        <v>1</v>
      </c>
    </row>
    <row r="716" spans="2:8" x14ac:dyDescent="0.3">
      <c r="B716" s="47" t="s">
        <v>763</v>
      </c>
      <c r="C716" s="48" t="s">
        <v>21</v>
      </c>
      <c r="D716" s="48">
        <v>0</v>
      </c>
      <c r="E716" s="48">
        <v>0</v>
      </c>
      <c r="F716" s="48">
        <v>1</v>
      </c>
      <c r="G716" s="48">
        <v>1E+100</v>
      </c>
      <c r="H716" s="49">
        <v>1</v>
      </c>
    </row>
    <row r="717" spans="2:8" x14ac:dyDescent="0.3">
      <c r="B717" s="47" t="s">
        <v>764</v>
      </c>
      <c r="C717" s="48" t="s">
        <v>21</v>
      </c>
      <c r="D717" s="48">
        <v>0</v>
      </c>
      <c r="E717" s="48">
        <v>0</v>
      </c>
      <c r="F717" s="48">
        <v>1</v>
      </c>
      <c r="G717" s="48">
        <v>1E+100</v>
      </c>
      <c r="H717" s="49">
        <v>1</v>
      </c>
    </row>
    <row r="718" spans="2:8" x14ac:dyDescent="0.3">
      <c r="B718" s="47" t="s">
        <v>765</v>
      </c>
      <c r="C718" s="48" t="s">
        <v>21</v>
      </c>
      <c r="D718" s="48">
        <v>0</v>
      </c>
      <c r="E718" s="48">
        <v>0</v>
      </c>
      <c r="F718" s="48">
        <v>1</v>
      </c>
      <c r="G718" s="48">
        <v>1E+100</v>
      </c>
      <c r="H718" s="49">
        <v>1</v>
      </c>
    </row>
    <row r="719" spans="2:8" x14ac:dyDescent="0.3">
      <c r="B719" s="47" t="s">
        <v>766</v>
      </c>
      <c r="C719" s="48" t="s">
        <v>655</v>
      </c>
      <c r="D719" s="48">
        <v>0</v>
      </c>
      <c r="E719" s="48">
        <v>0</v>
      </c>
      <c r="F719" s="48">
        <v>1</v>
      </c>
      <c r="G719" s="48">
        <v>1E+100</v>
      </c>
      <c r="H719" s="49">
        <v>1</v>
      </c>
    </row>
    <row r="720" spans="2:8" x14ac:dyDescent="0.3">
      <c r="B720" s="47" t="s">
        <v>767</v>
      </c>
      <c r="C720" s="48" t="s">
        <v>657</v>
      </c>
      <c r="D720" s="48">
        <v>0</v>
      </c>
      <c r="E720" s="48">
        <v>0</v>
      </c>
      <c r="F720" s="48">
        <v>1</v>
      </c>
      <c r="G720" s="48">
        <v>1E+100</v>
      </c>
      <c r="H720" s="49">
        <v>1</v>
      </c>
    </row>
    <row r="721" spans="2:8" x14ac:dyDescent="0.3">
      <c r="B721" s="47" t="s">
        <v>768</v>
      </c>
      <c r="C721" s="48" t="s">
        <v>21</v>
      </c>
      <c r="D721" s="48">
        <v>0</v>
      </c>
      <c r="E721" s="48">
        <v>0</v>
      </c>
      <c r="F721" s="48">
        <v>1</v>
      </c>
      <c r="G721" s="48">
        <v>1E+100</v>
      </c>
      <c r="H721" s="49">
        <v>1</v>
      </c>
    </row>
    <row r="722" spans="2:8" x14ac:dyDescent="0.3">
      <c r="B722" s="47" t="s">
        <v>769</v>
      </c>
      <c r="C722" s="48" t="s">
        <v>21</v>
      </c>
      <c r="D722" s="48">
        <v>0</v>
      </c>
      <c r="E722" s="48">
        <v>0</v>
      </c>
      <c r="F722" s="48">
        <v>1</v>
      </c>
      <c r="G722" s="48">
        <v>1E+100</v>
      </c>
      <c r="H722" s="49">
        <v>1</v>
      </c>
    </row>
    <row r="723" spans="2:8" x14ac:dyDescent="0.3">
      <c r="B723" s="47" t="s">
        <v>770</v>
      </c>
      <c r="C723" s="48" t="s">
        <v>21</v>
      </c>
      <c r="D723" s="48">
        <v>0</v>
      </c>
      <c r="E723" s="48">
        <v>0</v>
      </c>
      <c r="F723" s="48">
        <v>1</v>
      </c>
      <c r="G723" s="48">
        <v>1E+100</v>
      </c>
      <c r="H723" s="49">
        <v>1</v>
      </c>
    </row>
    <row r="724" spans="2:8" x14ac:dyDescent="0.3">
      <c r="B724" s="47" t="s">
        <v>771</v>
      </c>
      <c r="C724" s="48" t="s">
        <v>655</v>
      </c>
      <c r="D724" s="48">
        <v>0</v>
      </c>
      <c r="E724" s="48">
        <v>0</v>
      </c>
      <c r="F724" s="48">
        <v>1</v>
      </c>
      <c r="G724" s="48">
        <v>1E+100</v>
      </c>
      <c r="H724" s="49">
        <v>1</v>
      </c>
    </row>
    <row r="725" spans="2:8" x14ac:dyDescent="0.3">
      <c r="B725" s="47" t="s">
        <v>772</v>
      </c>
      <c r="C725" s="48" t="s">
        <v>657</v>
      </c>
      <c r="D725" s="48">
        <v>0</v>
      </c>
      <c r="E725" s="48">
        <v>0</v>
      </c>
      <c r="F725" s="48">
        <v>1</v>
      </c>
      <c r="G725" s="48">
        <v>1E+100</v>
      </c>
      <c r="H725" s="49">
        <v>1</v>
      </c>
    </row>
    <row r="726" spans="2:8" x14ac:dyDescent="0.3">
      <c r="B726" s="47" t="s">
        <v>773</v>
      </c>
      <c r="C726" s="48" t="s">
        <v>21</v>
      </c>
      <c r="D726" s="48">
        <v>0</v>
      </c>
      <c r="E726" s="48">
        <v>0</v>
      </c>
      <c r="F726" s="48">
        <v>1</v>
      </c>
      <c r="G726" s="48">
        <v>1E+100</v>
      </c>
      <c r="H726" s="49">
        <v>1</v>
      </c>
    </row>
    <row r="727" spans="2:8" x14ac:dyDescent="0.3">
      <c r="B727" s="47" t="s">
        <v>774</v>
      </c>
      <c r="C727" s="48" t="s">
        <v>21</v>
      </c>
      <c r="D727" s="48">
        <v>0</v>
      </c>
      <c r="E727" s="48">
        <v>0</v>
      </c>
      <c r="F727" s="48">
        <v>1</v>
      </c>
      <c r="G727" s="48">
        <v>1E+100</v>
      </c>
      <c r="H727" s="49">
        <v>1</v>
      </c>
    </row>
    <row r="728" spans="2:8" x14ac:dyDescent="0.3">
      <c r="B728" s="47" t="s">
        <v>775</v>
      </c>
      <c r="C728" s="48" t="s">
        <v>21</v>
      </c>
      <c r="D728" s="48">
        <v>0</v>
      </c>
      <c r="E728" s="48">
        <v>0</v>
      </c>
      <c r="F728" s="48">
        <v>1</v>
      </c>
      <c r="G728" s="48">
        <v>1E+100</v>
      </c>
      <c r="H728" s="49">
        <v>1</v>
      </c>
    </row>
    <row r="729" spans="2:8" x14ac:dyDescent="0.3">
      <c r="B729" s="47" t="s">
        <v>776</v>
      </c>
      <c r="C729" s="48" t="s">
        <v>655</v>
      </c>
      <c r="D729" s="48">
        <v>0</v>
      </c>
      <c r="E729" s="48">
        <v>0</v>
      </c>
      <c r="F729" s="48">
        <v>1</v>
      </c>
      <c r="G729" s="48">
        <v>1E+100</v>
      </c>
      <c r="H729" s="49">
        <v>1</v>
      </c>
    </row>
    <row r="730" spans="2:8" x14ac:dyDescent="0.3">
      <c r="B730" s="47" t="s">
        <v>777</v>
      </c>
      <c r="C730" s="48" t="s">
        <v>657</v>
      </c>
      <c r="D730" s="48">
        <v>0</v>
      </c>
      <c r="E730" s="48">
        <v>0</v>
      </c>
      <c r="F730" s="48">
        <v>1</v>
      </c>
      <c r="G730" s="48">
        <v>1E+100</v>
      </c>
      <c r="H730" s="49">
        <v>1</v>
      </c>
    </row>
    <row r="731" spans="2:8" x14ac:dyDescent="0.3">
      <c r="B731" s="47" t="s">
        <v>778</v>
      </c>
      <c r="C731" s="48" t="s">
        <v>21</v>
      </c>
      <c r="D731" s="48">
        <v>0</v>
      </c>
      <c r="E731" s="48">
        <v>0</v>
      </c>
      <c r="F731" s="48">
        <v>1</v>
      </c>
      <c r="G731" s="48">
        <v>1E+100</v>
      </c>
      <c r="H731" s="49">
        <v>1</v>
      </c>
    </row>
    <row r="732" spans="2:8" x14ac:dyDescent="0.3">
      <c r="B732" s="47" t="s">
        <v>779</v>
      </c>
      <c r="C732" s="48" t="s">
        <v>21</v>
      </c>
      <c r="D732" s="48">
        <v>0</v>
      </c>
      <c r="E732" s="48">
        <v>0</v>
      </c>
      <c r="F732" s="48">
        <v>1</v>
      </c>
      <c r="G732" s="48">
        <v>1E+100</v>
      </c>
      <c r="H732" s="49">
        <v>1</v>
      </c>
    </row>
    <row r="733" spans="2:8" x14ac:dyDescent="0.3">
      <c r="B733" s="47" t="s">
        <v>780</v>
      </c>
      <c r="C733" s="48" t="s">
        <v>21</v>
      </c>
      <c r="D733" s="48">
        <v>0</v>
      </c>
      <c r="E733" s="48">
        <v>0</v>
      </c>
      <c r="F733" s="48">
        <v>1</v>
      </c>
      <c r="G733" s="48">
        <v>1E+100</v>
      </c>
      <c r="H733" s="49">
        <v>1</v>
      </c>
    </row>
    <row r="734" spans="2:8" x14ac:dyDescent="0.3">
      <c r="B734" s="47" t="s">
        <v>781</v>
      </c>
      <c r="C734" s="48" t="s">
        <v>782</v>
      </c>
      <c r="D734" s="48">
        <v>0</v>
      </c>
      <c r="E734" s="48">
        <v>0</v>
      </c>
      <c r="F734" s="48">
        <v>1</v>
      </c>
      <c r="G734" s="48">
        <v>1E+100</v>
      </c>
      <c r="H734" s="49">
        <v>1</v>
      </c>
    </row>
    <row r="735" spans="2:8" x14ac:dyDescent="0.3">
      <c r="B735" s="47" t="s">
        <v>783</v>
      </c>
      <c r="C735" s="48" t="s">
        <v>784</v>
      </c>
      <c r="D735" s="48">
        <v>0</v>
      </c>
      <c r="E735" s="48">
        <v>0</v>
      </c>
      <c r="F735" s="48">
        <v>1</v>
      </c>
      <c r="G735" s="48">
        <v>1E+100</v>
      </c>
      <c r="H735" s="49">
        <v>1</v>
      </c>
    </row>
    <row r="736" spans="2:8" x14ac:dyDescent="0.3">
      <c r="B736" s="47" t="s">
        <v>785</v>
      </c>
      <c r="C736" s="48" t="s">
        <v>21</v>
      </c>
      <c r="D736" s="48">
        <v>0</v>
      </c>
      <c r="E736" s="48">
        <v>0</v>
      </c>
      <c r="F736" s="48">
        <v>1</v>
      </c>
      <c r="G736" s="48">
        <v>1E+100</v>
      </c>
      <c r="H736" s="49">
        <v>1</v>
      </c>
    </row>
    <row r="737" spans="2:8" x14ac:dyDescent="0.3">
      <c r="B737" s="47" t="s">
        <v>786</v>
      </c>
      <c r="C737" s="48" t="s">
        <v>21</v>
      </c>
      <c r="D737" s="48">
        <v>0</v>
      </c>
      <c r="E737" s="48">
        <v>0</v>
      </c>
      <c r="F737" s="48">
        <v>1</v>
      </c>
      <c r="G737" s="48">
        <v>1E+100</v>
      </c>
      <c r="H737" s="49">
        <v>1</v>
      </c>
    </row>
    <row r="738" spans="2:8" x14ac:dyDescent="0.3">
      <c r="B738" s="47" t="s">
        <v>787</v>
      </c>
      <c r="C738" s="48" t="s">
        <v>21</v>
      </c>
      <c r="D738" s="48">
        <v>0</v>
      </c>
      <c r="E738" s="48">
        <v>0</v>
      </c>
      <c r="F738" s="48">
        <v>1</v>
      </c>
      <c r="G738" s="48">
        <v>1E+100</v>
      </c>
      <c r="H738" s="49">
        <v>1</v>
      </c>
    </row>
    <row r="739" spans="2:8" x14ac:dyDescent="0.3">
      <c r="B739" s="47" t="s">
        <v>788</v>
      </c>
      <c r="C739" s="48" t="s">
        <v>782</v>
      </c>
      <c r="D739" s="48">
        <v>0</v>
      </c>
      <c r="E739" s="48">
        <v>0</v>
      </c>
      <c r="F739" s="48">
        <v>1</v>
      </c>
      <c r="G739" s="48">
        <v>1E+100</v>
      </c>
      <c r="H739" s="49">
        <v>1</v>
      </c>
    </row>
    <row r="740" spans="2:8" x14ac:dyDescent="0.3">
      <c r="B740" s="47" t="s">
        <v>789</v>
      </c>
      <c r="C740" s="48" t="s">
        <v>784</v>
      </c>
      <c r="D740" s="48">
        <v>0</v>
      </c>
      <c r="E740" s="48">
        <v>0</v>
      </c>
      <c r="F740" s="48">
        <v>1</v>
      </c>
      <c r="G740" s="48">
        <v>1E+100</v>
      </c>
      <c r="H740" s="49">
        <v>1</v>
      </c>
    </row>
    <row r="741" spans="2:8" x14ac:dyDescent="0.3">
      <c r="B741" s="47" t="s">
        <v>790</v>
      </c>
      <c r="C741" s="48" t="s">
        <v>21</v>
      </c>
      <c r="D741" s="48">
        <v>0</v>
      </c>
      <c r="E741" s="48">
        <v>0</v>
      </c>
      <c r="F741" s="48">
        <v>1</v>
      </c>
      <c r="G741" s="48">
        <v>1E+100</v>
      </c>
      <c r="H741" s="49">
        <v>1</v>
      </c>
    </row>
    <row r="742" spans="2:8" x14ac:dyDescent="0.3">
      <c r="B742" s="47" t="s">
        <v>791</v>
      </c>
      <c r="C742" s="48" t="s">
        <v>21</v>
      </c>
      <c r="D742" s="48">
        <v>0</v>
      </c>
      <c r="E742" s="48">
        <v>0</v>
      </c>
      <c r="F742" s="48">
        <v>1</v>
      </c>
      <c r="G742" s="48">
        <v>1E+100</v>
      </c>
      <c r="H742" s="49">
        <v>1</v>
      </c>
    </row>
    <row r="743" spans="2:8" x14ac:dyDescent="0.3">
      <c r="B743" s="47" t="s">
        <v>792</v>
      </c>
      <c r="C743" s="48" t="s">
        <v>21</v>
      </c>
      <c r="D743" s="48">
        <v>0</v>
      </c>
      <c r="E743" s="48">
        <v>0</v>
      </c>
      <c r="F743" s="48">
        <v>1</v>
      </c>
      <c r="G743" s="48">
        <v>1E+100</v>
      </c>
      <c r="H743" s="49">
        <v>1</v>
      </c>
    </row>
    <row r="744" spans="2:8" x14ac:dyDescent="0.3">
      <c r="B744" s="47" t="s">
        <v>793</v>
      </c>
      <c r="C744" s="48" t="s">
        <v>782</v>
      </c>
      <c r="D744" s="48">
        <v>0</v>
      </c>
      <c r="E744" s="48">
        <v>0</v>
      </c>
      <c r="F744" s="48">
        <v>1</v>
      </c>
      <c r="G744" s="48">
        <v>1E+100</v>
      </c>
      <c r="H744" s="49">
        <v>1</v>
      </c>
    </row>
    <row r="745" spans="2:8" x14ac:dyDescent="0.3">
      <c r="B745" s="47" t="s">
        <v>794</v>
      </c>
      <c r="C745" s="48" t="s">
        <v>784</v>
      </c>
      <c r="D745" s="48">
        <v>0</v>
      </c>
      <c r="E745" s="48">
        <v>0</v>
      </c>
      <c r="F745" s="48">
        <v>1</v>
      </c>
      <c r="G745" s="48">
        <v>1E+100</v>
      </c>
      <c r="H745" s="49">
        <v>1</v>
      </c>
    </row>
    <row r="746" spans="2:8" x14ac:dyDescent="0.3">
      <c r="B746" s="47" t="s">
        <v>795</v>
      </c>
      <c r="C746" s="48" t="s">
        <v>21</v>
      </c>
      <c r="D746" s="48">
        <v>0</v>
      </c>
      <c r="E746" s="48">
        <v>0</v>
      </c>
      <c r="F746" s="48">
        <v>1</v>
      </c>
      <c r="G746" s="48">
        <v>1E+100</v>
      </c>
      <c r="H746" s="49">
        <v>1</v>
      </c>
    </row>
    <row r="747" spans="2:8" x14ac:dyDescent="0.3">
      <c r="B747" s="47" t="s">
        <v>796</v>
      </c>
      <c r="C747" s="48" t="s">
        <v>21</v>
      </c>
      <c r="D747" s="48">
        <v>0</v>
      </c>
      <c r="E747" s="48">
        <v>0</v>
      </c>
      <c r="F747" s="48">
        <v>1</v>
      </c>
      <c r="G747" s="48">
        <v>1E+100</v>
      </c>
      <c r="H747" s="49">
        <v>1</v>
      </c>
    </row>
    <row r="748" spans="2:8" x14ac:dyDescent="0.3">
      <c r="B748" s="47" t="s">
        <v>797</v>
      </c>
      <c r="C748" s="48" t="s">
        <v>21</v>
      </c>
      <c r="D748" s="48">
        <v>0</v>
      </c>
      <c r="E748" s="48">
        <v>0</v>
      </c>
      <c r="F748" s="48">
        <v>1</v>
      </c>
      <c r="G748" s="48">
        <v>1E+100</v>
      </c>
      <c r="H748" s="49">
        <v>1</v>
      </c>
    </row>
    <row r="749" spans="2:8" x14ac:dyDescent="0.3">
      <c r="B749" s="47" t="s">
        <v>798</v>
      </c>
      <c r="C749" s="48" t="s">
        <v>782</v>
      </c>
      <c r="D749" s="48">
        <v>0</v>
      </c>
      <c r="E749" s="48">
        <v>0</v>
      </c>
      <c r="F749" s="48">
        <v>1</v>
      </c>
      <c r="G749" s="48">
        <v>1E+100</v>
      </c>
      <c r="H749" s="49">
        <v>1</v>
      </c>
    </row>
    <row r="750" spans="2:8" x14ac:dyDescent="0.3">
      <c r="B750" s="47" t="s">
        <v>799</v>
      </c>
      <c r="C750" s="48" t="s">
        <v>784</v>
      </c>
      <c r="D750" s="48">
        <v>0</v>
      </c>
      <c r="E750" s="48">
        <v>0</v>
      </c>
      <c r="F750" s="48">
        <v>1</v>
      </c>
      <c r="G750" s="48">
        <v>1E+100</v>
      </c>
      <c r="H750" s="49">
        <v>1</v>
      </c>
    </row>
    <row r="751" spans="2:8" x14ac:dyDescent="0.3">
      <c r="B751" s="47" t="s">
        <v>800</v>
      </c>
      <c r="C751" s="48" t="s">
        <v>21</v>
      </c>
      <c r="D751" s="48">
        <v>0</v>
      </c>
      <c r="E751" s="48">
        <v>0</v>
      </c>
      <c r="F751" s="48">
        <v>1</v>
      </c>
      <c r="G751" s="48">
        <v>1E+100</v>
      </c>
      <c r="H751" s="49">
        <v>1</v>
      </c>
    </row>
    <row r="752" spans="2:8" x14ac:dyDescent="0.3">
      <c r="B752" s="47" t="s">
        <v>801</v>
      </c>
      <c r="C752" s="48" t="s">
        <v>21</v>
      </c>
      <c r="D752" s="48">
        <v>0</v>
      </c>
      <c r="E752" s="48">
        <v>0</v>
      </c>
      <c r="F752" s="48">
        <v>1</v>
      </c>
      <c r="G752" s="48">
        <v>1E+100</v>
      </c>
      <c r="H752" s="49">
        <v>1</v>
      </c>
    </row>
    <row r="753" spans="2:8" x14ac:dyDescent="0.3">
      <c r="B753" s="47" t="s">
        <v>802</v>
      </c>
      <c r="C753" s="48" t="s">
        <v>21</v>
      </c>
      <c r="D753" s="48">
        <v>0</v>
      </c>
      <c r="E753" s="48">
        <v>0</v>
      </c>
      <c r="F753" s="48">
        <v>1</v>
      </c>
      <c r="G753" s="48">
        <v>1E+100</v>
      </c>
      <c r="H753" s="49">
        <v>1</v>
      </c>
    </row>
    <row r="754" spans="2:8" x14ac:dyDescent="0.3">
      <c r="B754" s="47" t="s">
        <v>803</v>
      </c>
      <c r="C754" s="48" t="s">
        <v>782</v>
      </c>
      <c r="D754" s="48">
        <v>0</v>
      </c>
      <c r="E754" s="48">
        <v>0</v>
      </c>
      <c r="F754" s="48">
        <v>1</v>
      </c>
      <c r="G754" s="48">
        <v>1E+100</v>
      </c>
      <c r="H754" s="49">
        <v>1</v>
      </c>
    </row>
    <row r="755" spans="2:8" x14ac:dyDescent="0.3">
      <c r="B755" s="47" t="s">
        <v>804</v>
      </c>
      <c r="C755" s="48" t="s">
        <v>784</v>
      </c>
      <c r="D755" s="48">
        <v>0</v>
      </c>
      <c r="E755" s="48">
        <v>0</v>
      </c>
      <c r="F755" s="48">
        <v>1</v>
      </c>
      <c r="G755" s="48">
        <v>1E+100</v>
      </c>
      <c r="H755" s="49">
        <v>1</v>
      </c>
    </row>
    <row r="756" spans="2:8" x14ac:dyDescent="0.3">
      <c r="B756" s="47" t="s">
        <v>805</v>
      </c>
      <c r="C756" s="48" t="s">
        <v>21</v>
      </c>
      <c r="D756" s="48">
        <v>0</v>
      </c>
      <c r="E756" s="48">
        <v>0</v>
      </c>
      <c r="F756" s="48">
        <v>1</v>
      </c>
      <c r="G756" s="48">
        <v>1E+100</v>
      </c>
      <c r="H756" s="49">
        <v>1</v>
      </c>
    </row>
    <row r="757" spans="2:8" x14ac:dyDescent="0.3">
      <c r="B757" s="47" t="s">
        <v>806</v>
      </c>
      <c r="C757" s="48" t="s">
        <v>21</v>
      </c>
      <c r="D757" s="48">
        <v>0</v>
      </c>
      <c r="E757" s="48">
        <v>0</v>
      </c>
      <c r="F757" s="48">
        <v>1</v>
      </c>
      <c r="G757" s="48">
        <v>1E+100</v>
      </c>
      <c r="H757" s="49">
        <v>1</v>
      </c>
    </row>
    <row r="758" spans="2:8" x14ac:dyDescent="0.3">
      <c r="B758" s="47" t="s">
        <v>807</v>
      </c>
      <c r="C758" s="48" t="s">
        <v>21</v>
      </c>
      <c r="D758" s="48">
        <v>0</v>
      </c>
      <c r="E758" s="48">
        <v>0</v>
      </c>
      <c r="F758" s="48">
        <v>1</v>
      </c>
      <c r="G758" s="48">
        <v>1E+100</v>
      </c>
      <c r="H758" s="49">
        <v>1</v>
      </c>
    </row>
    <row r="759" spans="2:8" x14ac:dyDescent="0.3">
      <c r="B759" s="47" t="s">
        <v>808</v>
      </c>
      <c r="C759" s="48" t="s">
        <v>782</v>
      </c>
      <c r="D759" s="48">
        <v>0</v>
      </c>
      <c r="E759" s="48">
        <v>0</v>
      </c>
      <c r="F759" s="48">
        <v>1</v>
      </c>
      <c r="G759" s="48">
        <v>1E+100</v>
      </c>
      <c r="H759" s="49">
        <v>1</v>
      </c>
    </row>
    <row r="760" spans="2:8" x14ac:dyDescent="0.3">
      <c r="B760" s="47" t="s">
        <v>809</v>
      </c>
      <c r="C760" s="48" t="s">
        <v>784</v>
      </c>
      <c r="D760" s="48">
        <v>0</v>
      </c>
      <c r="E760" s="48">
        <v>0</v>
      </c>
      <c r="F760" s="48">
        <v>1</v>
      </c>
      <c r="G760" s="48">
        <v>1E+100</v>
      </c>
      <c r="H760" s="49">
        <v>1</v>
      </c>
    </row>
    <row r="761" spans="2:8" x14ac:dyDescent="0.3">
      <c r="B761" s="47" t="s">
        <v>810</v>
      </c>
      <c r="C761" s="48" t="s">
        <v>21</v>
      </c>
      <c r="D761" s="48">
        <v>0</v>
      </c>
      <c r="E761" s="48">
        <v>0</v>
      </c>
      <c r="F761" s="48">
        <v>1</v>
      </c>
      <c r="G761" s="48">
        <v>1E+100</v>
      </c>
      <c r="H761" s="49">
        <v>1</v>
      </c>
    </row>
    <row r="762" spans="2:8" x14ac:dyDescent="0.3">
      <c r="B762" s="47" t="s">
        <v>811</v>
      </c>
      <c r="C762" s="48" t="s">
        <v>21</v>
      </c>
      <c r="D762" s="48">
        <v>0</v>
      </c>
      <c r="E762" s="48">
        <v>0</v>
      </c>
      <c r="F762" s="48">
        <v>1</v>
      </c>
      <c r="G762" s="48">
        <v>1E+100</v>
      </c>
      <c r="H762" s="49">
        <v>1</v>
      </c>
    </row>
    <row r="763" spans="2:8" x14ac:dyDescent="0.3">
      <c r="B763" s="47" t="s">
        <v>812</v>
      </c>
      <c r="C763" s="48" t="s">
        <v>21</v>
      </c>
      <c r="D763" s="48">
        <v>0</v>
      </c>
      <c r="E763" s="48">
        <v>0</v>
      </c>
      <c r="F763" s="48">
        <v>1</v>
      </c>
      <c r="G763" s="48">
        <v>1E+100</v>
      </c>
      <c r="H763" s="49">
        <v>1</v>
      </c>
    </row>
    <row r="764" spans="2:8" x14ac:dyDescent="0.3">
      <c r="B764" s="47" t="s">
        <v>813</v>
      </c>
      <c r="C764" s="48" t="s">
        <v>782</v>
      </c>
      <c r="D764" s="48">
        <v>0</v>
      </c>
      <c r="E764" s="48">
        <v>0</v>
      </c>
      <c r="F764" s="48">
        <v>1</v>
      </c>
      <c r="G764" s="48">
        <v>1E+100</v>
      </c>
      <c r="H764" s="49">
        <v>1</v>
      </c>
    </row>
    <row r="765" spans="2:8" x14ac:dyDescent="0.3">
      <c r="B765" s="47" t="s">
        <v>814</v>
      </c>
      <c r="C765" s="48" t="s">
        <v>784</v>
      </c>
      <c r="D765" s="48">
        <v>0</v>
      </c>
      <c r="E765" s="48">
        <v>0</v>
      </c>
      <c r="F765" s="48">
        <v>1</v>
      </c>
      <c r="G765" s="48">
        <v>1E+100</v>
      </c>
      <c r="H765" s="49">
        <v>1</v>
      </c>
    </row>
    <row r="766" spans="2:8" x14ac:dyDescent="0.3">
      <c r="B766" s="47" t="s">
        <v>815</v>
      </c>
      <c r="C766" s="48" t="s">
        <v>21</v>
      </c>
      <c r="D766" s="48">
        <v>0</v>
      </c>
      <c r="E766" s="48">
        <v>0</v>
      </c>
      <c r="F766" s="48">
        <v>1</v>
      </c>
      <c r="G766" s="48">
        <v>1E+100</v>
      </c>
      <c r="H766" s="49">
        <v>1</v>
      </c>
    </row>
    <row r="767" spans="2:8" x14ac:dyDescent="0.3">
      <c r="B767" s="47" t="s">
        <v>816</v>
      </c>
      <c r="C767" s="48" t="s">
        <v>21</v>
      </c>
      <c r="D767" s="48">
        <v>0</v>
      </c>
      <c r="E767" s="48">
        <v>0</v>
      </c>
      <c r="F767" s="48">
        <v>1</v>
      </c>
      <c r="G767" s="48">
        <v>1E+100</v>
      </c>
      <c r="H767" s="49">
        <v>1</v>
      </c>
    </row>
    <row r="768" spans="2:8" x14ac:dyDescent="0.3">
      <c r="B768" s="47" t="s">
        <v>817</v>
      </c>
      <c r="C768" s="48" t="s">
        <v>21</v>
      </c>
      <c r="D768" s="48">
        <v>0</v>
      </c>
      <c r="E768" s="48">
        <v>0</v>
      </c>
      <c r="F768" s="48">
        <v>1</v>
      </c>
      <c r="G768" s="48">
        <v>1E+100</v>
      </c>
      <c r="H768" s="49">
        <v>1</v>
      </c>
    </row>
    <row r="769" spans="2:8" x14ac:dyDescent="0.3">
      <c r="B769" s="47" t="s">
        <v>818</v>
      </c>
      <c r="C769" s="48" t="s">
        <v>782</v>
      </c>
      <c r="D769" s="48">
        <v>0</v>
      </c>
      <c r="E769" s="48">
        <v>0</v>
      </c>
      <c r="F769" s="48">
        <v>1</v>
      </c>
      <c r="G769" s="48">
        <v>1E+100</v>
      </c>
      <c r="H769" s="49">
        <v>1</v>
      </c>
    </row>
    <row r="770" spans="2:8" x14ac:dyDescent="0.3">
      <c r="B770" s="47" t="s">
        <v>819</v>
      </c>
      <c r="C770" s="48" t="s">
        <v>784</v>
      </c>
      <c r="D770" s="48">
        <v>0</v>
      </c>
      <c r="E770" s="48">
        <v>0</v>
      </c>
      <c r="F770" s="48">
        <v>1</v>
      </c>
      <c r="G770" s="48">
        <v>1E+100</v>
      </c>
      <c r="H770" s="49">
        <v>1</v>
      </c>
    </row>
    <row r="771" spans="2:8" x14ac:dyDescent="0.3">
      <c r="B771" s="47" t="s">
        <v>820</v>
      </c>
      <c r="C771" s="48" t="s">
        <v>21</v>
      </c>
      <c r="D771" s="48">
        <v>0</v>
      </c>
      <c r="E771" s="48">
        <v>0</v>
      </c>
      <c r="F771" s="48">
        <v>1</v>
      </c>
      <c r="G771" s="48">
        <v>1E+100</v>
      </c>
      <c r="H771" s="49">
        <v>1</v>
      </c>
    </row>
    <row r="772" spans="2:8" x14ac:dyDescent="0.3">
      <c r="B772" s="47" t="s">
        <v>821</v>
      </c>
      <c r="C772" s="48" t="s">
        <v>21</v>
      </c>
      <c r="D772" s="48">
        <v>0</v>
      </c>
      <c r="E772" s="48">
        <v>0</v>
      </c>
      <c r="F772" s="48">
        <v>1</v>
      </c>
      <c r="G772" s="48">
        <v>1E+100</v>
      </c>
      <c r="H772" s="49">
        <v>1</v>
      </c>
    </row>
    <row r="773" spans="2:8" x14ac:dyDescent="0.3">
      <c r="B773" s="47" t="s">
        <v>822</v>
      </c>
      <c r="C773" s="48" t="s">
        <v>21</v>
      </c>
      <c r="D773" s="48">
        <v>0</v>
      </c>
      <c r="E773" s="48">
        <v>0</v>
      </c>
      <c r="F773" s="48">
        <v>1</v>
      </c>
      <c r="G773" s="48">
        <v>1E+100</v>
      </c>
      <c r="H773" s="49">
        <v>1</v>
      </c>
    </row>
    <row r="774" spans="2:8" x14ac:dyDescent="0.3">
      <c r="B774" s="47" t="s">
        <v>823</v>
      </c>
      <c r="C774" s="48" t="s">
        <v>782</v>
      </c>
      <c r="D774" s="48">
        <v>0</v>
      </c>
      <c r="E774" s="48">
        <v>0</v>
      </c>
      <c r="F774" s="48">
        <v>1</v>
      </c>
      <c r="G774" s="48">
        <v>1E+100</v>
      </c>
      <c r="H774" s="49">
        <v>1</v>
      </c>
    </row>
    <row r="775" spans="2:8" x14ac:dyDescent="0.3">
      <c r="B775" s="47" t="s">
        <v>824</v>
      </c>
      <c r="C775" s="48" t="s">
        <v>784</v>
      </c>
      <c r="D775" s="48">
        <v>0</v>
      </c>
      <c r="E775" s="48">
        <v>0</v>
      </c>
      <c r="F775" s="48">
        <v>1</v>
      </c>
      <c r="G775" s="48">
        <v>1E+100</v>
      </c>
      <c r="H775" s="49">
        <v>1</v>
      </c>
    </row>
    <row r="776" spans="2:8" x14ac:dyDescent="0.3">
      <c r="B776" s="47" t="s">
        <v>825</v>
      </c>
      <c r="C776" s="48" t="s">
        <v>21</v>
      </c>
      <c r="D776" s="48">
        <v>0</v>
      </c>
      <c r="E776" s="48">
        <v>0</v>
      </c>
      <c r="F776" s="48">
        <v>1</v>
      </c>
      <c r="G776" s="48">
        <v>1E+100</v>
      </c>
      <c r="H776" s="49">
        <v>1</v>
      </c>
    </row>
    <row r="777" spans="2:8" x14ac:dyDescent="0.3">
      <c r="B777" s="47" t="s">
        <v>826</v>
      </c>
      <c r="C777" s="48" t="s">
        <v>21</v>
      </c>
      <c r="D777" s="48">
        <v>0</v>
      </c>
      <c r="E777" s="48">
        <v>0</v>
      </c>
      <c r="F777" s="48">
        <v>1</v>
      </c>
      <c r="G777" s="48">
        <v>1E+100</v>
      </c>
      <c r="H777" s="49">
        <v>1</v>
      </c>
    </row>
    <row r="778" spans="2:8" x14ac:dyDescent="0.3">
      <c r="B778" s="47" t="s">
        <v>827</v>
      </c>
      <c r="C778" s="48" t="s">
        <v>21</v>
      </c>
      <c r="D778" s="48">
        <v>0</v>
      </c>
      <c r="E778" s="48">
        <v>0</v>
      </c>
      <c r="F778" s="48">
        <v>1</v>
      </c>
      <c r="G778" s="48">
        <v>1E+100</v>
      </c>
      <c r="H778" s="49">
        <v>1</v>
      </c>
    </row>
    <row r="779" spans="2:8" x14ac:dyDescent="0.3">
      <c r="B779" s="47" t="s">
        <v>828</v>
      </c>
      <c r="C779" s="48" t="s">
        <v>782</v>
      </c>
      <c r="D779" s="48">
        <v>0</v>
      </c>
      <c r="E779" s="48">
        <v>0</v>
      </c>
      <c r="F779" s="48">
        <v>1</v>
      </c>
      <c r="G779" s="48">
        <v>1E+100</v>
      </c>
      <c r="H779" s="49">
        <v>1</v>
      </c>
    </row>
    <row r="780" spans="2:8" x14ac:dyDescent="0.3">
      <c r="B780" s="47" t="s">
        <v>829</v>
      </c>
      <c r="C780" s="48" t="s">
        <v>784</v>
      </c>
      <c r="D780" s="48">
        <v>0</v>
      </c>
      <c r="E780" s="48">
        <v>0</v>
      </c>
      <c r="F780" s="48">
        <v>1</v>
      </c>
      <c r="G780" s="48">
        <v>1E+100</v>
      </c>
      <c r="H780" s="49">
        <v>1</v>
      </c>
    </row>
    <row r="781" spans="2:8" x14ac:dyDescent="0.3">
      <c r="B781" s="47" t="s">
        <v>830</v>
      </c>
      <c r="C781" s="48" t="s">
        <v>21</v>
      </c>
      <c r="D781" s="48">
        <v>0</v>
      </c>
      <c r="E781" s="48">
        <v>0</v>
      </c>
      <c r="F781" s="48">
        <v>1</v>
      </c>
      <c r="G781" s="48">
        <v>1E+100</v>
      </c>
      <c r="H781" s="49">
        <v>1</v>
      </c>
    </row>
    <row r="782" spans="2:8" x14ac:dyDescent="0.3">
      <c r="B782" s="47" t="s">
        <v>831</v>
      </c>
      <c r="C782" s="48" t="s">
        <v>21</v>
      </c>
      <c r="D782" s="48">
        <v>0</v>
      </c>
      <c r="E782" s="48">
        <v>0</v>
      </c>
      <c r="F782" s="48">
        <v>1</v>
      </c>
      <c r="G782" s="48">
        <v>1E+100</v>
      </c>
      <c r="H782" s="49">
        <v>1</v>
      </c>
    </row>
    <row r="783" spans="2:8" x14ac:dyDescent="0.3">
      <c r="B783" s="47" t="s">
        <v>832</v>
      </c>
      <c r="C783" s="48" t="s">
        <v>21</v>
      </c>
      <c r="D783" s="48">
        <v>0</v>
      </c>
      <c r="E783" s="48">
        <v>0</v>
      </c>
      <c r="F783" s="48">
        <v>1</v>
      </c>
      <c r="G783" s="48">
        <v>1E+100</v>
      </c>
      <c r="H783" s="49">
        <v>1</v>
      </c>
    </row>
    <row r="784" spans="2:8" x14ac:dyDescent="0.3">
      <c r="B784" s="47" t="s">
        <v>833</v>
      </c>
      <c r="C784" s="48" t="s">
        <v>782</v>
      </c>
      <c r="D784" s="48">
        <v>0</v>
      </c>
      <c r="E784" s="48">
        <v>0</v>
      </c>
      <c r="F784" s="48">
        <v>1</v>
      </c>
      <c r="G784" s="48">
        <v>1E+100</v>
      </c>
      <c r="H784" s="49">
        <v>1</v>
      </c>
    </row>
    <row r="785" spans="2:8" x14ac:dyDescent="0.3">
      <c r="B785" s="47" t="s">
        <v>834</v>
      </c>
      <c r="C785" s="48" t="s">
        <v>784</v>
      </c>
      <c r="D785" s="48">
        <v>0</v>
      </c>
      <c r="E785" s="48">
        <v>0</v>
      </c>
      <c r="F785" s="48">
        <v>1</v>
      </c>
      <c r="G785" s="48">
        <v>1E+100</v>
      </c>
      <c r="H785" s="49">
        <v>1</v>
      </c>
    </row>
    <row r="786" spans="2:8" x14ac:dyDescent="0.3">
      <c r="B786" s="47" t="s">
        <v>835</v>
      </c>
      <c r="C786" s="48" t="s">
        <v>21</v>
      </c>
      <c r="D786" s="48">
        <v>0</v>
      </c>
      <c r="E786" s="48">
        <v>0</v>
      </c>
      <c r="F786" s="48">
        <v>1</v>
      </c>
      <c r="G786" s="48">
        <v>1E+100</v>
      </c>
      <c r="H786" s="49">
        <v>1</v>
      </c>
    </row>
    <row r="787" spans="2:8" x14ac:dyDescent="0.3">
      <c r="B787" s="47" t="s">
        <v>836</v>
      </c>
      <c r="C787" s="48" t="s">
        <v>21</v>
      </c>
      <c r="D787" s="48">
        <v>0</v>
      </c>
      <c r="E787" s="48">
        <v>0</v>
      </c>
      <c r="F787" s="48">
        <v>1</v>
      </c>
      <c r="G787" s="48">
        <v>1E+100</v>
      </c>
      <c r="H787" s="49">
        <v>1</v>
      </c>
    </row>
    <row r="788" spans="2:8" x14ac:dyDescent="0.3">
      <c r="B788" s="47" t="s">
        <v>837</v>
      </c>
      <c r="C788" s="48" t="s">
        <v>21</v>
      </c>
      <c r="D788" s="48">
        <v>0</v>
      </c>
      <c r="E788" s="48">
        <v>0</v>
      </c>
      <c r="F788" s="48">
        <v>1</v>
      </c>
      <c r="G788" s="48">
        <v>1E+100</v>
      </c>
      <c r="H788" s="49">
        <v>1</v>
      </c>
    </row>
    <row r="789" spans="2:8" x14ac:dyDescent="0.3">
      <c r="B789" s="47" t="s">
        <v>838</v>
      </c>
      <c r="C789" s="48" t="s">
        <v>782</v>
      </c>
      <c r="D789" s="48">
        <v>0</v>
      </c>
      <c r="E789" s="48">
        <v>0</v>
      </c>
      <c r="F789" s="48">
        <v>1</v>
      </c>
      <c r="G789" s="48">
        <v>1E+100</v>
      </c>
      <c r="H789" s="49">
        <v>1</v>
      </c>
    </row>
    <row r="790" spans="2:8" x14ac:dyDescent="0.3">
      <c r="B790" s="47" t="s">
        <v>839</v>
      </c>
      <c r="C790" s="48" t="s">
        <v>784</v>
      </c>
      <c r="D790" s="48">
        <v>0</v>
      </c>
      <c r="E790" s="48">
        <v>0</v>
      </c>
      <c r="F790" s="48">
        <v>1</v>
      </c>
      <c r="G790" s="48">
        <v>1E+100</v>
      </c>
      <c r="H790" s="49">
        <v>1</v>
      </c>
    </row>
    <row r="791" spans="2:8" x14ac:dyDescent="0.3">
      <c r="B791" s="47" t="s">
        <v>840</v>
      </c>
      <c r="C791" s="48" t="s">
        <v>21</v>
      </c>
      <c r="D791" s="48">
        <v>0</v>
      </c>
      <c r="E791" s="48">
        <v>0</v>
      </c>
      <c r="F791" s="48">
        <v>1</v>
      </c>
      <c r="G791" s="48">
        <v>1E+100</v>
      </c>
      <c r="H791" s="49">
        <v>1</v>
      </c>
    </row>
    <row r="792" spans="2:8" x14ac:dyDescent="0.3">
      <c r="B792" s="47" t="s">
        <v>841</v>
      </c>
      <c r="C792" s="48" t="s">
        <v>21</v>
      </c>
      <c r="D792" s="48">
        <v>0</v>
      </c>
      <c r="E792" s="48">
        <v>0</v>
      </c>
      <c r="F792" s="48">
        <v>1</v>
      </c>
      <c r="G792" s="48">
        <v>1E+100</v>
      </c>
      <c r="H792" s="49">
        <v>1</v>
      </c>
    </row>
    <row r="793" spans="2:8" x14ac:dyDescent="0.3">
      <c r="B793" s="47" t="s">
        <v>842</v>
      </c>
      <c r="C793" s="48" t="s">
        <v>21</v>
      </c>
      <c r="D793" s="48">
        <v>0</v>
      </c>
      <c r="E793" s="48">
        <v>0</v>
      </c>
      <c r="F793" s="48">
        <v>1</v>
      </c>
      <c r="G793" s="48">
        <v>1E+100</v>
      </c>
      <c r="H793" s="49">
        <v>1</v>
      </c>
    </row>
    <row r="794" spans="2:8" x14ac:dyDescent="0.3">
      <c r="B794" s="47" t="s">
        <v>843</v>
      </c>
      <c r="C794" s="48" t="s">
        <v>782</v>
      </c>
      <c r="D794" s="48">
        <v>0</v>
      </c>
      <c r="E794" s="48">
        <v>0</v>
      </c>
      <c r="F794" s="48">
        <v>1</v>
      </c>
      <c r="G794" s="48">
        <v>1E+100</v>
      </c>
      <c r="H794" s="49">
        <v>1</v>
      </c>
    </row>
    <row r="795" spans="2:8" x14ac:dyDescent="0.3">
      <c r="B795" s="47" t="s">
        <v>844</v>
      </c>
      <c r="C795" s="48" t="s">
        <v>784</v>
      </c>
      <c r="D795" s="48">
        <v>0</v>
      </c>
      <c r="E795" s="48">
        <v>0</v>
      </c>
      <c r="F795" s="48">
        <v>1</v>
      </c>
      <c r="G795" s="48">
        <v>1E+100</v>
      </c>
      <c r="H795" s="49">
        <v>1</v>
      </c>
    </row>
    <row r="796" spans="2:8" x14ac:dyDescent="0.3">
      <c r="B796" s="47" t="s">
        <v>845</v>
      </c>
      <c r="C796" s="48" t="s">
        <v>21</v>
      </c>
      <c r="D796" s="48">
        <v>0</v>
      </c>
      <c r="E796" s="48">
        <v>0</v>
      </c>
      <c r="F796" s="48">
        <v>1</v>
      </c>
      <c r="G796" s="48">
        <v>1E+100</v>
      </c>
      <c r="H796" s="49">
        <v>1</v>
      </c>
    </row>
    <row r="797" spans="2:8" x14ac:dyDescent="0.3">
      <c r="B797" s="47" t="s">
        <v>846</v>
      </c>
      <c r="C797" s="48" t="s">
        <v>21</v>
      </c>
      <c r="D797" s="48">
        <v>0</v>
      </c>
      <c r="E797" s="48">
        <v>0</v>
      </c>
      <c r="F797" s="48">
        <v>1</v>
      </c>
      <c r="G797" s="48">
        <v>1E+100</v>
      </c>
      <c r="H797" s="49">
        <v>1</v>
      </c>
    </row>
    <row r="798" spans="2:8" x14ac:dyDescent="0.3">
      <c r="B798" s="47" t="s">
        <v>847</v>
      </c>
      <c r="C798" s="48" t="s">
        <v>21</v>
      </c>
      <c r="D798" s="48">
        <v>0</v>
      </c>
      <c r="E798" s="48">
        <v>0</v>
      </c>
      <c r="F798" s="48">
        <v>1</v>
      </c>
      <c r="G798" s="48">
        <v>1E+100</v>
      </c>
      <c r="H798" s="49">
        <v>1</v>
      </c>
    </row>
    <row r="799" spans="2:8" x14ac:dyDescent="0.3">
      <c r="B799" s="47" t="s">
        <v>848</v>
      </c>
      <c r="C799" s="48" t="s">
        <v>782</v>
      </c>
      <c r="D799" s="48">
        <v>0</v>
      </c>
      <c r="E799" s="48">
        <v>0</v>
      </c>
      <c r="F799" s="48">
        <v>1</v>
      </c>
      <c r="G799" s="48">
        <v>1E+100</v>
      </c>
      <c r="H799" s="49">
        <v>1</v>
      </c>
    </row>
    <row r="800" spans="2:8" x14ac:dyDescent="0.3">
      <c r="B800" s="47" t="s">
        <v>849</v>
      </c>
      <c r="C800" s="48" t="s">
        <v>784</v>
      </c>
      <c r="D800" s="48">
        <v>0</v>
      </c>
      <c r="E800" s="48">
        <v>0</v>
      </c>
      <c r="F800" s="48">
        <v>1</v>
      </c>
      <c r="G800" s="48">
        <v>1E+100</v>
      </c>
      <c r="H800" s="49">
        <v>1</v>
      </c>
    </row>
    <row r="801" spans="2:8" x14ac:dyDescent="0.3">
      <c r="B801" s="47" t="s">
        <v>850</v>
      </c>
      <c r="C801" s="48" t="s">
        <v>21</v>
      </c>
      <c r="D801" s="48">
        <v>0</v>
      </c>
      <c r="E801" s="48">
        <v>0</v>
      </c>
      <c r="F801" s="48">
        <v>1</v>
      </c>
      <c r="G801" s="48">
        <v>1E+100</v>
      </c>
      <c r="H801" s="49">
        <v>1</v>
      </c>
    </row>
    <row r="802" spans="2:8" x14ac:dyDescent="0.3">
      <c r="B802" s="47" t="s">
        <v>851</v>
      </c>
      <c r="C802" s="48" t="s">
        <v>21</v>
      </c>
      <c r="D802" s="48">
        <v>0</v>
      </c>
      <c r="E802" s="48">
        <v>0</v>
      </c>
      <c r="F802" s="48">
        <v>1</v>
      </c>
      <c r="G802" s="48">
        <v>1E+100</v>
      </c>
      <c r="H802" s="49">
        <v>1</v>
      </c>
    </row>
    <row r="803" spans="2:8" x14ac:dyDescent="0.3">
      <c r="B803" s="47" t="s">
        <v>852</v>
      </c>
      <c r="C803" s="48" t="s">
        <v>21</v>
      </c>
      <c r="D803" s="48">
        <v>0</v>
      </c>
      <c r="E803" s="48">
        <v>0</v>
      </c>
      <c r="F803" s="48">
        <v>1</v>
      </c>
      <c r="G803" s="48">
        <v>1E+100</v>
      </c>
      <c r="H803" s="49">
        <v>1</v>
      </c>
    </row>
    <row r="804" spans="2:8" x14ac:dyDescent="0.3">
      <c r="B804" s="47" t="s">
        <v>853</v>
      </c>
      <c r="C804" s="48" t="s">
        <v>782</v>
      </c>
      <c r="D804" s="48">
        <v>0</v>
      </c>
      <c r="E804" s="48">
        <v>0</v>
      </c>
      <c r="F804" s="48">
        <v>1</v>
      </c>
      <c r="G804" s="48">
        <v>1E+100</v>
      </c>
      <c r="H804" s="49">
        <v>1</v>
      </c>
    </row>
    <row r="805" spans="2:8" x14ac:dyDescent="0.3">
      <c r="B805" s="47" t="s">
        <v>854</v>
      </c>
      <c r="C805" s="48" t="s">
        <v>784</v>
      </c>
      <c r="D805" s="48">
        <v>0</v>
      </c>
      <c r="E805" s="48">
        <v>0</v>
      </c>
      <c r="F805" s="48">
        <v>1</v>
      </c>
      <c r="G805" s="48">
        <v>1E+100</v>
      </c>
      <c r="H805" s="49">
        <v>1</v>
      </c>
    </row>
    <row r="806" spans="2:8" x14ac:dyDescent="0.3">
      <c r="B806" s="47" t="s">
        <v>855</v>
      </c>
      <c r="C806" s="48" t="s">
        <v>21</v>
      </c>
      <c r="D806" s="48">
        <v>0</v>
      </c>
      <c r="E806" s="48">
        <v>0</v>
      </c>
      <c r="F806" s="48">
        <v>1</v>
      </c>
      <c r="G806" s="48">
        <v>1E+100</v>
      </c>
      <c r="H806" s="49">
        <v>1</v>
      </c>
    </row>
    <row r="807" spans="2:8" x14ac:dyDescent="0.3">
      <c r="B807" s="47" t="s">
        <v>856</v>
      </c>
      <c r="C807" s="48" t="s">
        <v>21</v>
      </c>
      <c r="D807" s="48">
        <v>0</v>
      </c>
      <c r="E807" s="48">
        <v>0</v>
      </c>
      <c r="F807" s="48">
        <v>1</v>
      </c>
      <c r="G807" s="48">
        <v>1E+100</v>
      </c>
      <c r="H807" s="49">
        <v>1</v>
      </c>
    </row>
    <row r="808" spans="2:8" x14ac:dyDescent="0.3">
      <c r="B808" s="47" t="s">
        <v>857</v>
      </c>
      <c r="C808" s="48" t="s">
        <v>21</v>
      </c>
      <c r="D808" s="48">
        <v>0</v>
      </c>
      <c r="E808" s="48">
        <v>0</v>
      </c>
      <c r="F808" s="48">
        <v>1</v>
      </c>
      <c r="G808" s="48">
        <v>1E+100</v>
      </c>
      <c r="H808" s="49">
        <v>1</v>
      </c>
    </row>
    <row r="809" spans="2:8" x14ac:dyDescent="0.3">
      <c r="B809" s="47" t="s">
        <v>858</v>
      </c>
      <c r="C809" s="48" t="s">
        <v>782</v>
      </c>
      <c r="D809" s="48">
        <v>0</v>
      </c>
      <c r="E809" s="48">
        <v>0</v>
      </c>
      <c r="F809" s="48">
        <v>1</v>
      </c>
      <c r="G809" s="48">
        <v>1E+100</v>
      </c>
      <c r="H809" s="49">
        <v>1</v>
      </c>
    </row>
    <row r="810" spans="2:8" x14ac:dyDescent="0.3">
      <c r="B810" s="47" t="s">
        <v>859</v>
      </c>
      <c r="C810" s="48" t="s">
        <v>784</v>
      </c>
      <c r="D810" s="48">
        <v>0</v>
      </c>
      <c r="E810" s="48">
        <v>0</v>
      </c>
      <c r="F810" s="48">
        <v>1</v>
      </c>
      <c r="G810" s="48">
        <v>1E+100</v>
      </c>
      <c r="H810" s="49">
        <v>1</v>
      </c>
    </row>
    <row r="811" spans="2:8" x14ac:dyDescent="0.3">
      <c r="B811" s="47" t="s">
        <v>860</v>
      </c>
      <c r="C811" s="48" t="s">
        <v>21</v>
      </c>
      <c r="D811" s="48">
        <v>0</v>
      </c>
      <c r="E811" s="48">
        <v>0</v>
      </c>
      <c r="F811" s="48">
        <v>1</v>
      </c>
      <c r="G811" s="48">
        <v>1E+100</v>
      </c>
      <c r="H811" s="49">
        <v>1</v>
      </c>
    </row>
    <row r="812" spans="2:8" x14ac:dyDescent="0.3">
      <c r="B812" s="47" t="s">
        <v>861</v>
      </c>
      <c r="C812" s="48" t="s">
        <v>21</v>
      </c>
      <c r="D812" s="48">
        <v>0</v>
      </c>
      <c r="E812" s="48">
        <v>0</v>
      </c>
      <c r="F812" s="48">
        <v>1</v>
      </c>
      <c r="G812" s="48">
        <v>1E+100</v>
      </c>
      <c r="H812" s="49">
        <v>1</v>
      </c>
    </row>
    <row r="813" spans="2:8" x14ac:dyDescent="0.3">
      <c r="B813" s="47" t="s">
        <v>862</v>
      </c>
      <c r="C813" s="48" t="s">
        <v>21</v>
      </c>
      <c r="D813" s="48">
        <v>0</v>
      </c>
      <c r="E813" s="48">
        <v>0</v>
      </c>
      <c r="F813" s="48">
        <v>1</v>
      </c>
      <c r="G813" s="48">
        <v>1E+100</v>
      </c>
      <c r="H813" s="49">
        <v>1</v>
      </c>
    </row>
    <row r="814" spans="2:8" x14ac:dyDescent="0.3">
      <c r="B814" s="47" t="s">
        <v>863</v>
      </c>
      <c r="C814" s="48" t="s">
        <v>782</v>
      </c>
      <c r="D814" s="48">
        <v>0</v>
      </c>
      <c r="E814" s="48">
        <v>0</v>
      </c>
      <c r="F814" s="48">
        <v>1</v>
      </c>
      <c r="G814" s="48">
        <v>1E+100</v>
      </c>
      <c r="H814" s="49">
        <v>1</v>
      </c>
    </row>
    <row r="815" spans="2:8" x14ac:dyDescent="0.3">
      <c r="B815" s="47" t="s">
        <v>864</v>
      </c>
      <c r="C815" s="48" t="s">
        <v>784</v>
      </c>
      <c r="D815" s="48">
        <v>0</v>
      </c>
      <c r="E815" s="48">
        <v>0</v>
      </c>
      <c r="F815" s="48">
        <v>1</v>
      </c>
      <c r="G815" s="48">
        <v>1E+100</v>
      </c>
      <c r="H815" s="49">
        <v>1</v>
      </c>
    </row>
    <row r="816" spans="2:8" x14ac:dyDescent="0.3">
      <c r="B816" s="47" t="s">
        <v>865</v>
      </c>
      <c r="C816" s="48" t="s">
        <v>21</v>
      </c>
      <c r="D816" s="48">
        <v>0</v>
      </c>
      <c r="E816" s="48">
        <v>0</v>
      </c>
      <c r="F816" s="48">
        <v>1</v>
      </c>
      <c r="G816" s="48">
        <v>1E+100</v>
      </c>
      <c r="H816" s="49">
        <v>1</v>
      </c>
    </row>
    <row r="817" spans="2:8" x14ac:dyDescent="0.3">
      <c r="B817" s="47" t="s">
        <v>866</v>
      </c>
      <c r="C817" s="48" t="s">
        <v>21</v>
      </c>
      <c r="D817" s="48">
        <v>0</v>
      </c>
      <c r="E817" s="48">
        <v>0</v>
      </c>
      <c r="F817" s="48">
        <v>1</v>
      </c>
      <c r="G817" s="48">
        <v>1E+100</v>
      </c>
      <c r="H817" s="49">
        <v>1</v>
      </c>
    </row>
    <row r="818" spans="2:8" x14ac:dyDescent="0.3">
      <c r="B818" s="47" t="s">
        <v>867</v>
      </c>
      <c r="C818" s="48" t="s">
        <v>21</v>
      </c>
      <c r="D818" s="48">
        <v>0</v>
      </c>
      <c r="E818" s="48">
        <v>0</v>
      </c>
      <c r="F818" s="48">
        <v>1</v>
      </c>
      <c r="G818" s="48">
        <v>1E+100</v>
      </c>
      <c r="H818" s="49">
        <v>1</v>
      </c>
    </row>
    <row r="819" spans="2:8" x14ac:dyDescent="0.3">
      <c r="B819" s="47" t="s">
        <v>868</v>
      </c>
      <c r="C819" s="48" t="s">
        <v>782</v>
      </c>
      <c r="D819" s="48">
        <v>0</v>
      </c>
      <c r="E819" s="48">
        <v>0</v>
      </c>
      <c r="F819" s="48">
        <v>1</v>
      </c>
      <c r="G819" s="48">
        <v>1E+100</v>
      </c>
      <c r="H819" s="49">
        <v>1</v>
      </c>
    </row>
    <row r="820" spans="2:8" x14ac:dyDescent="0.3">
      <c r="B820" s="47" t="s">
        <v>869</v>
      </c>
      <c r="C820" s="48" t="s">
        <v>784</v>
      </c>
      <c r="D820" s="48">
        <v>0</v>
      </c>
      <c r="E820" s="48">
        <v>0</v>
      </c>
      <c r="F820" s="48">
        <v>1</v>
      </c>
      <c r="G820" s="48">
        <v>1E+100</v>
      </c>
      <c r="H820" s="49">
        <v>1</v>
      </c>
    </row>
    <row r="821" spans="2:8" x14ac:dyDescent="0.3">
      <c r="B821" s="47" t="s">
        <v>870</v>
      </c>
      <c r="C821" s="48" t="s">
        <v>21</v>
      </c>
      <c r="D821" s="48">
        <v>0</v>
      </c>
      <c r="E821" s="48">
        <v>0</v>
      </c>
      <c r="F821" s="48">
        <v>1</v>
      </c>
      <c r="G821" s="48">
        <v>1E+100</v>
      </c>
      <c r="H821" s="49">
        <v>1</v>
      </c>
    </row>
    <row r="822" spans="2:8" x14ac:dyDescent="0.3">
      <c r="B822" s="47" t="s">
        <v>871</v>
      </c>
      <c r="C822" s="48" t="s">
        <v>21</v>
      </c>
      <c r="D822" s="48">
        <v>0</v>
      </c>
      <c r="E822" s="48">
        <v>0</v>
      </c>
      <c r="F822" s="48">
        <v>1</v>
      </c>
      <c r="G822" s="48">
        <v>1E+100</v>
      </c>
      <c r="H822" s="49">
        <v>1</v>
      </c>
    </row>
    <row r="823" spans="2:8" x14ac:dyDescent="0.3">
      <c r="B823" s="47" t="s">
        <v>872</v>
      </c>
      <c r="C823" s="48" t="s">
        <v>21</v>
      </c>
      <c r="D823" s="48">
        <v>0</v>
      </c>
      <c r="E823" s="48">
        <v>0</v>
      </c>
      <c r="F823" s="48">
        <v>1</v>
      </c>
      <c r="G823" s="48">
        <v>1E+100</v>
      </c>
      <c r="H823" s="49">
        <v>1</v>
      </c>
    </row>
    <row r="824" spans="2:8" x14ac:dyDescent="0.3">
      <c r="B824" s="47" t="s">
        <v>873</v>
      </c>
      <c r="C824" s="48" t="s">
        <v>782</v>
      </c>
      <c r="D824" s="48">
        <v>0</v>
      </c>
      <c r="E824" s="48">
        <v>0</v>
      </c>
      <c r="F824" s="48">
        <v>1</v>
      </c>
      <c r="G824" s="48">
        <v>1E+100</v>
      </c>
      <c r="H824" s="49">
        <v>1</v>
      </c>
    </row>
    <row r="825" spans="2:8" x14ac:dyDescent="0.3">
      <c r="B825" s="47" t="s">
        <v>874</v>
      </c>
      <c r="C825" s="48" t="s">
        <v>784</v>
      </c>
      <c r="D825" s="48">
        <v>0</v>
      </c>
      <c r="E825" s="48">
        <v>0</v>
      </c>
      <c r="F825" s="48">
        <v>1</v>
      </c>
      <c r="G825" s="48">
        <v>1E+100</v>
      </c>
      <c r="H825" s="49">
        <v>1</v>
      </c>
    </row>
    <row r="826" spans="2:8" x14ac:dyDescent="0.3">
      <c r="B826" s="47" t="s">
        <v>875</v>
      </c>
      <c r="C826" s="48" t="s">
        <v>21</v>
      </c>
      <c r="D826" s="48">
        <v>0</v>
      </c>
      <c r="E826" s="48">
        <v>0</v>
      </c>
      <c r="F826" s="48">
        <v>1</v>
      </c>
      <c r="G826" s="48">
        <v>1E+100</v>
      </c>
      <c r="H826" s="49">
        <v>1</v>
      </c>
    </row>
    <row r="827" spans="2:8" x14ac:dyDescent="0.3">
      <c r="B827" s="47" t="s">
        <v>876</v>
      </c>
      <c r="C827" s="48" t="s">
        <v>21</v>
      </c>
      <c r="D827" s="48">
        <v>0</v>
      </c>
      <c r="E827" s="48">
        <v>0</v>
      </c>
      <c r="F827" s="48">
        <v>1</v>
      </c>
      <c r="G827" s="48">
        <v>1E+100</v>
      </c>
      <c r="H827" s="49">
        <v>1</v>
      </c>
    </row>
    <row r="828" spans="2:8" x14ac:dyDescent="0.3">
      <c r="B828" s="47" t="s">
        <v>877</v>
      </c>
      <c r="C828" s="48" t="s">
        <v>21</v>
      </c>
      <c r="D828" s="48">
        <v>0</v>
      </c>
      <c r="E828" s="48">
        <v>0</v>
      </c>
      <c r="F828" s="48">
        <v>1</v>
      </c>
      <c r="G828" s="48">
        <v>1E+100</v>
      </c>
      <c r="H828" s="49">
        <v>1</v>
      </c>
    </row>
    <row r="829" spans="2:8" x14ac:dyDescent="0.3">
      <c r="B829" s="47" t="s">
        <v>878</v>
      </c>
      <c r="C829" s="48" t="s">
        <v>782</v>
      </c>
      <c r="D829" s="48">
        <v>0</v>
      </c>
      <c r="E829" s="48">
        <v>0</v>
      </c>
      <c r="F829" s="48">
        <v>1</v>
      </c>
      <c r="G829" s="48">
        <v>1E+100</v>
      </c>
      <c r="H829" s="49">
        <v>1</v>
      </c>
    </row>
    <row r="830" spans="2:8" x14ac:dyDescent="0.3">
      <c r="B830" s="47" t="s">
        <v>879</v>
      </c>
      <c r="C830" s="48" t="s">
        <v>784</v>
      </c>
      <c r="D830" s="48">
        <v>0</v>
      </c>
      <c r="E830" s="48">
        <v>0</v>
      </c>
      <c r="F830" s="48">
        <v>1</v>
      </c>
      <c r="G830" s="48">
        <v>1E+100</v>
      </c>
      <c r="H830" s="49">
        <v>1</v>
      </c>
    </row>
    <row r="831" spans="2:8" x14ac:dyDescent="0.3">
      <c r="B831" s="47" t="s">
        <v>880</v>
      </c>
      <c r="C831" s="48" t="s">
        <v>21</v>
      </c>
      <c r="D831" s="48">
        <v>0</v>
      </c>
      <c r="E831" s="48">
        <v>0</v>
      </c>
      <c r="F831" s="48">
        <v>1</v>
      </c>
      <c r="G831" s="48">
        <v>1E+100</v>
      </c>
      <c r="H831" s="49">
        <v>1</v>
      </c>
    </row>
    <row r="832" spans="2:8" x14ac:dyDescent="0.3">
      <c r="B832" s="47" t="s">
        <v>881</v>
      </c>
      <c r="C832" s="48" t="s">
        <v>21</v>
      </c>
      <c r="D832" s="48">
        <v>0</v>
      </c>
      <c r="E832" s="48">
        <v>0</v>
      </c>
      <c r="F832" s="48">
        <v>1</v>
      </c>
      <c r="G832" s="48">
        <v>1E+100</v>
      </c>
      <c r="H832" s="49">
        <v>1</v>
      </c>
    </row>
    <row r="833" spans="2:8" x14ac:dyDescent="0.3">
      <c r="B833" s="47" t="s">
        <v>882</v>
      </c>
      <c r="C833" s="48" t="s">
        <v>21</v>
      </c>
      <c r="D833" s="48">
        <v>0</v>
      </c>
      <c r="E833" s="48">
        <v>0</v>
      </c>
      <c r="F833" s="48">
        <v>1</v>
      </c>
      <c r="G833" s="48">
        <v>1E+100</v>
      </c>
      <c r="H833" s="49">
        <v>1</v>
      </c>
    </row>
    <row r="834" spans="2:8" x14ac:dyDescent="0.3">
      <c r="B834" s="47" t="s">
        <v>883</v>
      </c>
      <c r="C834" s="48" t="s">
        <v>782</v>
      </c>
      <c r="D834" s="48">
        <v>0</v>
      </c>
      <c r="E834" s="48">
        <v>0</v>
      </c>
      <c r="F834" s="48">
        <v>1</v>
      </c>
      <c r="G834" s="48">
        <v>1E+100</v>
      </c>
      <c r="H834" s="49">
        <v>1</v>
      </c>
    </row>
    <row r="835" spans="2:8" x14ac:dyDescent="0.3">
      <c r="B835" s="47" t="s">
        <v>884</v>
      </c>
      <c r="C835" s="48" t="s">
        <v>784</v>
      </c>
      <c r="D835" s="48">
        <v>0</v>
      </c>
      <c r="E835" s="48">
        <v>0</v>
      </c>
      <c r="F835" s="48">
        <v>1</v>
      </c>
      <c r="G835" s="48">
        <v>1E+100</v>
      </c>
      <c r="H835" s="49">
        <v>1</v>
      </c>
    </row>
    <row r="836" spans="2:8" x14ac:dyDescent="0.3">
      <c r="B836" s="47" t="s">
        <v>885</v>
      </c>
      <c r="C836" s="48" t="s">
        <v>21</v>
      </c>
      <c r="D836" s="48">
        <v>0</v>
      </c>
      <c r="E836" s="48">
        <v>0</v>
      </c>
      <c r="F836" s="48">
        <v>1</v>
      </c>
      <c r="G836" s="48">
        <v>1E+100</v>
      </c>
      <c r="H836" s="49">
        <v>1</v>
      </c>
    </row>
    <row r="837" spans="2:8" x14ac:dyDescent="0.3">
      <c r="B837" s="47" t="s">
        <v>886</v>
      </c>
      <c r="C837" s="48" t="s">
        <v>21</v>
      </c>
      <c r="D837" s="48">
        <v>0</v>
      </c>
      <c r="E837" s="48">
        <v>0</v>
      </c>
      <c r="F837" s="48">
        <v>1</v>
      </c>
      <c r="G837" s="48">
        <v>1E+100</v>
      </c>
      <c r="H837" s="49">
        <v>1</v>
      </c>
    </row>
    <row r="838" spans="2:8" x14ac:dyDescent="0.3">
      <c r="B838" s="47" t="s">
        <v>887</v>
      </c>
      <c r="C838" s="48" t="s">
        <v>21</v>
      </c>
      <c r="D838" s="48">
        <v>0</v>
      </c>
      <c r="E838" s="48">
        <v>0</v>
      </c>
      <c r="F838" s="48">
        <v>1</v>
      </c>
      <c r="G838" s="48">
        <v>1E+100</v>
      </c>
      <c r="H838" s="49">
        <v>1</v>
      </c>
    </row>
    <row r="839" spans="2:8" x14ac:dyDescent="0.3">
      <c r="B839" s="47" t="s">
        <v>888</v>
      </c>
      <c r="C839" s="48" t="s">
        <v>782</v>
      </c>
      <c r="D839" s="48">
        <v>0</v>
      </c>
      <c r="E839" s="48">
        <v>0</v>
      </c>
      <c r="F839" s="48">
        <v>1</v>
      </c>
      <c r="G839" s="48">
        <v>1E+100</v>
      </c>
      <c r="H839" s="49">
        <v>1</v>
      </c>
    </row>
    <row r="840" spans="2:8" x14ac:dyDescent="0.3">
      <c r="B840" s="47" t="s">
        <v>889</v>
      </c>
      <c r="C840" s="48" t="s">
        <v>784</v>
      </c>
      <c r="D840" s="48">
        <v>0</v>
      </c>
      <c r="E840" s="48">
        <v>0</v>
      </c>
      <c r="F840" s="48">
        <v>1</v>
      </c>
      <c r="G840" s="48">
        <v>1E+100</v>
      </c>
      <c r="H840" s="49">
        <v>1</v>
      </c>
    </row>
    <row r="841" spans="2:8" x14ac:dyDescent="0.3">
      <c r="B841" s="47" t="s">
        <v>890</v>
      </c>
      <c r="C841" s="48" t="s">
        <v>21</v>
      </c>
      <c r="D841" s="48">
        <v>0</v>
      </c>
      <c r="E841" s="48">
        <v>0</v>
      </c>
      <c r="F841" s="48">
        <v>1</v>
      </c>
      <c r="G841" s="48">
        <v>1E+100</v>
      </c>
      <c r="H841" s="49">
        <v>1</v>
      </c>
    </row>
    <row r="842" spans="2:8" x14ac:dyDescent="0.3">
      <c r="B842" s="47" t="s">
        <v>891</v>
      </c>
      <c r="C842" s="48" t="s">
        <v>21</v>
      </c>
      <c r="D842" s="48">
        <v>0</v>
      </c>
      <c r="E842" s="48">
        <v>0</v>
      </c>
      <c r="F842" s="48">
        <v>1</v>
      </c>
      <c r="G842" s="48">
        <v>1E+100</v>
      </c>
      <c r="H842" s="49">
        <v>1</v>
      </c>
    </row>
    <row r="843" spans="2:8" x14ac:dyDescent="0.3">
      <c r="B843" s="47" t="s">
        <v>892</v>
      </c>
      <c r="C843" s="48" t="s">
        <v>21</v>
      </c>
      <c r="D843" s="48">
        <v>0.93866121000000002</v>
      </c>
      <c r="E843" s="48">
        <v>0</v>
      </c>
      <c r="F843" s="48">
        <v>1</v>
      </c>
      <c r="G843" s="48">
        <v>1E+100</v>
      </c>
      <c r="H843" s="49">
        <v>6.1338787929999999E-2</v>
      </c>
    </row>
    <row r="844" spans="2:8" x14ac:dyDescent="0.3">
      <c r="B844" s="47" t="s">
        <v>893</v>
      </c>
      <c r="C844" s="48" t="s">
        <v>782</v>
      </c>
      <c r="D844" s="48">
        <v>0</v>
      </c>
      <c r="E844" s="48">
        <v>0</v>
      </c>
      <c r="F844" s="48">
        <v>1</v>
      </c>
      <c r="G844" s="48">
        <v>1E+100</v>
      </c>
      <c r="H844" s="49">
        <v>1</v>
      </c>
    </row>
    <row r="845" spans="2:8" x14ac:dyDescent="0.3">
      <c r="B845" s="47" t="s">
        <v>894</v>
      </c>
      <c r="C845" s="48" t="s">
        <v>784</v>
      </c>
      <c r="D845" s="48">
        <v>0</v>
      </c>
      <c r="E845" s="48">
        <v>0</v>
      </c>
      <c r="F845" s="48">
        <v>1</v>
      </c>
      <c r="G845" s="48">
        <v>1E+100</v>
      </c>
      <c r="H845" s="49">
        <v>1</v>
      </c>
    </row>
    <row r="846" spans="2:8" x14ac:dyDescent="0.3">
      <c r="B846" s="47" t="s">
        <v>895</v>
      </c>
      <c r="C846" s="48" t="s">
        <v>21</v>
      </c>
      <c r="D846" s="48">
        <v>0</v>
      </c>
      <c r="E846" s="48">
        <v>0</v>
      </c>
      <c r="F846" s="48">
        <v>1</v>
      </c>
      <c r="G846" s="48">
        <v>1E+100</v>
      </c>
      <c r="H846" s="49">
        <v>1</v>
      </c>
    </row>
    <row r="847" spans="2:8" x14ac:dyDescent="0.3">
      <c r="B847" s="47" t="s">
        <v>896</v>
      </c>
      <c r="C847" s="48" t="s">
        <v>21</v>
      </c>
      <c r="D847" s="48">
        <v>0</v>
      </c>
      <c r="E847" s="48">
        <v>0</v>
      </c>
      <c r="F847" s="48">
        <v>1</v>
      </c>
      <c r="G847" s="48">
        <v>1E+100</v>
      </c>
      <c r="H847" s="49">
        <v>1</v>
      </c>
    </row>
    <row r="848" spans="2:8" x14ac:dyDescent="0.3">
      <c r="B848" s="47" t="s">
        <v>897</v>
      </c>
      <c r="C848" s="48" t="s">
        <v>21</v>
      </c>
      <c r="D848" s="48">
        <v>0</v>
      </c>
      <c r="E848" s="48">
        <v>0</v>
      </c>
      <c r="F848" s="48">
        <v>1</v>
      </c>
      <c r="G848" s="48">
        <v>1E+100</v>
      </c>
      <c r="H848" s="49">
        <v>1</v>
      </c>
    </row>
    <row r="849" spans="2:8" x14ac:dyDescent="0.3">
      <c r="B849" s="47" t="s">
        <v>898</v>
      </c>
      <c r="C849" s="48" t="s">
        <v>782</v>
      </c>
      <c r="D849" s="48">
        <v>0</v>
      </c>
      <c r="E849" s="48">
        <v>0</v>
      </c>
      <c r="F849" s="48">
        <v>1</v>
      </c>
      <c r="G849" s="48">
        <v>1E+100</v>
      </c>
      <c r="H849" s="49">
        <v>1</v>
      </c>
    </row>
    <row r="850" spans="2:8" x14ac:dyDescent="0.3">
      <c r="B850" s="47" t="s">
        <v>899</v>
      </c>
      <c r="C850" s="48" t="s">
        <v>784</v>
      </c>
      <c r="D850" s="48">
        <v>0</v>
      </c>
      <c r="E850" s="48">
        <v>0</v>
      </c>
      <c r="F850" s="48">
        <v>1</v>
      </c>
      <c r="G850" s="48">
        <v>1E+100</v>
      </c>
      <c r="H850" s="49">
        <v>1</v>
      </c>
    </row>
    <row r="851" spans="2:8" x14ac:dyDescent="0.3">
      <c r="B851" s="47" t="s">
        <v>900</v>
      </c>
      <c r="C851" s="48" t="s">
        <v>21</v>
      </c>
      <c r="D851" s="48">
        <v>0</v>
      </c>
      <c r="E851" s="48">
        <v>0</v>
      </c>
      <c r="F851" s="48">
        <v>1</v>
      </c>
      <c r="G851" s="48">
        <v>1E+100</v>
      </c>
      <c r="H851" s="49">
        <v>1</v>
      </c>
    </row>
    <row r="852" spans="2:8" x14ac:dyDescent="0.3">
      <c r="B852" s="47" t="s">
        <v>901</v>
      </c>
      <c r="C852" s="48" t="s">
        <v>21</v>
      </c>
      <c r="D852" s="48">
        <v>0</v>
      </c>
      <c r="E852" s="48">
        <v>0</v>
      </c>
      <c r="F852" s="48">
        <v>1</v>
      </c>
      <c r="G852" s="48">
        <v>1E+100</v>
      </c>
      <c r="H852" s="49">
        <v>1</v>
      </c>
    </row>
    <row r="853" spans="2:8" x14ac:dyDescent="0.3">
      <c r="B853" s="47" t="s">
        <v>902</v>
      </c>
      <c r="C853" s="48" t="s">
        <v>21</v>
      </c>
      <c r="D853" s="48">
        <v>0</v>
      </c>
      <c r="E853" s="48">
        <v>0</v>
      </c>
      <c r="F853" s="48">
        <v>1</v>
      </c>
      <c r="G853" s="48">
        <v>1E+100</v>
      </c>
      <c r="H853" s="49">
        <v>1</v>
      </c>
    </row>
    <row r="854" spans="2:8" x14ac:dyDescent="0.3">
      <c r="B854" s="47" t="s">
        <v>903</v>
      </c>
      <c r="C854" s="48" t="s">
        <v>782</v>
      </c>
      <c r="D854" s="48">
        <v>0</v>
      </c>
      <c r="E854" s="48">
        <v>0</v>
      </c>
      <c r="F854" s="48">
        <v>1</v>
      </c>
      <c r="G854" s="48">
        <v>1E+100</v>
      </c>
      <c r="H854" s="49">
        <v>1</v>
      </c>
    </row>
    <row r="855" spans="2:8" x14ac:dyDescent="0.3">
      <c r="B855" s="47" t="s">
        <v>904</v>
      </c>
      <c r="C855" s="48" t="s">
        <v>784</v>
      </c>
      <c r="D855" s="48">
        <v>0</v>
      </c>
      <c r="E855" s="48">
        <v>0</v>
      </c>
      <c r="F855" s="48">
        <v>1</v>
      </c>
      <c r="G855" s="48">
        <v>1E+100</v>
      </c>
      <c r="H855" s="49">
        <v>1</v>
      </c>
    </row>
    <row r="856" spans="2:8" x14ac:dyDescent="0.3">
      <c r="B856" s="47" t="s">
        <v>905</v>
      </c>
      <c r="C856" s="48" t="s">
        <v>21</v>
      </c>
      <c r="D856" s="48">
        <v>0</v>
      </c>
      <c r="E856" s="48">
        <v>0</v>
      </c>
      <c r="F856" s="48">
        <v>1</v>
      </c>
      <c r="G856" s="48">
        <v>1E+100</v>
      </c>
      <c r="H856" s="49">
        <v>1</v>
      </c>
    </row>
    <row r="857" spans="2:8" x14ac:dyDescent="0.3">
      <c r="B857" s="47" t="s">
        <v>906</v>
      </c>
      <c r="C857" s="48" t="s">
        <v>21</v>
      </c>
      <c r="D857" s="48">
        <v>0</v>
      </c>
      <c r="E857" s="48">
        <v>0</v>
      </c>
      <c r="F857" s="48">
        <v>1</v>
      </c>
      <c r="G857" s="48">
        <v>1E+100</v>
      </c>
      <c r="H857" s="49">
        <v>1</v>
      </c>
    </row>
    <row r="858" spans="2:8" x14ac:dyDescent="0.3">
      <c r="B858" s="47" t="s">
        <v>907</v>
      </c>
      <c r="C858" s="48" t="s">
        <v>21</v>
      </c>
      <c r="D858" s="48">
        <v>0</v>
      </c>
      <c r="E858" s="48">
        <v>0</v>
      </c>
      <c r="F858" s="48">
        <v>1</v>
      </c>
      <c r="G858" s="48">
        <v>1E+100</v>
      </c>
      <c r="H858" s="49">
        <v>1</v>
      </c>
    </row>
    <row r="859" spans="2:8" x14ac:dyDescent="0.3">
      <c r="B859" s="47" t="s">
        <v>908</v>
      </c>
      <c r="C859" s="48" t="s">
        <v>21</v>
      </c>
      <c r="D859" s="48">
        <v>0</v>
      </c>
      <c r="E859" s="48">
        <v>0</v>
      </c>
      <c r="F859" s="48">
        <v>1</v>
      </c>
      <c r="G859" s="48">
        <v>1E+100</v>
      </c>
      <c r="H859" s="49">
        <v>1</v>
      </c>
    </row>
    <row r="860" spans="2:8" x14ac:dyDescent="0.3">
      <c r="B860" s="47" t="s">
        <v>909</v>
      </c>
      <c r="C860" s="48" t="s">
        <v>910</v>
      </c>
      <c r="D860" s="48">
        <v>0</v>
      </c>
      <c r="E860" s="48">
        <v>0</v>
      </c>
      <c r="F860" s="48">
        <v>1</v>
      </c>
      <c r="G860" s="48">
        <v>1E+100</v>
      </c>
      <c r="H860" s="49">
        <v>1</v>
      </c>
    </row>
    <row r="861" spans="2:8" x14ac:dyDescent="0.3">
      <c r="B861" s="47" t="s">
        <v>911</v>
      </c>
      <c r="C861" s="48" t="s">
        <v>655</v>
      </c>
      <c r="D861" s="48">
        <v>0</v>
      </c>
      <c r="E861" s="48">
        <v>0</v>
      </c>
      <c r="F861" s="48">
        <v>1</v>
      </c>
      <c r="G861" s="48">
        <v>1E+100</v>
      </c>
      <c r="H861" s="49">
        <v>1</v>
      </c>
    </row>
    <row r="862" spans="2:8" x14ac:dyDescent="0.3">
      <c r="B862" s="47" t="s">
        <v>912</v>
      </c>
      <c r="C862" s="48" t="s">
        <v>21</v>
      </c>
      <c r="D862" s="48">
        <v>0</v>
      </c>
      <c r="E862" s="48">
        <v>0</v>
      </c>
      <c r="F862" s="48">
        <v>1</v>
      </c>
      <c r="G862" s="48">
        <v>1E+100</v>
      </c>
      <c r="H862" s="49">
        <v>1</v>
      </c>
    </row>
    <row r="863" spans="2:8" x14ac:dyDescent="0.3">
      <c r="B863" s="47" t="s">
        <v>913</v>
      </c>
      <c r="C863" s="48" t="s">
        <v>21</v>
      </c>
      <c r="D863" s="48">
        <v>0</v>
      </c>
      <c r="E863" s="48">
        <v>0</v>
      </c>
      <c r="F863" s="48">
        <v>1</v>
      </c>
      <c r="G863" s="48">
        <v>1E+100</v>
      </c>
      <c r="H863" s="49">
        <v>1</v>
      </c>
    </row>
    <row r="864" spans="2:8" x14ac:dyDescent="0.3">
      <c r="B864" s="47" t="s">
        <v>914</v>
      </c>
      <c r="C864" s="48" t="s">
        <v>21</v>
      </c>
      <c r="D864" s="48">
        <v>0</v>
      </c>
      <c r="E864" s="48">
        <v>0</v>
      </c>
      <c r="F864" s="48">
        <v>1</v>
      </c>
      <c r="G864" s="48">
        <v>1E+100</v>
      </c>
      <c r="H864" s="49">
        <v>1</v>
      </c>
    </row>
    <row r="865" spans="2:8" x14ac:dyDescent="0.3">
      <c r="B865" s="47" t="s">
        <v>915</v>
      </c>
      <c r="C865" s="48" t="s">
        <v>910</v>
      </c>
      <c r="D865" s="48">
        <v>0</v>
      </c>
      <c r="E865" s="48">
        <v>0</v>
      </c>
      <c r="F865" s="48">
        <v>1</v>
      </c>
      <c r="G865" s="48">
        <v>1E+100</v>
      </c>
      <c r="H865" s="49">
        <v>1</v>
      </c>
    </row>
    <row r="866" spans="2:8" x14ac:dyDescent="0.3">
      <c r="B866" s="47" t="s">
        <v>916</v>
      </c>
      <c r="C866" s="48" t="s">
        <v>655</v>
      </c>
      <c r="D866" s="48">
        <v>0</v>
      </c>
      <c r="E866" s="48">
        <v>0</v>
      </c>
      <c r="F866" s="48">
        <v>1</v>
      </c>
      <c r="G866" s="48">
        <v>1E+100</v>
      </c>
      <c r="H866" s="49">
        <v>1</v>
      </c>
    </row>
    <row r="867" spans="2:8" x14ac:dyDescent="0.3">
      <c r="B867" s="47" t="s">
        <v>917</v>
      </c>
      <c r="C867" s="48" t="s">
        <v>21</v>
      </c>
      <c r="D867" s="48">
        <v>0</v>
      </c>
      <c r="E867" s="48">
        <v>0</v>
      </c>
      <c r="F867" s="48">
        <v>1</v>
      </c>
      <c r="G867" s="48">
        <v>1E+100</v>
      </c>
      <c r="H867" s="49">
        <v>1</v>
      </c>
    </row>
    <row r="868" spans="2:8" x14ac:dyDescent="0.3">
      <c r="B868" s="47" t="s">
        <v>918</v>
      </c>
      <c r="C868" s="48" t="s">
        <v>21</v>
      </c>
      <c r="D868" s="48">
        <v>0</v>
      </c>
      <c r="E868" s="48">
        <v>0</v>
      </c>
      <c r="F868" s="48">
        <v>1</v>
      </c>
      <c r="G868" s="48">
        <v>1E+100</v>
      </c>
      <c r="H868" s="49">
        <v>1</v>
      </c>
    </row>
    <row r="869" spans="2:8" x14ac:dyDescent="0.3">
      <c r="B869" s="47" t="s">
        <v>919</v>
      </c>
      <c r="C869" s="48" t="s">
        <v>21</v>
      </c>
      <c r="D869" s="48">
        <v>0</v>
      </c>
      <c r="E869" s="48">
        <v>0</v>
      </c>
      <c r="F869" s="48">
        <v>1</v>
      </c>
      <c r="G869" s="48">
        <v>1E+100</v>
      </c>
      <c r="H869" s="49">
        <v>1</v>
      </c>
    </row>
    <row r="870" spans="2:8" x14ac:dyDescent="0.3">
      <c r="B870" s="47" t="s">
        <v>920</v>
      </c>
      <c r="C870" s="48" t="s">
        <v>910</v>
      </c>
      <c r="D870" s="48">
        <v>0</v>
      </c>
      <c r="E870" s="48">
        <v>0</v>
      </c>
      <c r="F870" s="48">
        <v>1</v>
      </c>
      <c r="G870" s="48">
        <v>1E+100</v>
      </c>
      <c r="H870" s="49">
        <v>1</v>
      </c>
    </row>
    <row r="871" spans="2:8" x14ac:dyDescent="0.3">
      <c r="B871" s="47" t="s">
        <v>921</v>
      </c>
      <c r="C871" s="48" t="s">
        <v>655</v>
      </c>
      <c r="D871" s="48">
        <v>0</v>
      </c>
      <c r="E871" s="48">
        <v>0</v>
      </c>
      <c r="F871" s="48">
        <v>1</v>
      </c>
      <c r="G871" s="48">
        <v>1E+100</v>
      </c>
      <c r="H871" s="49">
        <v>1</v>
      </c>
    </row>
    <row r="872" spans="2:8" x14ac:dyDescent="0.3">
      <c r="B872" s="47" t="s">
        <v>922</v>
      </c>
      <c r="C872" s="48" t="s">
        <v>21</v>
      </c>
      <c r="D872" s="48">
        <v>0</v>
      </c>
      <c r="E872" s="48">
        <v>0</v>
      </c>
      <c r="F872" s="48">
        <v>1</v>
      </c>
      <c r="G872" s="48">
        <v>1E+100</v>
      </c>
      <c r="H872" s="49">
        <v>1</v>
      </c>
    </row>
    <row r="873" spans="2:8" x14ac:dyDescent="0.3">
      <c r="B873" s="47" t="s">
        <v>923</v>
      </c>
      <c r="C873" s="48" t="s">
        <v>21</v>
      </c>
      <c r="D873" s="48">
        <v>0</v>
      </c>
      <c r="E873" s="48">
        <v>0</v>
      </c>
      <c r="F873" s="48">
        <v>1</v>
      </c>
      <c r="G873" s="48">
        <v>1E+100</v>
      </c>
      <c r="H873" s="49">
        <v>1</v>
      </c>
    </row>
    <row r="874" spans="2:8" x14ac:dyDescent="0.3">
      <c r="B874" s="47" t="s">
        <v>924</v>
      </c>
      <c r="C874" s="48" t="s">
        <v>21</v>
      </c>
      <c r="D874" s="48">
        <v>0</v>
      </c>
      <c r="E874" s="48">
        <v>0</v>
      </c>
      <c r="F874" s="48">
        <v>1</v>
      </c>
      <c r="G874" s="48">
        <v>1E+100</v>
      </c>
      <c r="H874" s="49">
        <v>1</v>
      </c>
    </row>
    <row r="875" spans="2:8" x14ac:dyDescent="0.3">
      <c r="B875" s="47" t="s">
        <v>925</v>
      </c>
      <c r="C875" s="48" t="s">
        <v>910</v>
      </c>
      <c r="D875" s="48">
        <v>0</v>
      </c>
      <c r="E875" s="48">
        <v>0</v>
      </c>
      <c r="F875" s="48">
        <v>1</v>
      </c>
      <c r="G875" s="48">
        <v>1E+100</v>
      </c>
      <c r="H875" s="49">
        <v>1</v>
      </c>
    </row>
    <row r="876" spans="2:8" x14ac:dyDescent="0.3">
      <c r="B876" s="47" t="s">
        <v>926</v>
      </c>
      <c r="C876" s="48" t="s">
        <v>655</v>
      </c>
      <c r="D876" s="48">
        <v>0</v>
      </c>
      <c r="E876" s="48">
        <v>0</v>
      </c>
      <c r="F876" s="48">
        <v>1</v>
      </c>
      <c r="G876" s="48">
        <v>1E+100</v>
      </c>
      <c r="H876" s="49">
        <v>1</v>
      </c>
    </row>
    <row r="877" spans="2:8" x14ac:dyDescent="0.3">
      <c r="B877" s="47" t="s">
        <v>927</v>
      </c>
      <c r="C877" s="48" t="s">
        <v>21</v>
      </c>
      <c r="D877" s="48">
        <v>0</v>
      </c>
      <c r="E877" s="48">
        <v>0</v>
      </c>
      <c r="F877" s="48">
        <v>1</v>
      </c>
      <c r="G877" s="48">
        <v>1E+100</v>
      </c>
      <c r="H877" s="49">
        <v>1</v>
      </c>
    </row>
    <row r="878" spans="2:8" x14ac:dyDescent="0.3">
      <c r="B878" s="47" t="s">
        <v>928</v>
      </c>
      <c r="C878" s="48" t="s">
        <v>21</v>
      </c>
      <c r="D878" s="48">
        <v>0</v>
      </c>
      <c r="E878" s="48">
        <v>0</v>
      </c>
      <c r="F878" s="48">
        <v>1</v>
      </c>
      <c r="G878" s="48">
        <v>1E+100</v>
      </c>
      <c r="H878" s="49">
        <v>1</v>
      </c>
    </row>
    <row r="879" spans="2:8" x14ac:dyDescent="0.3">
      <c r="B879" s="47" t="s">
        <v>929</v>
      </c>
      <c r="C879" s="48" t="s">
        <v>21</v>
      </c>
      <c r="D879" s="48">
        <v>0</v>
      </c>
      <c r="E879" s="48">
        <v>0</v>
      </c>
      <c r="F879" s="48">
        <v>1</v>
      </c>
      <c r="G879" s="48">
        <v>1E+100</v>
      </c>
      <c r="H879" s="49">
        <v>1</v>
      </c>
    </row>
    <row r="880" spans="2:8" x14ac:dyDescent="0.3">
      <c r="B880" s="47" t="s">
        <v>930</v>
      </c>
      <c r="C880" s="48" t="s">
        <v>910</v>
      </c>
      <c r="D880" s="48">
        <v>0</v>
      </c>
      <c r="E880" s="48">
        <v>0</v>
      </c>
      <c r="F880" s="48">
        <v>1</v>
      </c>
      <c r="G880" s="48">
        <v>1E+100</v>
      </c>
      <c r="H880" s="49">
        <v>1</v>
      </c>
    </row>
    <row r="881" spans="2:8" x14ac:dyDescent="0.3">
      <c r="B881" s="47" t="s">
        <v>931</v>
      </c>
      <c r="C881" s="48" t="s">
        <v>655</v>
      </c>
      <c r="D881" s="48">
        <v>0</v>
      </c>
      <c r="E881" s="48">
        <v>0</v>
      </c>
      <c r="F881" s="48">
        <v>1</v>
      </c>
      <c r="G881" s="48">
        <v>1E+100</v>
      </c>
      <c r="H881" s="49">
        <v>1</v>
      </c>
    </row>
    <row r="882" spans="2:8" x14ac:dyDescent="0.3">
      <c r="B882" s="47" t="s">
        <v>932</v>
      </c>
      <c r="C882" s="48" t="s">
        <v>21</v>
      </c>
      <c r="D882" s="48">
        <v>0</v>
      </c>
      <c r="E882" s="48">
        <v>0</v>
      </c>
      <c r="F882" s="48">
        <v>1</v>
      </c>
      <c r="G882" s="48">
        <v>1E+100</v>
      </c>
      <c r="H882" s="49">
        <v>1</v>
      </c>
    </row>
    <row r="883" spans="2:8" x14ac:dyDescent="0.3">
      <c r="B883" s="47" t="s">
        <v>933</v>
      </c>
      <c r="C883" s="48" t="s">
        <v>21</v>
      </c>
      <c r="D883" s="48">
        <v>0</v>
      </c>
      <c r="E883" s="48">
        <v>0</v>
      </c>
      <c r="F883" s="48">
        <v>1</v>
      </c>
      <c r="G883" s="48">
        <v>1E+100</v>
      </c>
      <c r="H883" s="49">
        <v>1</v>
      </c>
    </row>
    <row r="884" spans="2:8" x14ac:dyDescent="0.3">
      <c r="B884" s="47" t="s">
        <v>934</v>
      </c>
      <c r="C884" s="48" t="s">
        <v>21</v>
      </c>
      <c r="D884" s="48">
        <v>0</v>
      </c>
      <c r="E884" s="48">
        <v>0</v>
      </c>
      <c r="F884" s="48">
        <v>1</v>
      </c>
      <c r="G884" s="48">
        <v>1E+100</v>
      </c>
      <c r="H884" s="49">
        <v>1</v>
      </c>
    </row>
    <row r="885" spans="2:8" x14ac:dyDescent="0.3">
      <c r="B885" s="47" t="s">
        <v>935</v>
      </c>
      <c r="C885" s="48" t="s">
        <v>910</v>
      </c>
      <c r="D885" s="48">
        <v>0</v>
      </c>
      <c r="E885" s="48">
        <v>0</v>
      </c>
      <c r="F885" s="48">
        <v>1</v>
      </c>
      <c r="G885" s="48">
        <v>1E+100</v>
      </c>
      <c r="H885" s="49">
        <v>1</v>
      </c>
    </row>
    <row r="886" spans="2:8" x14ac:dyDescent="0.3">
      <c r="B886" s="47" t="s">
        <v>936</v>
      </c>
      <c r="C886" s="48" t="s">
        <v>655</v>
      </c>
      <c r="D886" s="48">
        <v>0</v>
      </c>
      <c r="E886" s="48">
        <v>0</v>
      </c>
      <c r="F886" s="48">
        <v>1</v>
      </c>
      <c r="G886" s="48">
        <v>1E+100</v>
      </c>
      <c r="H886" s="49">
        <v>1</v>
      </c>
    </row>
    <row r="887" spans="2:8" x14ac:dyDescent="0.3">
      <c r="B887" s="47" t="s">
        <v>937</v>
      </c>
      <c r="C887" s="48" t="s">
        <v>21</v>
      </c>
      <c r="D887" s="48">
        <v>0</v>
      </c>
      <c r="E887" s="48">
        <v>0</v>
      </c>
      <c r="F887" s="48">
        <v>1</v>
      </c>
      <c r="G887" s="48">
        <v>1E+100</v>
      </c>
      <c r="H887" s="49">
        <v>1</v>
      </c>
    </row>
    <row r="888" spans="2:8" x14ac:dyDescent="0.3">
      <c r="B888" s="47" t="s">
        <v>938</v>
      </c>
      <c r="C888" s="48" t="s">
        <v>21</v>
      </c>
      <c r="D888" s="48">
        <v>0</v>
      </c>
      <c r="E888" s="48">
        <v>0</v>
      </c>
      <c r="F888" s="48">
        <v>1</v>
      </c>
      <c r="G888" s="48">
        <v>1E+100</v>
      </c>
      <c r="H888" s="49">
        <v>1</v>
      </c>
    </row>
    <row r="889" spans="2:8" x14ac:dyDescent="0.3">
      <c r="B889" s="47" t="s">
        <v>939</v>
      </c>
      <c r="C889" s="48" t="s">
        <v>21</v>
      </c>
      <c r="D889" s="48">
        <v>0</v>
      </c>
      <c r="E889" s="48">
        <v>0</v>
      </c>
      <c r="F889" s="48">
        <v>1</v>
      </c>
      <c r="G889" s="48">
        <v>1E+100</v>
      </c>
      <c r="H889" s="49">
        <v>1</v>
      </c>
    </row>
    <row r="890" spans="2:8" x14ac:dyDescent="0.3">
      <c r="B890" s="47" t="s">
        <v>940</v>
      </c>
      <c r="C890" s="48" t="s">
        <v>910</v>
      </c>
      <c r="D890" s="48">
        <v>0</v>
      </c>
      <c r="E890" s="48">
        <v>0</v>
      </c>
      <c r="F890" s="48">
        <v>1</v>
      </c>
      <c r="G890" s="48">
        <v>1E+100</v>
      </c>
      <c r="H890" s="49">
        <v>1</v>
      </c>
    </row>
    <row r="891" spans="2:8" x14ac:dyDescent="0.3">
      <c r="B891" s="47" t="s">
        <v>941</v>
      </c>
      <c r="C891" s="48" t="s">
        <v>655</v>
      </c>
      <c r="D891" s="48">
        <v>0</v>
      </c>
      <c r="E891" s="48">
        <v>0</v>
      </c>
      <c r="F891" s="48">
        <v>1</v>
      </c>
      <c r="G891" s="48">
        <v>1E+100</v>
      </c>
      <c r="H891" s="49">
        <v>1</v>
      </c>
    </row>
    <row r="892" spans="2:8" x14ac:dyDescent="0.3">
      <c r="B892" s="47" t="s">
        <v>942</v>
      </c>
      <c r="C892" s="48" t="s">
        <v>21</v>
      </c>
      <c r="D892" s="48">
        <v>0</v>
      </c>
      <c r="E892" s="48">
        <v>0</v>
      </c>
      <c r="F892" s="48">
        <v>1</v>
      </c>
      <c r="G892" s="48">
        <v>1E+100</v>
      </c>
      <c r="H892" s="49">
        <v>1</v>
      </c>
    </row>
    <row r="893" spans="2:8" x14ac:dyDescent="0.3">
      <c r="B893" s="47" t="s">
        <v>943</v>
      </c>
      <c r="C893" s="48" t="s">
        <v>21</v>
      </c>
      <c r="D893" s="48">
        <v>0</v>
      </c>
      <c r="E893" s="48">
        <v>0</v>
      </c>
      <c r="F893" s="48">
        <v>1</v>
      </c>
      <c r="G893" s="48">
        <v>1E+100</v>
      </c>
      <c r="H893" s="49">
        <v>1</v>
      </c>
    </row>
    <row r="894" spans="2:8" x14ac:dyDescent="0.3">
      <c r="B894" s="47" t="s">
        <v>944</v>
      </c>
      <c r="C894" s="48" t="s">
        <v>21</v>
      </c>
      <c r="D894" s="48">
        <v>0</v>
      </c>
      <c r="E894" s="48">
        <v>0</v>
      </c>
      <c r="F894" s="48">
        <v>1</v>
      </c>
      <c r="G894" s="48">
        <v>1E+100</v>
      </c>
      <c r="H894" s="49">
        <v>1</v>
      </c>
    </row>
    <row r="895" spans="2:8" x14ac:dyDescent="0.3">
      <c r="B895" s="47" t="s">
        <v>945</v>
      </c>
      <c r="C895" s="48" t="s">
        <v>910</v>
      </c>
      <c r="D895" s="48">
        <v>0</v>
      </c>
      <c r="E895" s="48">
        <v>0</v>
      </c>
      <c r="F895" s="48">
        <v>1</v>
      </c>
      <c r="G895" s="48">
        <v>1E+100</v>
      </c>
      <c r="H895" s="49">
        <v>1</v>
      </c>
    </row>
    <row r="896" spans="2:8" x14ac:dyDescent="0.3">
      <c r="B896" s="47" t="s">
        <v>946</v>
      </c>
      <c r="C896" s="48" t="s">
        <v>655</v>
      </c>
      <c r="D896" s="48">
        <v>0</v>
      </c>
      <c r="E896" s="48">
        <v>0</v>
      </c>
      <c r="F896" s="48">
        <v>1</v>
      </c>
      <c r="G896" s="48">
        <v>1E+100</v>
      </c>
      <c r="H896" s="49">
        <v>1</v>
      </c>
    </row>
    <row r="897" spans="2:8" x14ac:dyDescent="0.3">
      <c r="B897" s="47" t="s">
        <v>947</v>
      </c>
      <c r="C897" s="48" t="s">
        <v>21</v>
      </c>
      <c r="D897" s="48">
        <v>0</v>
      </c>
      <c r="E897" s="48">
        <v>0</v>
      </c>
      <c r="F897" s="48">
        <v>1</v>
      </c>
      <c r="G897" s="48">
        <v>1E+100</v>
      </c>
      <c r="H897" s="49">
        <v>1</v>
      </c>
    </row>
    <row r="898" spans="2:8" x14ac:dyDescent="0.3">
      <c r="B898" s="47" t="s">
        <v>948</v>
      </c>
      <c r="C898" s="48" t="s">
        <v>21</v>
      </c>
      <c r="D898" s="48">
        <v>0</v>
      </c>
      <c r="E898" s="48">
        <v>0</v>
      </c>
      <c r="F898" s="48">
        <v>1</v>
      </c>
      <c r="G898" s="48">
        <v>1E+100</v>
      </c>
      <c r="H898" s="49">
        <v>1</v>
      </c>
    </row>
    <row r="899" spans="2:8" x14ac:dyDescent="0.3">
      <c r="B899" s="47" t="s">
        <v>949</v>
      </c>
      <c r="C899" s="48" t="s">
        <v>21</v>
      </c>
      <c r="D899" s="48">
        <v>0</v>
      </c>
      <c r="E899" s="48">
        <v>0</v>
      </c>
      <c r="F899" s="48">
        <v>1</v>
      </c>
      <c r="G899" s="48">
        <v>1E+100</v>
      </c>
      <c r="H899" s="49">
        <v>1</v>
      </c>
    </row>
    <row r="900" spans="2:8" x14ac:dyDescent="0.3">
      <c r="B900" s="47" t="s">
        <v>950</v>
      </c>
      <c r="C900" s="48" t="s">
        <v>910</v>
      </c>
      <c r="D900" s="48">
        <v>0</v>
      </c>
      <c r="E900" s="48">
        <v>0</v>
      </c>
      <c r="F900" s="48">
        <v>1</v>
      </c>
      <c r="G900" s="48">
        <v>1E+100</v>
      </c>
      <c r="H900" s="49">
        <v>1</v>
      </c>
    </row>
    <row r="901" spans="2:8" x14ac:dyDescent="0.3">
      <c r="B901" s="47" t="s">
        <v>951</v>
      </c>
      <c r="C901" s="48" t="s">
        <v>655</v>
      </c>
      <c r="D901" s="48">
        <v>0</v>
      </c>
      <c r="E901" s="48">
        <v>0</v>
      </c>
      <c r="F901" s="48">
        <v>1</v>
      </c>
      <c r="G901" s="48">
        <v>1E+100</v>
      </c>
      <c r="H901" s="49">
        <v>1</v>
      </c>
    </row>
    <row r="902" spans="2:8" x14ac:dyDescent="0.3">
      <c r="B902" s="47" t="s">
        <v>952</v>
      </c>
      <c r="C902" s="48" t="s">
        <v>21</v>
      </c>
      <c r="D902" s="48">
        <v>0</v>
      </c>
      <c r="E902" s="48">
        <v>0</v>
      </c>
      <c r="F902" s="48">
        <v>1</v>
      </c>
      <c r="G902" s="48">
        <v>1E+100</v>
      </c>
      <c r="H902" s="49">
        <v>1</v>
      </c>
    </row>
    <row r="903" spans="2:8" x14ac:dyDescent="0.3">
      <c r="B903" s="47" t="s">
        <v>953</v>
      </c>
      <c r="C903" s="48" t="s">
        <v>21</v>
      </c>
      <c r="D903" s="48">
        <v>0</v>
      </c>
      <c r="E903" s="48">
        <v>0</v>
      </c>
      <c r="F903" s="48">
        <v>1</v>
      </c>
      <c r="G903" s="48">
        <v>1E+100</v>
      </c>
      <c r="H903" s="49">
        <v>1</v>
      </c>
    </row>
    <row r="904" spans="2:8" x14ac:dyDescent="0.3">
      <c r="B904" s="47" t="s">
        <v>954</v>
      </c>
      <c r="C904" s="48" t="s">
        <v>21</v>
      </c>
      <c r="D904" s="48">
        <v>0</v>
      </c>
      <c r="E904" s="48">
        <v>0</v>
      </c>
      <c r="F904" s="48">
        <v>1</v>
      </c>
      <c r="G904" s="48">
        <v>1E+100</v>
      </c>
      <c r="H904" s="49">
        <v>1</v>
      </c>
    </row>
    <row r="905" spans="2:8" x14ac:dyDescent="0.3">
      <c r="B905" s="47" t="s">
        <v>955</v>
      </c>
      <c r="C905" s="48" t="s">
        <v>910</v>
      </c>
      <c r="D905" s="48">
        <v>0</v>
      </c>
      <c r="E905" s="48">
        <v>0</v>
      </c>
      <c r="F905" s="48">
        <v>1</v>
      </c>
      <c r="G905" s="48">
        <v>1E+100</v>
      </c>
      <c r="H905" s="49">
        <v>1</v>
      </c>
    </row>
    <row r="906" spans="2:8" x14ac:dyDescent="0.3">
      <c r="B906" s="47" t="s">
        <v>956</v>
      </c>
      <c r="C906" s="48" t="s">
        <v>655</v>
      </c>
      <c r="D906" s="48">
        <v>0</v>
      </c>
      <c r="E906" s="48">
        <v>0</v>
      </c>
      <c r="F906" s="48">
        <v>1</v>
      </c>
      <c r="G906" s="48">
        <v>1E+100</v>
      </c>
      <c r="H906" s="49">
        <v>1</v>
      </c>
    </row>
    <row r="907" spans="2:8" x14ac:dyDescent="0.3">
      <c r="B907" s="47" t="s">
        <v>957</v>
      </c>
      <c r="C907" s="48" t="s">
        <v>21</v>
      </c>
      <c r="D907" s="48">
        <v>0</v>
      </c>
      <c r="E907" s="48">
        <v>0</v>
      </c>
      <c r="F907" s="48">
        <v>1</v>
      </c>
      <c r="G907" s="48">
        <v>1E+100</v>
      </c>
      <c r="H907" s="49">
        <v>1</v>
      </c>
    </row>
    <row r="908" spans="2:8" x14ac:dyDescent="0.3">
      <c r="B908" s="47" t="s">
        <v>958</v>
      </c>
      <c r="C908" s="48" t="s">
        <v>21</v>
      </c>
      <c r="D908" s="48">
        <v>0</v>
      </c>
      <c r="E908" s="48">
        <v>0</v>
      </c>
      <c r="F908" s="48">
        <v>1</v>
      </c>
      <c r="G908" s="48">
        <v>1E+100</v>
      </c>
      <c r="H908" s="49">
        <v>1</v>
      </c>
    </row>
    <row r="909" spans="2:8" x14ac:dyDescent="0.3">
      <c r="B909" s="47" t="s">
        <v>959</v>
      </c>
      <c r="C909" s="48" t="s">
        <v>21</v>
      </c>
      <c r="D909" s="48">
        <v>0</v>
      </c>
      <c r="E909" s="48">
        <v>0</v>
      </c>
      <c r="F909" s="48">
        <v>1</v>
      </c>
      <c r="G909" s="48">
        <v>1E+100</v>
      </c>
      <c r="H909" s="49">
        <v>1</v>
      </c>
    </row>
    <row r="910" spans="2:8" x14ac:dyDescent="0.3">
      <c r="B910" s="47" t="s">
        <v>960</v>
      </c>
      <c r="C910" s="48" t="s">
        <v>910</v>
      </c>
      <c r="D910" s="48">
        <v>0</v>
      </c>
      <c r="E910" s="48">
        <v>0</v>
      </c>
      <c r="F910" s="48">
        <v>1</v>
      </c>
      <c r="G910" s="48">
        <v>1E+100</v>
      </c>
      <c r="H910" s="49">
        <v>1</v>
      </c>
    </row>
    <row r="911" spans="2:8" x14ac:dyDescent="0.3">
      <c r="B911" s="47" t="s">
        <v>961</v>
      </c>
      <c r="C911" s="48" t="s">
        <v>655</v>
      </c>
      <c r="D911" s="48">
        <v>0</v>
      </c>
      <c r="E911" s="48">
        <v>0</v>
      </c>
      <c r="F911" s="48">
        <v>1</v>
      </c>
      <c r="G911" s="48">
        <v>1E+100</v>
      </c>
      <c r="H911" s="49">
        <v>1</v>
      </c>
    </row>
    <row r="912" spans="2:8" x14ac:dyDescent="0.3">
      <c r="B912" s="47" t="s">
        <v>962</v>
      </c>
      <c r="C912" s="48" t="s">
        <v>21</v>
      </c>
      <c r="D912" s="48">
        <v>0</v>
      </c>
      <c r="E912" s="48">
        <v>0</v>
      </c>
      <c r="F912" s="48">
        <v>1</v>
      </c>
      <c r="G912" s="48">
        <v>1E+100</v>
      </c>
      <c r="H912" s="49">
        <v>1</v>
      </c>
    </row>
    <row r="913" spans="2:8" x14ac:dyDescent="0.3">
      <c r="B913" s="47" t="s">
        <v>963</v>
      </c>
      <c r="C913" s="48" t="s">
        <v>21</v>
      </c>
      <c r="D913" s="48">
        <v>0</v>
      </c>
      <c r="E913" s="48">
        <v>0</v>
      </c>
      <c r="F913" s="48">
        <v>1</v>
      </c>
      <c r="G913" s="48">
        <v>1E+100</v>
      </c>
      <c r="H913" s="49">
        <v>1</v>
      </c>
    </row>
    <row r="914" spans="2:8" x14ac:dyDescent="0.3">
      <c r="B914" s="47" t="s">
        <v>964</v>
      </c>
      <c r="C914" s="48" t="s">
        <v>21</v>
      </c>
      <c r="D914" s="48">
        <v>0</v>
      </c>
      <c r="E914" s="48">
        <v>0</v>
      </c>
      <c r="F914" s="48">
        <v>1</v>
      </c>
      <c r="G914" s="48">
        <v>1E+100</v>
      </c>
      <c r="H914" s="49">
        <v>1</v>
      </c>
    </row>
    <row r="915" spans="2:8" x14ac:dyDescent="0.3">
      <c r="B915" s="47" t="s">
        <v>965</v>
      </c>
      <c r="C915" s="48" t="s">
        <v>910</v>
      </c>
      <c r="D915" s="48">
        <v>0</v>
      </c>
      <c r="E915" s="48">
        <v>0</v>
      </c>
      <c r="F915" s="48">
        <v>1</v>
      </c>
      <c r="G915" s="48">
        <v>1E+100</v>
      </c>
      <c r="H915" s="49">
        <v>1</v>
      </c>
    </row>
    <row r="916" spans="2:8" x14ac:dyDescent="0.3">
      <c r="B916" s="47" t="s">
        <v>966</v>
      </c>
      <c r="C916" s="48" t="s">
        <v>655</v>
      </c>
      <c r="D916" s="48">
        <v>0</v>
      </c>
      <c r="E916" s="48">
        <v>0</v>
      </c>
      <c r="F916" s="48">
        <v>1</v>
      </c>
      <c r="G916" s="48">
        <v>1E+100</v>
      </c>
      <c r="H916" s="49">
        <v>1</v>
      </c>
    </row>
    <row r="917" spans="2:8" x14ac:dyDescent="0.3">
      <c r="B917" s="47" t="s">
        <v>967</v>
      </c>
      <c r="C917" s="48" t="s">
        <v>21</v>
      </c>
      <c r="D917" s="48">
        <v>0</v>
      </c>
      <c r="E917" s="48">
        <v>0</v>
      </c>
      <c r="F917" s="48">
        <v>1</v>
      </c>
      <c r="G917" s="48">
        <v>1E+100</v>
      </c>
      <c r="H917" s="49">
        <v>1</v>
      </c>
    </row>
    <row r="918" spans="2:8" x14ac:dyDescent="0.3">
      <c r="B918" s="47" t="s">
        <v>968</v>
      </c>
      <c r="C918" s="48" t="s">
        <v>21</v>
      </c>
      <c r="D918" s="48">
        <v>0</v>
      </c>
      <c r="E918" s="48">
        <v>0</v>
      </c>
      <c r="F918" s="48">
        <v>1</v>
      </c>
      <c r="G918" s="48">
        <v>1E+100</v>
      </c>
      <c r="H918" s="49">
        <v>1</v>
      </c>
    </row>
    <row r="919" spans="2:8" x14ac:dyDescent="0.3">
      <c r="B919" s="47" t="s">
        <v>969</v>
      </c>
      <c r="C919" s="48" t="s">
        <v>21</v>
      </c>
      <c r="D919" s="48">
        <v>0</v>
      </c>
      <c r="E919" s="48">
        <v>0</v>
      </c>
      <c r="F919" s="48">
        <v>1</v>
      </c>
      <c r="G919" s="48">
        <v>1E+100</v>
      </c>
      <c r="H919" s="49">
        <v>1</v>
      </c>
    </row>
    <row r="920" spans="2:8" x14ac:dyDescent="0.3">
      <c r="B920" s="47" t="s">
        <v>970</v>
      </c>
      <c r="C920" s="48" t="s">
        <v>910</v>
      </c>
      <c r="D920" s="48">
        <v>0</v>
      </c>
      <c r="E920" s="48">
        <v>0</v>
      </c>
      <c r="F920" s="48">
        <v>1</v>
      </c>
      <c r="G920" s="48">
        <v>1E+100</v>
      </c>
      <c r="H920" s="49">
        <v>1</v>
      </c>
    </row>
    <row r="921" spans="2:8" x14ac:dyDescent="0.3">
      <c r="B921" s="47" t="s">
        <v>971</v>
      </c>
      <c r="C921" s="48" t="s">
        <v>655</v>
      </c>
      <c r="D921" s="48">
        <v>0</v>
      </c>
      <c r="E921" s="48">
        <v>0</v>
      </c>
      <c r="F921" s="48">
        <v>1</v>
      </c>
      <c r="G921" s="48">
        <v>1E+100</v>
      </c>
      <c r="H921" s="49">
        <v>1</v>
      </c>
    </row>
    <row r="922" spans="2:8" x14ac:dyDescent="0.3">
      <c r="B922" s="47" t="s">
        <v>972</v>
      </c>
      <c r="C922" s="48" t="s">
        <v>21</v>
      </c>
      <c r="D922" s="48">
        <v>0</v>
      </c>
      <c r="E922" s="48">
        <v>0</v>
      </c>
      <c r="F922" s="48">
        <v>1</v>
      </c>
      <c r="G922" s="48">
        <v>1E+100</v>
      </c>
      <c r="H922" s="49">
        <v>1</v>
      </c>
    </row>
    <row r="923" spans="2:8" x14ac:dyDescent="0.3">
      <c r="B923" s="47" t="s">
        <v>973</v>
      </c>
      <c r="C923" s="48" t="s">
        <v>21</v>
      </c>
      <c r="D923" s="48">
        <v>0</v>
      </c>
      <c r="E923" s="48">
        <v>0</v>
      </c>
      <c r="F923" s="48">
        <v>1</v>
      </c>
      <c r="G923" s="48">
        <v>1E+100</v>
      </c>
      <c r="H923" s="49">
        <v>1</v>
      </c>
    </row>
    <row r="924" spans="2:8" x14ac:dyDescent="0.3">
      <c r="B924" s="47" t="s">
        <v>974</v>
      </c>
      <c r="C924" s="48" t="s">
        <v>21</v>
      </c>
      <c r="D924" s="48">
        <v>0</v>
      </c>
      <c r="E924" s="48">
        <v>0</v>
      </c>
      <c r="F924" s="48">
        <v>1</v>
      </c>
      <c r="G924" s="48">
        <v>1E+100</v>
      </c>
      <c r="H924" s="49">
        <v>1</v>
      </c>
    </row>
    <row r="925" spans="2:8" x14ac:dyDescent="0.3">
      <c r="B925" s="47" t="s">
        <v>975</v>
      </c>
      <c r="C925" s="48" t="s">
        <v>910</v>
      </c>
      <c r="D925" s="48">
        <v>0</v>
      </c>
      <c r="E925" s="48">
        <v>0</v>
      </c>
      <c r="F925" s="48">
        <v>1</v>
      </c>
      <c r="G925" s="48">
        <v>1E+100</v>
      </c>
      <c r="H925" s="49">
        <v>1</v>
      </c>
    </row>
    <row r="926" spans="2:8" x14ac:dyDescent="0.3">
      <c r="B926" s="47" t="s">
        <v>976</v>
      </c>
      <c r="C926" s="48" t="s">
        <v>655</v>
      </c>
      <c r="D926" s="48">
        <v>0</v>
      </c>
      <c r="E926" s="48">
        <v>0</v>
      </c>
      <c r="F926" s="48">
        <v>1</v>
      </c>
      <c r="G926" s="48">
        <v>1E+100</v>
      </c>
      <c r="H926" s="49">
        <v>1</v>
      </c>
    </row>
    <row r="927" spans="2:8" x14ac:dyDescent="0.3">
      <c r="B927" s="47" t="s">
        <v>977</v>
      </c>
      <c r="C927" s="48" t="s">
        <v>21</v>
      </c>
      <c r="D927" s="48">
        <v>0</v>
      </c>
      <c r="E927" s="48">
        <v>0</v>
      </c>
      <c r="F927" s="48">
        <v>1</v>
      </c>
      <c r="G927" s="48">
        <v>1E+100</v>
      </c>
      <c r="H927" s="49">
        <v>1</v>
      </c>
    </row>
    <row r="928" spans="2:8" x14ac:dyDescent="0.3">
      <c r="B928" s="47" t="s">
        <v>978</v>
      </c>
      <c r="C928" s="48" t="s">
        <v>21</v>
      </c>
      <c r="D928" s="48">
        <v>0</v>
      </c>
      <c r="E928" s="48">
        <v>0</v>
      </c>
      <c r="F928" s="48">
        <v>1</v>
      </c>
      <c r="G928" s="48">
        <v>1E+100</v>
      </c>
      <c r="H928" s="49">
        <v>1</v>
      </c>
    </row>
    <row r="929" spans="2:8" x14ac:dyDescent="0.3">
      <c r="B929" s="47" t="s">
        <v>979</v>
      </c>
      <c r="C929" s="48" t="s">
        <v>21</v>
      </c>
      <c r="D929" s="48">
        <v>0</v>
      </c>
      <c r="E929" s="48">
        <v>0</v>
      </c>
      <c r="F929" s="48">
        <v>1</v>
      </c>
      <c r="G929" s="48">
        <v>1E+100</v>
      </c>
      <c r="H929" s="49">
        <v>1</v>
      </c>
    </row>
    <row r="930" spans="2:8" x14ac:dyDescent="0.3">
      <c r="B930" s="47" t="s">
        <v>980</v>
      </c>
      <c r="C930" s="48" t="s">
        <v>910</v>
      </c>
      <c r="D930" s="48">
        <v>0</v>
      </c>
      <c r="E930" s="48">
        <v>0</v>
      </c>
      <c r="F930" s="48">
        <v>1</v>
      </c>
      <c r="G930" s="48">
        <v>1E+100</v>
      </c>
      <c r="H930" s="49">
        <v>1</v>
      </c>
    </row>
    <row r="931" spans="2:8" x14ac:dyDescent="0.3">
      <c r="B931" s="47" t="s">
        <v>981</v>
      </c>
      <c r="C931" s="48" t="s">
        <v>655</v>
      </c>
      <c r="D931" s="48">
        <v>0</v>
      </c>
      <c r="E931" s="48">
        <v>0</v>
      </c>
      <c r="F931" s="48">
        <v>1</v>
      </c>
      <c r="G931" s="48">
        <v>1E+100</v>
      </c>
      <c r="H931" s="49">
        <v>1</v>
      </c>
    </row>
    <row r="932" spans="2:8" x14ac:dyDescent="0.3">
      <c r="B932" s="47" t="s">
        <v>982</v>
      </c>
      <c r="C932" s="48" t="s">
        <v>21</v>
      </c>
      <c r="D932" s="48">
        <v>0</v>
      </c>
      <c r="E932" s="48">
        <v>0</v>
      </c>
      <c r="F932" s="48">
        <v>1</v>
      </c>
      <c r="G932" s="48">
        <v>1E+100</v>
      </c>
      <c r="H932" s="49">
        <v>1</v>
      </c>
    </row>
    <row r="933" spans="2:8" x14ac:dyDescent="0.3">
      <c r="B933" s="47" t="s">
        <v>983</v>
      </c>
      <c r="C933" s="48" t="s">
        <v>21</v>
      </c>
      <c r="D933" s="48">
        <v>0</v>
      </c>
      <c r="E933" s="48">
        <v>0</v>
      </c>
      <c r="F933" s="48">
        <v>1</v>
      </c>
      <c r="G933" s="48">
        <v>1E+100</v>
      </c>
      <c r="H933" s="49">
        <v>1</v>
      </c>
    </row>
    <row r="934" spans="2:8" x14ac:dyDescent="0.3">
      <c r="B934" s="47" t="s">
        <v>984</v>
      </c>
      <c r="C934" s="48" t="s">
        <v>21</v>
      </c>
      <c r="D934" s="48">
        <v>0</v>
      </c>
      <c r="E934" s="48">
        <v>0</v>
      </c>
      <c r="F934" s="48">
        <v>1</v>
      </c>
      <c r="G934" s="48">
        <v>1E+100</v>
      </c>
      <c r="H934" s="49">
        <v>1</v>
      </c>
    </row>
    <row r="935" spans="2:8" x14ac:dyDescent="0.3">
      <c r="B935" s="47" t="s">
        <v>985</v>
      </c>
      <c r="C935" s="48" t="s">
        <v>910</v>
      </c>
      <c r="D935" s="48">
        <v>0</v>
      </c>
      <c r="E935" s="48">
        <v>0</v>
      </c>
      <c r="F935" s="48">
        <v>1</v>
      </c>
      <c r="G935" s="48">
        <v>1E+100</v>
      </c>
      <c r="H935" s="49">
        <v>1</v>
      </c>
    </row>
    <row r="936" spans="2:8" x14ac:dyDescent="0.3">
      <c r="B936" s="47" t="s">
        <v>986</v>
      </c>
      <c r="C936" s="48" t="s">
        <v>655</v>
      </c>
      <c r="D936" s="48">
        <v>0</v>
      </c>
      <c r="E936" s="48">
        <v>0</v>
      </c>
      <c r="F936" s="48">
        <v>1</v>
      </c>
      <c r="G936" s="48">
        <v>1E+100</v>
      </c>
      <c r="H936" s="49">
        <v>1</v>
      </c>
    </row>
    <row r="937" spans="2:8" x14ac:dyDescent="0.3">
      <c r="B937" s="47" t="s">
        <v>987</v>
      </c>
      <c r="C937" s="48" t="s">
        <v>21</v>
      </c>
      <c r="D937" s="48">
        <v>0</v>
      </c>
      <c r="E937" s="48">
        <v>0</v>
      </c>
      <c r="F937" s="48">
        <v>1</v>
      </c>
      <c r="G937" s="48">
        <v>1E+100</v>
      </c>
      <c r="H937" s="49">
        <v>1</v>
      </c>
    </row>
    <row r="938" spans="2:8" x14ac:dyDescent="0.3">
      <c r="B938" s="47" t="s">
        <v>988</v>
      </c>
      <c r="C938" s="48" t="s">
        <v>21</v>
      </c>
      <c r="D938" s="48">
        <v>0</v>
      </c>
      <c r="E938" s="48">
        <v>0</v>
      </c>
      <c r="F938" s="48">
        <v>1</v>
      </c>
      <c r="G938" s="48">
        <v>1E+100</v>
      </c>
      <c r="H938" s="49">
        <v>1</v>
      </c>
    </row>
    <row r="939" spans="2:8" x14ac:dyDescent="0.3">
      <c r="B939" s="47" t="s">
        <v>989</v>
      </c>
      <c r="C939" s="48" t="s">
        <v>21</v>
      </c>
      <c r="D939" s="48">
        <v>0</v>
      </c>
      <c r="E939" s="48">
        <v>0</v>
      </c>
      <c r="F939" s="48">
        <v>1</v>
      </c>
      <c r="G939" s="48">
        <v>1E+100</v>
      </c>
      <c r="H939" s="49">
        <v>1</v>
      </c>
    </row>
    <row r="940" spans="2:8" x14ac:dyDescent="0.3">
      <c r="B940" s="47" t="s">
        <v>990</v>
      </c>
      <c r="C940" s="48" t="s">
        <v>910</v>
      </c>
      <c r="D940" s="48">
        <v>0</v>
      </c>
      <c r="E940" s="48">
        <v>0</v>
      </c>
      <c r="F940" s="48">
        <v>1</v>
      </c>
      <c r="G940" s="48">
        <v>1E+100</v>
      </c>
      <c r="H940" s="49">
        <v>1</v>
      </c>
    </row>
    <row r="941" spans="2:8" x14ac:dyDescent="0.3">
      <c r="B941" s="47" t="s">
        <v>991</v>
      </c>
      <c r="C941" s="48" t="s">
        <v>655</v>
      </c>
      <c r="D941" s="48">
        <v>0</v>
      </c>
      <c r="E941" s="48">
        <v>0</v>
      </c>
      <c r="F941" s="48">
        <v>1</v>
      </c>
      <c r="G941" s="48">
        <v>1E+100</v>
      </c>
      <c r="H941" s="49">
        <v>1</v>
      </c>
    </row>
    <row r="942" spans="2:8" x14ac:dyDescent="0.3">
      <c r="B942" s="47" t="s">
        <v>992</v>
      </c>
      <c r="C942" s="48" t="s">
        <v>21</v>
      </c>
      <c r="D942" s="48">
        <v>0</v>
      </c>
      <c r="E942" s="48">
        <v>0</v>
      </c>
      <c r="F942" s="48">
        <v>1</v>
      </c>
      <c r="G942" s="48">
        <v>1E+100</v>
      </c>
      <c r="H942" s="49">
        <v>1</v>
      </c>
    </row>
    <row r="943" spans="2:8" x14ac:dyDescent="0.3">
      <c r="B943" s="47" t="s">
        <v>993</v>
      </c>
      <c r="C943" s="48" t="s">
        <v>21</v>
      </c>
      <c r="D943" s="48">
        <v>0</v>
      </c>
      <c r="E943" s="48">
        <v>0</v>
      </c>
      <c r="F943" s="48">
        <v>1</v>
      </c>
      <c r="G943" s="48">
        <v>1E+100</v>
      </c>
      <c r="H943" s="49">
        <v>1</v>
      </c>
    </row>
    <row r="944" spans="2:8" x14ac:dyDescent="0.3">
      <c r="B944" s="47" t="s">
        <v>994</v>
      </c>
      <c r="C944" s="48" t="s">
        <v>21</v>
      </c>
      <c r="D944" s="48">
        <v>0</v>
      </c>
      <c r="E944" s="48">
        <v>0</v>
      </c>
      <c r="F944" s="48">
        <v>1</v>
      </c>
      <c r="G944" s="48">
        <v>1E+100</v>
      </c>
      <c r="H944" s="49">
        <v>1</v>
      </c>
    </row>
    <row r="945" spans="2:8" x14ac:dyDescent="0.3">
      <c r="B945" s="47" t="s">
        <v>995</v>
      </c>
      <c r="C945" s="48" t="s">
        <v>910</v>
      </c>
      <c r="D945" s="48">
        <v>0</v>
      </c>
      <c r="E945" s="48">
        <v>0</v>
      </c>
      <c r="F945" s="48">
        <v>1</v>
      </c>
      <c r="G945" s="48">
        <v>1E+100</v>
      </c>
      <c r="H945" s="49">
        <v>1</v>
      </c>
    </row>
    <row r="946" spans="2:8" x14ac:dyDescent="0.3">
      <c r="B946" s="47" t="s">
        <v>996</v>
      </c>
      <c r="C946" s="48" t="s">
        <v>655</v>
      </c>
      <c r="D946" s="48">
        <v>0</v>
      </c>
      <c r="E946" s="48">
        <v>0</v>
      </c>
      <c r="F946" s="48">
        <v>1</v>
      </c>
      <c r="G946" s="48">
        <v>1E+100</v>
      </c>
      <c r="H946" s="49">
        <v>1</v>
      </c>
    </row>
    <row r="947" spans="2:8" x14ac:dyDescent="0.3">
      <c r="B947" s="47" t="s">
        <v>997</v>
      </c>
      <c r="C947" s="48" t="s">
        <v>21</v>
      </c>
      <c r="D947" s="48">
        <v>0</v>
      </c>
      <c r="E947" s="48">
        <v>0</v>
      </c>
      <c r="F947" s="48">
        <v>1</v>
      </c>
      <c r="G947" s="48">
        <v>1E+100</v>
      </c>
      <c r="H947" s="49">
        <v>1</v>
      </c>
    </row>
    <row r="948" spans="2:8" x14ac:dyDescent="0.3">
      <c r="B948" s="47" t="s">
        <v>998</v>
      </c>
      <c r="C948" s="48" t="s">
        <v>21</v>
      </c>
      <c r="D948" s="48">
        <v>0</v>
      </c>
      <c r="E948" s="48">
        <v>0</v>
      </c>
      <c r="F948" s="48">
        <v>1</v>
      </c>
      <c r="G948" s="48">
        <v>1E+100</v>
      </c>
      <c r="H948" s="49">
        <v>1</v>
      </c>
    </row>
    <row r="949" spans="2:8" x14ac:dyDescent="0.3">
      <c r="B949" s="47" t="s">
        <v>999</v>
      </c>
      <c r="C949" s="48" t="s">
        <v>21</v>
      </c>
      <c r="D949" s="48">
        <v>0</v>
      </c>
      <c r="E949" s="48">
        <v>0</v>
      </c>
      <c r="F949" s="48">
        <v>1</v>
      </c>
      <c r="G949" s="48">
        <v>1E+100</v>
      </c>
      <c r="H949" s="49">
        <v>1</v>
      </c>
    </row>
    <row r="950" spans="2:8" x14ac:dyDescent="0.3">
      <c r="B950" s="47" t="s">
        <v>1000</v>
      </c>
      <c r="C950" s="48" t="s">
        <v>910</v>
      </c>
      <c r="D950" s="48">
        <v>0</v>
      </c>
      <c r="E950" s="48">
        <v>0</v>
      </c>
      <c r="F950" s="48">
        <v>1</v>
      </c>
      <c r="G950" s="48">
        <v>1E+100</v>
      </c>
      <c r="H950" s="49">
        <v>1</v>
      </c>
    </row>
    <row r="951" spans="2:8" x14ac:dyDescent="0.3">
      <c r="B951" s="47" t="s">
        <v>1001</v>
      </c>
      <c r="C951" s="48" t="s">
        <v>655</v>
      </c>
      <c r="D951" s="48">
        <v>0</v>
      </c>
      <c r="E951" s="48">
        <v>0</v>
      </c>
      <c r="F951" s="48">
        <v>1</v>
      </c>
      <c r="G951" s="48">
        <v>1E+100</v>
      </c>
      <c r="H951" s="49">
        <v>1</v>
      </c>
    </row>
    <row r="952" spans="2:8" x14ac:dyDescent="0.3">
      <c r="B952" s="47" t="s">
        <v>1002</v>
      </c>
      <c r="C952" s="48" t="s">
        <v>21</v>
      </c>
      <c r="D952" s="48">
        <v>0</v>
      </c>
      <c r="E952" s="48">
        <v>0</v>
      </c>
      <c r="F952" s="48">
        <v>1</v>
      </c>
      <c r="G952" s="48">
        <v>1E+100</v>
      </c>
      <c r="H952" s="49">
        <v>1</v>
      </c>
    </row>
    <row r="953" spans="2:8" x14ac:dyDescent="0.3">
      <c r="B953" s="47" t="s">
        <v>1003</v>
      </c>
      <c r="C953" s="48" t="s">
        <v>21</v>
      </c>
      <c r="D953" s="48">
        <v>0</v>
      </c>
      <c r="E953" s="48">
        <v>0</v>
      </c>
      <c r="F953" s="48">
        <v>1</v>
      </c>
      <c r="G953" s="48">
        <v>1E+100</v>
      </c>
      <c r="H953" s="49">
        <v>1</v>
      </c>
    </row>
    <row r="954" spans="2:8" x14ac:dyDescent="0.3">
      <c r="B954" s="47" t="s">
        <v>1004</v>
      </c>
      <c r="C954" s="48" t="s">
        <v>21</v>
      </c>
      <c r="D954" s="48">
        <v>0</v>
      </c>
      <c r="E954" s="48">
        <v>0</v>
      </c>
      <c r="F954" s="48">
        <v>1</v>
      </c>
      <c r="G954" s="48">
        <v>1E+100</v>
      </c>
      <c r="H954" s="49">
        <v>1</v>
      </c>
    </row>
    <row r="955" spans="2:8" x14ac:dyDescent="0.3">
      <c r="B955" s="47" t="s">
        <v>1005</v>
      </c>
      <c r="C955" s="48" t="s">
        <v>910</v>
      </c>
      <c r="D955" s="48">
        <v>0</v>
      </c>
      <c r="E955" s="48">
        <v>0</v>
      </c>
      <c r="F955" s="48">
        <v>1</v>
      </c>
      <c r="G955" s="48">
        <v>1E+100</v>
      </c>
      <c r="H955" s="49">
        <v>1</v>
      </c>
    </row>
    <row r="956" spans="2:8" x14ac:dyDescent="0.3">
      <c r="B956" s="47" t="s">
        <v>1006</v>
      </c>
      <c r="C956" s="48" t="s">
        <v>655</v>
      </c>
      <c r="D956" s="48">
        <v>0</v>
      </c>
      <c r="E956" s="48">
        <v>0</v>
      </c>
      <c r="F956" s="48">
        <v>1</v>
      </c>
      <c r="G956" s="48">
        <v>1E+100</v>
      </c>
      <c r="H956" s="49">
        <v>1</v>
      </c>
    </row>
    <row r="957" spans="2:8" x14ac:dyDescent="0.3">
      <c r="B957" s="47" t="s">
        <v>1007</v>
      </c>
      <c r="C957" s="48" t="s">
        <v>21</v>
      </c>
      <c r="D957" s="48">
        <v>0</v>
      </c>
      <c r="E957" s="48">
        <v>0</v>
      </c>
      <c r="F957" s="48">
        <v>1</v>
      </c>
      <c r="G957" s="48">
        <v>1E+100</v>
      </c>
      <c r="H957" s="49">
        <v>1</v>
      </c>
    </row>
    <row r="958" spans="2:8" x14ac:dyDescent="0.3">
      <c r="B958" s="47" t="s">
        <v>1008</v>
      </c>
      <c r="C958" s="48" t="s">
        <v>21</v>
      </c>
      <c r="D958" s="48">
        <v>0</v>
      </c>
      <c r="E958" s="48">
        <v>0</v>
      </c>
      <c r="F958" s="48">
        <v>1</v>
      </c>
      <c r="G958" s="48">
        <v>1E+100</v>
      </c>
      <c r="H958" s="49">
        <v>1</v>
      </c>
    </row>
    <row r="959" spans="2:8" x14ac:dyDescent="0.3">
      <c r="B959" s="47" t="s">
        <v>1009</v>
      </c>
      <c r="C959" s="48" t="s">
        <v>21</v>
      </c>
      <c r="D959" s="48">
        <v>0</v>
      </c>
      <c r="E959" s="48">
        <v>0</v>
      </c>
      <c r="F959" s="48">
        <v>1</v>
      </c>
      <c r="G959" s="48">
        <v>1E+100</v>
      </c>
      <c r="H959" s="49">
        <v>1</v>
      </c>
    </row>
    <row r="960" spans="2:8" x14ac:dyDescent="0.3">
      <c r="B960" s="47" t="s">
        <v>1010</v>
      </c>
      <c r="C960" s="48" t="s">
        <v>910</v>
      </c>
      <c r="D960" s="48">
        <v>0</v>
      </c>
      <c r="E960" s="48">
        <v>0</v>
      </c>
      <c r="F960" s="48">
        <v>1</v>
      </c>
      <c r="G960" s="48">
        <v>1E+100</v>
      </c>
      <c r="H960" s="49">
        <v>1</v>
      </c>
    </row>
    <row r="961" spans="2:8" x14ac:dyDescent="0.3">
      <c r="B961" s="47" t="s">
        <v>1011</v>
      </c>
      <c r="C961" s="48" t="s">
        <v>655</v>
      </c>
      <c r="D961" s="48">
        <v>0</v>
      </c>
      <c r="E961" s="48">
        <v>0</v>
      </c>
      <c r="F961" s="48">
        <v>1</v>
      </c>
      <c r="G961" s="48">
        <v>1E+100</v>
      </c>
      <c r="H961" s="49">
        <v>1</v>
      </c>
    </row>
    <row r="962" spans="2:8" x14ac:dyDescent="0.3">
      <c r="B962" s="47" t="s">
        <v>1012</v>
      </c>
      <c r="C962" s="48" t="s">
        <v>21</v>
      </c>
      <c r="D962" s="48">
        <v>0</v>
      </c>
      <c r="E962" s="48">
        <v>0</v>
      </c>
      <c r="F962" s="48">
        <v>1</v>
      </c>
      <c r="G962" s="48">
        <v>1E+100</v>
      </c>
      <c r="H962" s="49">
        <v>1</v>
      </c>
    </row>
    <row r="963" spans="2:8" x14ac:dyDescent="0.3">
      <c r="B963" s="47" t="s">
        <v>1013</v>
      </c>
      <c r="C963" s="48" t="s">
        <v>21</v>
      </c>
      <c r="D963" s="48">
        <v>0</v>
      </c>
      <c r="E963" s="48">
        <v>0</v>
      </c>
      <c r="F963" s="48">
        <v>1</v>
      </c>
      <c r="G963" s="48">
        <v>1E+100</v>
      </c>
      <c r="H963" s="49">
        <v>1</v>
      </c>
    </row>
    <row r="964" spans="2:8" x14ac:dyDescent="0.3">
      <c r="B964" s="47" t="s">
        <v>1014</v>
      </c>
      <c r="C964" s="48" t="s">
        <v>21</v>
      </c>
      <c r="D964" s="48">
        <v>0</v>
      </c>
      <c r="E964" s="48">
        <v>0</v>
      </c>
      <c r="F964" s="48">
        <v>1</v>
      </c>
      <c r="G964" s="48">
        <v>1E+100</v>
      </c>
      <c r="H964" s="49">
        <v>1</v>
      </c>
    </row>
    <row r="965" spans="2:8" x14ac:dyDescent="0.3">
      <c r="B965" s="47" t="s">
        <v>1015</v>
      </c>
      <c r="C965" s="48" t="s">
        <v>910</v>
      </c>
      <c r="D965" s="48">
        <v>0</v>
      </c>
      <c r="E965" s="48">
        <v>0</v>
      </c>
      <c r="F965" s="48">
        <v>1</v>
      </c>
      <c r="G965" s="48">
        <v>1E+100</v>
      </c>
      <c r="H965" s="49">
        <v>1</v>
      </c>
    </row>
    <row r="966" spans="2:8" x14ac:dyDescent="0.3">
      <c r="B966" s="47" t="s">
        <v>1016</v>
      </c>
      <c r="C966" s="48" t="s">
        <v>655</v>
      </c>
      <c r="D966" s="48">
        <v>0</v>
      </c>
      <c r="E966" s="48">
        <v>0</v>
      </c>
      <c r="F966" s="48">
        <v>1</v>
      </c>
      <c r="G966" s="48">
        <v>1E+100</v>
      </c>
      <c r="H966" s="49">
        <v>1</v>
      </c>
    </row>
    <row r="967" spans="2:8" x14ac:dyDescent="0.3">
      <c r="B967" s="47" t="s">
        <v>1017</v>
      </c>
      <c r="C967" s="48" t="s">
        <v>21</v>
      </c>
      <c r="D967" s="48">
        <v>0</v>
      </c>
      <c r="E967" s="48">
        <v>0</v>
      </c>
      <c r="F967" s="48">
        <v>1</v>
      </c>
      <c r="G967" s="48">
        <v>1E+100</v>
      </c>
      <c r="H967" s="49">
        <v>1</v>
      </c>
    </row>
    <row r="968" spans="2:8" x14ac:dyDescent="0.3">
      <c r="B968" s="47" t="s">
        <v>1018</v>
      </c>
      <c r="C968" s="48" t="s">
        <v>21</v>
      </c>
      <c r="D968" s="48">
        <v>0</v>
      </c>
      <c r="E968" s="48">
        <v>0</v>
      </c>
      <c r="F968" s="48">
        <v>1</v>
      </c>
      <c r="G968" s="48">
        <v>1E+100</v>
      </c>
      <c r="H968" s="49">
        <v>1</v>
      </c>
    </row>
    <row r="969" spans="2:8" x14ac:dyDescent="0.3">
      <c r="B969" s="47" t="s">
        <v>1019</v>
      </c>
      <c r="C969" s="48" t="s">
        <v>21</v>
      </c>
      <c r="D969" s="48">
        <v>0</v>
      </c>
      <c r="E969" s="48">
        <v>0</v>
      </c>
      <c r="F969" s="48">
        <v>1</v>
      </c>
      <c r="G969" s="48">
        <v>1E+100</v>
      </c>
      <c r="H969" s="49">
        <v>1</v>
      </c>
    </row>
    <row r="970" spans="2:8" x14ac:dyDescent="0.3">
      <c r="B970" s="47" t="s">
        <v>1020</v>
      </c>
      <c r="C970" s="48" t="s">
        <v>910</v>
      </c>
      <c r="D970" s="48">
        <v>0</v>
      </c>
      <c r="E970" s="48">
        <v>0</v>
      </c>
      <c r="F970" s="48">
        <v>1</v>
      </c>
      <c r="G970" s="48">
        <v>1E+100</v>
      </c>
      <c r="H970" s="49">
        <v>1</v>
      </c>
    </row>
    <row r="971" spans="2:8" x14ac:dyDescent="0.3">
      <c r="B971" s="47" t="s">
        <v>1021</v>
      </c>
      <c r="C971" s="48" t="s">
        <v>655</v>
      </c>
      <c r="D971" s="48">
        <v>0</v>
      </c>
      <c r="E971" s="48">
        <v>0</v>
      </c>
      <c r="F971" s="48">
        <v>1</v>
      </c>
      <c r="G971" s="48">
        <v>1E+100</v>
      </c>
      <c r="H971" s="49">
        <v>1</v>
      </c>
    </row>
    <row r="972" spans="2:8" x14ac:dyDescent="0.3">
      <c r="B972" s="47" t="s">
        <v>1022</v>
      </c>
      <c r="C972" s="48" t="s">
        <v>21</v>
      </c>
      <c r="D972" s="48">
        <v>0</v>
      </c>
      <c r="E972" s="48">
        <v>0</v>
      </c>
      <c r="F972" s="48">
        <v>1</v>
      </c>
      <c r="G972" s="48">
        <v>1E+100</v>
      </c>
      <c r="H972" s="49">
        <v>1</v>
      </c>
    </row>
    <row r="973" spans="2:8" x14ac:dyDescent="0.3">
      <c r="B973" s="47" t="s">
        <v>1023</v>
      </c>
      <c r="C973" s="48" t="s">
        <v>21</v>
      </c>
      <c r="D973" s="48">
        <v>0</v>
      </c>
      <c r="E973" s="48">
        <v>0</v>
      </c>
      <c r="F973" s="48">
        <v>1</v>
      </c>
      <c r="G973" s="48">
        <v>1E+100</v>
      </c>
      <c r="H973" s="49">
        <v>1</v>
      </c>
    </row>
    <row r="974" spans="2:8" x14ac:dyDescent="0.3">
      <c r="B974" s="47" t="s">
        <v>1024</v>
      </c>
      <c r="C974" s="48" t="s">
        <v>21</v>
      </c>
      <c r="D974" s="48">
        <v>0</v>
      </c>
      <c r="E974" s="48">
        <v>0</v>
      </c>
      <c r="F974" s="48">
        <v>1</v>
      </c>
      <c r="G974" s="48">
        <v>1E+100</v>
      </c>
      <c r="H974" s="49">
        <v>1</v>
      </c>
    </row>
    <row r="975" spans="2:8" x14ac:dyDescent="0.3">
      <c r="B975" s="47" t="s">
        <v>1025</v>
      </c>
      <c r="C975" s="48" t="s">
        <v>910</v>
      </c>
      <c r="D975" s="48">
        <v>0</v>
      </c>
      <c r="E975" s="48">
        <v>0</v>
      </c>
      <c r="F975" s="48">
        <v>1</v>
      </c>
      <c r="G975" s="48">
        <v>1E+100</v>
      </c>
      <c r="H975" s="49">
        <v>1</v>
      </c>
    </row>
    <row r="976" spans="2:8" x14ac:dyDescent="0.3">
      <c r="B976" s="47" t="s">
        <v>1026</v>
      </c>
      <c r="C976" s="48" t="s">
        <v>655</v>
      </c>
      <c r="D976" s="48">
        <v>0</v>
      </c>
      <c r="E976" s="48">
        <v>0</v>
      </c>
      <c r="F976" s="48">
        <v>1</v>
      </c>
      <c r="G976" s="48">
        <v>1E+100</v>
      </c>
      <c r="H976" s="49">
        <v>1</v>
      </c>
    </row>
    <row r="977" spans="2:8" x14ac:dyDescent="0.3">
      <c r="B977" s="47" t="s">
        <v>1027</v>
      </c>
      <c r="C977" s="48" t="s">
        <v>21</v>
      </c>
      <c r="D977" s="48">
        <v>0</v>
      </c>
      <c r="E977" s="48">
        <v>0</v>
      </c>
      <c r="F977" s="48">
        <v>1</v>
      </c>
      <c r="G977" s="48">
        <v>1E+100</v>
      </c>
      <c r="H977" s="49">
        <v>1</v>
      </c>
    </row>
    <row r="978" spans="2:8" x14ac:dyDescent="0.3">
      <c r="B978" s="47" t="s">
        <v>1028</v>
      </c>
      <c r="C978" s="48" t="s">
        <v>21</v>
      </c>
      <c r="D978" s="48">
        <v>0</v>
      </c>
      <c r="E978" s="48">
        <v>0</v>
      </c>
      <c r="F978" s="48">
        <v>1</v>
      </c>
      <c r="G978" s="48">
        <v>1E+100</v>
      </c>
      <c r="H978" s="49">
        <v>1</v>
      </c>
    </row>
    <row r="979" spans="2:8" x14ac:dyDescent="0.3">
      <c r="B979" s="47" t="s">
        <v>1029</v>
      </c>
      <c r="C979" s="48" t="s">
        <v>21</v>
      </c>
      <c r="D979" s="48">
        <v>0</v>
      </c>
      <c r="E979" s="48">
        <v>0</v>
      </c>
      <c r="F979" s="48">
        <v>1</v>
      </c>
      <c r="G979" s="48">
        <v>1E+100</v>
      </c>
      <c r="H979" s="49">
        <v>1</v>
      </c>
    </row>
    <row r="980" spans="2:8" x14ac:dyDescent="0.3">
      <c r="B980" s="47" t="s">
        <v>1030</v>
      </c>
      <c r="C980" s="48" t="s">
        <v>910</v>
      </c>
      <c r="D980" s="48">
        <v>0</v>
      </c>
      <c r="E980" s="48">
        <v>0</v>
      </c>
      <c r="F980" s="48">
        <v>1</v>
      </c>
      <c r="G980" s="48">
        <v>1E+100</v>
      </c>
      <c r="H980" s="49">
        <v>1</v>
      </c>
    </row>
    <row r="981" spans="2:8" x14ac:dyDescent="0.3">
      <c r="B981" s="47" t="s">
        <v>1031</v>
      </c>
      <c r="C981" s="48" t="s">
        <v>655</v>
      </c>
      <c r="D981" s="48">
        <v>0</v>
      </c>
      <c r="E981" s="48">
        <v>0</v>
      </c>
      <c r="F981" s="48">
        <v>1</v>
      </c>
      <c r="G981" s="48">
        <v>1E+100</v>
      </c>
      <c r="H981" s="49">
        <v>1</v>
      </c>
    </row>
    <row r="982" spans="2:8" x14ac:dyDescent="0.3">
      <c r="B982" s="47" t="s">
        <v>1032</v>
      </c>
      <c r="C982" s="48" t="s">
        <v>21</v>
      </c>
      <c r="D982" s="48">
        <v>0</v>
      </c>
      <c r="E982" s="48">
        <v>0</v>
      </c>
      <c r="F982" s="48">
        <v>1</v>
      </c>
      <c r="G982" s="48">
        <v>1E+100</v>
      </c>
      <c r="H982" s="49">
        <v>1</v>
      </c>
    </row>
    <row r="983" spans="2:8" x14ac:dyDescent="0.3">
      <c r="B983" s="47" t="s">
        <v>1033</v>
      </c>
      <c r="C983" s="48" t="s">
        <v>21</v>
      </c>
      <c r="D983" s="48">
        <v>0</v>
      </c>
      <c r="E983" s="48">
        <v>0</v>
      </c>
      <c r="F983" s="48">
        <v>1</v>
      </c>
      <c r="G983" s="48">
        <v>1E+100</v>
      </c>
      <c r="H983" s="49">
        <v>1</v>
      </c>
    </row>
    <row r="984" spans="2:8" x14ac:dyDescent="0.3">
      <c r="B984" s="47" t="s">
        <v>1034</v>
      </c>
      <c r="C984" s="48" t="s">
        <v>21</v>
      </c>
      <c r="D984" s="48">
        <v>1</v>
      </c>
      <c r="E984" s="48">
        <v>0</v>
      </c>
      <c r="F984" s="48">
        <v>1</v>
      </c>
      <c r="G984" s="48">
        <v>1E+100</v>
      </c>
      <c r="H984" s="49">
        <v>0</v>
      </c>
    </row>
    <row r="985" spans="2:8" x14ac:dyDescent="0.3">
      <c r="B985" s="47" t="s">
        <v>1035</v>
      </c>
      <c r="C985" s="48" t="s">
        <v>1036</v>
      </c>
      <c r="D985" s="48">
        <v>0</v>
      </c>
      <c r="E985" s="48">
        <v>0</v>
      </c>
      <c r="F985" s="48">
        <v>1</v>
      </c>
      <c r="G985" s="48">
        <v>1E+100</v>
      </c>
      <c r="H985" s="49">
        <v>1</v>
      </c>
    </row>
    <row r="986" spans="2:8" x14ac:dyDescent="0.3">
      <c r="B986" s="47" t="s">
        <v>1037</v>
      </c>
      <c r="C986" s="48" t="s">
        <v>21</v>
      </c>
      <c r="D986" s="48">
        <v>0</v>
      </c>
      <c r="E986" s="48">
        <v>0</v>
      </c>
      <c r="F986" s="48">
        <v>1</v>
      </c>
      <c r="G986" s="48">
        <v>1E+100</v>
      </c>
      <c r="H986" s="49">
        <v>1</v>
      </c>
    </row>
    <row r="987" spans="2:8" x14ac:dyDescent="0.3">
      <c r="B987" s="47" t="s">
        <v>1038</v>
      </c>
      <c r="C987" s="48" t="s">
        <v>21</v>
      </c>
      <c r="D987" s="48">
        <v>0</v>
      </c>
      <c r="E987" s="48">
        <v>0</v>
      </c>
      <c r="F987" s="48">
        <v>1</v>
      </c>
      <c r="G987" s="48">
        <v>1E+100</v>
      </c>
      <c r="H987" s="49">
        <v>1</v>
      </c>
    </row>
    <row r="988" spans="2:8" x14ac:dyDescent="0.3">
      <c r="B988" s="47" t="s">
        <v>1039</v>
      </c>
      <c r="C988" s="48" t="s">
        <v>21</v>
      </c>
      <c r="D988" s="48">
        <v>0</v>
      </c>
      <c r="E988" s="48">
        <v>0</v>
      </c>
      <c r="F988" s="48">
        <v>1</v>
      </c>
      <c r="G988" s="48">
        <v>1E+100</v>
      </c>
      <c r="H988" s="49">
        <v>1</v>
      </c>
    </row>
    <row r="989" spans="2:8" x14ac:dyDescent="0.3">
      <c r="B989" s="47" t="s">
        <v>1040</v>
      </c>
      <c r="C989" s="48" t="s">
        <v>21</v>
      </c>
      <c r="D989" s="48">
        <v>1</v>
      </c>
      <c r="E989" s="48">
        <v>0</v>
      </c>
      <c r="F989" s="48">
        <v>1</v>
      </c>
      <c r="G989" s="48">
        <v>1E+100</v>
      </c>
      <c r="H989" s="49">
        <v>0</v>
      </c>
    </row>
    <row r="990" spans="2:8" x14ac:dyDescent="0.3">
      <c r="B990" s="47" t="s">
        <v>1041</v>
      </c>
      <c r="C990" s="48" t="s">
        <v>1036</v>
      </c>
      <c r="D990" s="48">
        <v>0</v>
      </c>
      <c r="E990" s="48">
        <v>0</v>
      </c>
      <c r="F990" s="48">
        <v>1</v>
      </c>
      <c r="G990" s="48">
        <v>1E+100</v>
      </c>
      <c r="H990" s="49">
        <v>1</v>
      </c>
    </row>
    <row r="991" spans="2:8" x14ac:dyDescent="0.3">
      <c r="B991" s="47" t="s">
        <v>1042</v>
      </c>
      <c r="C991" s="48" t="s">
        <v>21</v>
      </c>
      <c r="D991" s="48">
        <v>0</v>
      </c>
      <c r="E991" s="48">
        <v>0</v>
      </c>
      <c r="F991" s="48">
        <v>1</v>
      </c>
      <c r="G991" s="48">
        <v>1E+100</v>
      </c>
      <c r="H991" s="49">
        <v>1</v>
      </c>
    </row>
    <row r="992" spans="2:8" x14ac:dyDescent="0.3">
      <c r="B992" s="47" t="s">
        <v>1043</v>
      </c>
      <c r="C992" s="48" t="s">
        <v>21</v>
      </c>
      <c r="D992" s="48">
        <v>0</v>
      </c>
      <c r="E992" s="48">
        <v>0</v>
      </c>
      <c r="F992" s="48">
        <v>1</v>
      </c>
      <c r="G992" s="48">
        <v>1E+100</v>
      </c>
      <c r="H992" s="49">
        <v>1</v>
      </c>
    </row>
    <row r="993" spans="2:8" x14ac:dyDescent="0.3">
      <c r="B993" s="47" t="s">
        <v>1044</v>
      </c>
      <c r="C993" s="48" t="s">
        <v>21</v>
      </c>
      <c r="D993" s="48">
        <v>0</v>
      </c>
      <c r="E993" s="48">
        <v>0</v>
      </c>
      <c r="F993" s="48">
        <v>1</v>
      </c>
      <c r="G993" s="48">
        <v>1E+100</v>
      </c>
      <c r="H993" s="49">
        <v>1</v>
      </c>
    </row>
    <row r="994" spans="2:8" x14ac:dyDescent="0.3">
      <c r="B994" s="47" t="s">
        <v>1045</v>
      </c>
      <c r="C994" s="48" t="s">
        <v>21</v>
      </c>
      <c r="D994" s="48">
        <v>0</v>
      </c>
      <c r="E994" s="48">
        <v>0</v>
      </c>
      <c r="F994" s="48">
        <v>1</v>
      </c>
      <c r="G994" s="48">
        <v>1E+100</v>
      </c>
      <c r="H994" s="49">
        <v>1</v>
      </c>
    </row>
    <row r="995" spans="2:8" x14ac:dyDescent="0.3">
      <c r="B995" s="47" t="s">
        <v>1046</v>
      </c>
      <c r="C995" s="48" t="s">
        <v>1036</v>
      </c>
      <c r="D995" s="48">
        <v>1</v>
      </c>
      <c r="E995" s="48">
        <v>0</v>
      </c>
      <c r="F995" s="48">
        <v>1</v>
      </c>
      <c r="G995" s="48">
        <v>1E+100</v>
      </c>
      <c r="H995" s="49">
        <v>0</v>
      </c>
    </row>
    <row r="996" spans="2:8" x14ac:dyDescent="0.3">
      <c r="B996" s="47" t="s">
        <v>1047</v>
      </c>
      <c r="C996" s="48" t="s">
        <v>21</v>
      </c>
      <c r="D996" s="48">
        <v>0</v>
      </c>
      <c r="E996" s="48">
        <v>0</v>
      </c>
      <c r="F996" s="48">
        <v>1</v>
      </c>
      <c r="G996" s="48">
        <v>1E+100</v>
      </c>
      <c r="H996" s="49">
        <v>1</v>
      </c>
    </row>
    <row r="997" spans="2:8" x14ac:dyDescent="0.3">
      <c r="B997" s="47" t="s">
        <v>1048</v>
      </c>
      <c r="C997" s="48" t="s">
        <v>21</v>
      </c>
      <c r="D997" s="48">
        <v>0</v>
      </c>
      <c r="E997" s="48">
        <v>0</v>
      </c>
      <c r="F997" s="48">
        <v>1</v>
      </c>
      <c r="G997" s="48">
        <v>1E+100</v>
      </c>
      <c r="H997" s="49">
        <v>1</v>
      </c>
    </row>
    <row r="998" spans="2:8" x14ac:dyDescent="0.3">
      <c r="B998" s="47" t="s">
        <v>1049</v>
      </c>
      <c r="C998" s="48" t="s">
        <v>21</v>
      </c>
      <c r="D998" s="48">
        <v>0</v>
      </c>
      <c r="E998" s="48">
        <v>0</v>
      </c>
      <c r="F998" s="48">
        <v>1</v>
      </c>
      <c r="G998" s="48">
        <v>1E+100</v>
      </c>
      <c r="H998" s="49">
        <v>1</v>
      </c>
    </row>
    <row r="999" spans="2:8" x14ac:dyDescent="0.3">
      <c r="B999" s="47" t="s">
        <v>1050</v>
      </c>
      <c r="C999" s="48" t="s">
        <v>21</v>
      </c>
      <c r="D999" s="48">
        <v>0</v>
      </c>
      <c r="E999" s="48">
        <v>0</v>
      </c>
      <c r="F999" s="48">
        <v>1</v>
      </c>
      <c r="G999" s="48">
        <v>1E+100</v>
      </c>
      <c r="H999" s="49">
        <v>1</v>
      </c>
    </row>
    <row r="1000" spans="2:8" x14ac:dyDescent="0.3">
      <c r="B1000" s="47" t="s">
        <v>1051</v>
      </c>
      <c r="C1000" s="48" t="s">
        <v>1036</v>
      </c>
      <c r="D1000" s="48">
        <v>0</v>
      </c>
      <c r="E1000" s="48">
        <v>0</v>
      </c>
      <c r="F1000" s="48">
        <v>1</v>
      </c>
      <c r="G1000" s="48">
        <v>1E+100</v>
      </c>
      <c r="H1000" s="49">
        <v>1</v>
      </c>
    </row>
    <row r="1001" spans="2:8" x14ac:dyDescent="0.3">
      <c r="B1001" s="47" t="s">
        <v>1052</v>
      </c>
      <c r="C1001" s="48" t="s">
        <v>21</v>
      </c>
      <c r="D1001" s="48">
        <v>0</v>
      </c>
      <c r="E1001" s="48">
        <v>0</v>
      </c>
      <c r="F1001" s="48">
        <v>1</v>
      </c>
      <c r="G1001" s="48">
        <v>1E+100</v>
      </c>
      <c r="H1001" s="49">
        <v>1</v>
      </c>
    </row>
    <row r="1002" spans="2:8" x14ac:dyDescent="0.3">
      <c r="B1002" s="47" t="s">
        <v>1053</v>
      </c>
      <c r="C1002" s="48" t="s">
        <v>21</v>
      </c>
      <c r="D1002" s="48">
        <v>0</v>
      </c>
      <c r="E1002" s="48">
        <v>0</v>
      </c>
      <c r="F1002" s="48">
        <v>1</v>
      </c>
      <c r="G1002" s="48">
        <v>1E+100</v>
      </c>
      <c r="H1002" s="49">
        <v>1</v>
      </c>
    </row>
    <row r="1003" spans="2:8" x14ac:dyDescent="0.3">
      <c r="B1003" s="47" t="s">
        <v>1054</v>
      </c>
      <c r="C1003" s="48" t="s">
        <v>21</v>
      </c>
      <c r="D1003" s="48">
        <v>0</v>
      </c>
      <c r="E1003" s="48">
        <v>0</v>
      </c>
      <c r="F1003" s="48">
        <v>1</v>
      </c>
      <c r="G1003" s="48">
        <v>1E+100</v>
      </c>
      <c r="H1003" s="49">
        <v>1</v>
      </c>
    </row>
    <row r="1004" spans="2:8" x14ac:dyDescent="0.3">
      <c r="B1004" s="47" t="s">
        <v>1055</v>
      </c>
      <c r="C1004" s="48" t="s">
        <v>21</v>
      </c>
      <c r="D1004" s="48">
        <v>0</v>
      </c>
      <c r="E1004" s="48">
        <v>0</v>
      </c>
      <c r="F1004" s="48">
        <v>1</v>
      </c>
      <c r="G1004" s="48">
        <v>1E+100</v>
      </c>
      <c r="H1004" s="49">
        <v>1</v>
      </c>
    </row>
    <row r="1005" spans="2:8" x14ac:dyDescent="0.3">
      <c r="B1005" s="47" t="s">
        <v>1056</v>
      </c>
      <c r="C1005" s="48" t="s">
        <v>1036</v>
      </c>
      <c r="D1005" s="48">
        <v>9.1710274999999994E-2</v>
      </c>
      <c r="E1005" s="48">
        <v>0</v>
      </c>
      <c r="F1005" s="48">
        <v>1</v>
      </c>
      <c r="G1005" s="48">
        <v>1E+100</v>
      </c>
      <c r="H1005" s="49">
        <v>0.90828972490000004</v>
      </c>
    </row>
    <row r="1006" spans="2:8" x14ac:dyDescent="0.3">
      <c r="B1006" s="47" t="s">
        <v>1057</v>
      </c>
      <c r="C1006" s="48" t="s">
        <v>21</v>
      </c>
      <c r="D1006" s="48">
        <v>0.90828971999999997</v>
      </c>
      <c r="E1006" s="48">
        <v>0</v>
      </c>
      <c r="F1006" s="48">
        <v>1</v>
      </c>
      <c r="G1006" s="48">
        <v>1E+100</v>
      </c>
      <c r="H1006" s="49">
        <v>9.1710275120000004E-2</v>
      </c>
    </row>
    <row r="1007" spans="2:8" x14ac:dyDescent="0.3">
      <c r="B1007" s="47" t="s">
        <v>1058</v>
      </c>
      <c r="C1007" s="48" t="s">
        <v>21</v>
      </c>
      <c r="D1007" s="48">
        <v>0</v>
      </c>
      <c r="E1007" s="48">
        <v>0</v>
      </c>
      <c r="F1007" s="48">
        <v>1</v>
      </c>
      <c r="G1007" s="48">
        <v>1E+100</v>
      </c>
      <c r="H1007" s="49">
        <v>1</v>
      </c>
    </row>
    <row r="1008" spans="2:8" x14ac:dyDescent="0.3">
      <c r="B1008" s="47" t="s">
        <v>1059</v>
      </c>
      <c r="C1008" s="48" t="s">
        <v>21</v>
      </c>
      <c r="D1008" s="48">
        <v>0</v>
      </c>
      <c r="E1008" s="48">
        <v>0</v>
      </c>
      <c r="F1008" s="48">
        <v>1</v>
      </c>
      <c r="G1008" s="48">
        <v>1E+100</v>
      </c>
      <c r="H1008" s="49">
        <v>1</v>
      </c>
    </row>
    <row r="1009" spans="2:8" x14ac:dyDescent="0.3">
      <c r="B1009" s="47" t="s">
        <v>1060</v>
      </c>
      <c r="C1009" s="48" t="s">
        <v>21</v>
      </c>
      <c r="D1009" s="48">
        <v>0</v>
      </c>
      <c r="E1009" s="48">
        <v>0</v>
      </c>
      <c r="F1009" s="48">
        <v>1</v>
      </c>
      <c r="G1009" s="48">
        <v>1E+100</v>
      </c>
      <c r="H1009" s="49">
        <v>1</v>
      </c>
    </row>
    <row r="1010" spans="2:8" x14ac:dyDescent="0.3">
      <c r="B1010" s="47" t="s">
        <v>1061</v>
      </c>
      <c r="C1010" s="48" t="s">
        <v>1036</v>
      </c>
      <c r="D1010" s="48">
        <v>0</v>
      </c>
      <c r="E1010" s="48">
        <v>0</v>
      </c>
      <c r="F1010" s="48">
        <v>1</v>
      </c>
      <c r="G1010" s="48">
        <v>1E+100</v>
      </c>
      <c r="H1010" s="49">
        <v>1</v>
      </c>
    </row>
    <row r="1011" spans="2:8" x14ac:dyDescent="0.3">
      <c r="B1011" s="47" t="s">
        <v>1062</v>
      </c>
      <c r="C1011" s="48" t="s">
        <v>21</v>
      </c>
      <c r="D1011" s="48">
        <v>0</v>
      </c>
      <c r="E1011" s="48">
        <v>0</v>
      </c>
      <c r="F1011" s="48">
        <v>1</v>
      </c>
      <c r="G1011" s="48">
        <v>1E+100</v>
      </c>
      <c r="H1011" s="49">
        <v>1</v>
      </c>
    </row>
    <row r="1012" spans="2:8" x14ac:dyDescent="0.3">
      <c r="B1012" s="47" t="s">
        <v>1063</v>
      </c>
      <c r="C1012" s="48" t="s">
        <v>21</v>
      </c>
      <c r="D1012" s="48">
        <v>0</v>
      </c>
      <c r="E1012" s="48">
        <v>0</v>
      </c>
      <c r="F1012" s="48">
        <v>1</v>
      </c>
      <c r="G1012" s="48">
        <v>1E+100</v>
      </c>
      <c r="H1012" s="49">
        <v>1</v>
      </c>
    </row>
    <row r="1013" spans="2:8" x14ac:dyDescent="0.3">
      <c r="B1013" s="47" t="s">
        <v>1064</v>
      </c>
      <c r="C1013" s="48" t="s">
        <v>21</v>
      </c>
      <c r="D1013" s="48">
        <v>0</v>
      </c>
      <c r="E1013" s="48">
        <v>0</v>
      </c>
      <c r="F1013" s="48">
        <v>1</v>
      </c>
      <c r="G1013" s="48">
        <v>1E+100</v>
      </c>
      <c r="H1013" s="49">
        <v>1</v>
      </c>
    </row>
    <row r="1014" spans="2:8" x14ac:dyDescent="0.3">
      <c r="B1014" s="47" t="s">
        <v>1065</v>
      </c>
      <c r="C1014" s="48" t="s">
        <v>21</v>
      </c>
      <c r="D1014" s="48">
        <v>0</v>
      </c>
      <c r="E1014" s="48">
        <v>0</v>
      </c>
      <c r="F1014" s="48">
        <v>1</v>
      </c>
      <c r="G1014" s="48">
        <v>1E+100</v>
      </c>
      <c r="H1014" s="49">
        <v>1</v>
      </c>
    </row>
    <row r="1015" spans="2:8" x14ac:dyDescent="0.3">
      <c r="B1015" s="47" t="s">
        <v>1066</v>
      </c>
      <c r="C1015" s="48" t="s">
        <v>1036</v>
      </c>
      <c r="D1015" s="48">
        <v>0</v>
      </c>
      <c r="E1015" s="48">
        <v>0</v>
      </c>
      <c r="F1015" s="48">
        <v>1</v>
      </c>
      <c r="G1015" s="48">
        <v>1E+100</v>
      </c>
      <c r="H1015" s="49">
        <v>1</v>
      </c>
    </row>
    <row r="1016" spans="2:8" x14ac:dyDescent="0.3">
      <c r="B1016" s="47" t="s">
        <v>1067</v>
      </c>
      <c r="C1016" s="48" t="s">
        <v>21</v>
      </c>
      <c r="D1016" s="48">
        <v>0</v>
      </c>
      <c r="E1016" s="48">
        <v>0</v>
      </c>
      <c r="F1016" s="48">
        <v>1</v>
      </c>
      <c r="G1016" s="48">
        <v>1E+100</v>
      </c>
      <c r="H1016" s="49">
        <v>1</v>
      </c>
    </row>
    <row r="1017" spans="2:8" x14ac:dyDescent="0.3">
      <c r="B1017" s="47" t="s">
        <v>1068</v>
      </c>
      <c r="C1017" s="48" t="s">
        <v>21</v>
      </c>
      <c r="D1017" s="48">
        <v>0</v>
      </c>
      <c r="E1017" s="48">
        <v>0</v>
      </c>
      <c r="F1017" s="48">
        <v>1</v>
      </c>
      <c r="G1017" s="48">
        <v>1E+100</v>
      </c>
      <c r="H1017" s="49">
        <v>1</v>
      </c>
    </row>
    <row r="1018" spans="2:8" x14ac:dyDescent="0.3">
      <c r="B1018" s="47" t="s">
        <v>1069</v>
      </c>
      <c r="C1018" s="48" t="s">
        <v>21</v>
      </c>
      <c r="D1018" s="48">
        <v>0</v>
      </c>
      <c r="E1018" s="48">
        <v>0</v>
      </c>
      <c r="F1018" s="48">
        <v>1</v>
      </c>
      <c r="G1018" s="48">
        <v>1E+100</v>
      </c>
      <c r="H1018" s="49">
        <v>1</v>
      </c>
    </row>
    <row r="1019" spans="2:8" x14ac:dyDescent="0.3">
      <c r="B1019" s="47" t="s">
        <v>1070</v>
      </c>
      <c r="C1019" s="48" t="s">
        <v>21</v>
      </c>
      <c r="D1019" s="48">
        <v>0</v>
      </c>
      <c r="E1019" s="48">
        <v>0</v>
      </c>
      <c r="F1019" s="48">
        <v>1</v>
      </c>
      <c r="G1019" s="48">
        <v>1E+100</v>
      </c>
      <c r="H1019" s="49">
        <v>1</v>
      </c>
    </row>
    <row r="1020" spans="2:8" x14ac:dyDescent="0.3">
      <c r="B1020" s="47" t="s">
        <v>1071</v>
      </c>
      <c r="C1020" s="48" t="s">
        <v>1036</v>
      </c>
      <c r="D1020" s="48">
        <v>0</v>
      </c>
      <c r="E1020" s="48">
        <v>0</v>
      </c>
      <c r="F1020" s="48">
        <v>1</v>
      </c>
      <c r="G1020" s="48">
        <v>1E+100</v>
      </c>
      <c r="H1020" s="49">
        <v>1</v>
      </c>
    </row>
    <row r="1021" spans="2:8" x14ac:dyDescent="0.3">
      <c r="B1021" s="47" t="s">
        <v>1072</v>
      </c>
      <c r="C1021" s="48" t="s">
        <v>21</v>
      </c>
      <c r="D1021" s="48">
        <v>0</v>
      </c>
      <c r="E1021" s="48">
        <v>0</v>
      </c>
      <c r="F1021" s="48">
        <v>1</v>
      </c>
      <c r="G1021" s="48">
        <v>1E+100</v>
      </c>
      <c r="H1021" s="49">
        <v>1</v>
      </c>
    </row>
    <row r="1022" spans="2:8" x14ac:dyDescent="0.3">
      <c r="B1022" s="47" t="s">
        <v>1073</v>
      </c>
      <c r="C1022" s="48" t="s">
        <v>21</v>
      </c>
      <c r="D1022" s="48">
        <v>0</v>
      </c>
      <c r="E1022" s="48">
        <v>0</v>
      </c>
      <c r="F1022" s="48">
        <v>1</v>
      </c>
      <c r="G1022" s="48">
        <v>1E+100</v>
      </c>
      <c r="H1022" s="49">
        <v>1</v>
      </c>
    </row>
    <row r="1023" spans="2:8" x14ac:dyDescent="0.3">
      <c r="B1023" s="47" t="s">
        <v>1074</v>
      </c>
      <c r="C1023" s="48" t="s">
        <v>21</v>
      </c>
      <c r="D1023" s="48">
        <v>1</v>
      </c>
      <c r="E1023" s="48">
        <v>0</v>
      </c>
      <c r="F1023" s="48">
        <v>1</v>
      </c>
      <c r="G1023" s="48">
        <v>1E+100</v>
      </c>
      <c r="H1023" s="49">
        <v>0</v>
      </c>
    </row>
    <row r="1024" spans="2:8" x14ac:dyDescent="0.3">
      <c r="B1024" s="47" t="s">
        <v>1075</v>
      </c>
      <c r="C1024" s="48" t="s">
        <v>21</v>
      </c>
      <c r="D1024" s="48">
        <v>0</v>
      </c>
      <c r="E1024" s="48">
        <v>0</v>
      </c>
      <c r="F1024" s="48">
        <v>1</v>
      </c>
      <c r="G1024" s="48">
        <v>1E+100</v>
      </c>
      <c r="H1024" s="49">
        <v>1</v>
      </c>
    </row>
    <row r="1025" spans="2:8" x14ac:dyDescent="0.3">
      <c r="B1025" s="47" t="s">
        <v>1076</v>
      </c>
      <c r="C1025" s="48" t="s">
        <v>1036</v>
      </c>
      <c r="D1025" s="48">
        <v>0</v>
      </c>
      <c r="E1025" s="48">
        <v>0</v>
      </c>
      <c r="F1025" s="48">
        <v>1</v>
      </c>
      <c r="G1025" s="48">
        <v>1E+100</v>
      </c>
      <c r="H1025" s="49">
        <v>1</v>
      </c>
    </row>
    <row r="1026" spans="2:8" x14ac:dyDescent="0.3">
      <c r="B1026" s="47" t="s">
        <v>1077</v>
      </c>
      <c r="C1026" s="48" t="s">
        <v>21</v>
      </c>
      <c r="D1026" s="48">
        <v>0</v>
      </c>
      <c r="E1026" s="48">
        <v>0</v>
      </c>
      <c r="F1026" s="48">
        <v>1</v>
      </c>
      <c r="G1026" s="48">
        <v>1E+100</v>
      </c>
      <c r="H1026" s="49">
        <v>1</v>
      </c>
    </row>
    <row r="1027" spans="2:8" x14ac:dyDescent="0.3">
      <c r="B1027" s="47" t="s">
        <v>1078</v>
      </c>
      <c r="C1027" s="48" t="s">
        <v>21</v>
      </c>
      <c r="D1027" s="48">
        <v>1</v>
      </c>
      <c r="E1027" s="48">
        <v>0</v>
      </c>
      <c r="F1027" s="48">
        <v>1</v>
      </c>
      <c r="G1027" s="48">
        <v>1E+100</v>
      </c>
      <c r="H1027" s="49">
        <v>0</v>
      </c>
    </row>
    <row r="1028" spans="2:8" x14ac:dyDescent="0.3">
      <c r="B1028" s="47" t="s">
        <v>1079</v>
      </c>
      <c r="C1028" s="48" t="s">
        <v>21</v>
      </c>
      <c r="D1028" s="48">
        <v>0</v>
      </c>
      <c r="E1028" s="48">
        <v>0</v>
      </c>
      <c r="F1028" s="48">
        <v>1</v>
      </c>
      <c r="G1028" s="48">
        <v>1E+100</v>
      </c>
      <c r="H1028" s="49">
        <v>1</v>
      </c>
    </row>
    <row r="1029" spans="2:8" x14ac:dyDescent="0.3">
      <c r="B1029" s="47" t="s">
        <v>1080</v>
      </c>
      <c r="C1029" s="48" t="s">
        <v>21</v>
      </c>
      <c r="D1029" s="48">
        <v>0</v>
      </c>
      <c r="E1029" s="48">
        <v>0</v>
      </c>
      <c r="F1029" s="48">
        <v>1</v>
      </c>
      <c r="G1029" s="48">
        <v>1E+100</v>
      </c>
      <c r="H1029" s="49">
        <v>1</v>
      </c>
    </row>
    <row r="1030" spans="2:8" x14ac:dyDescent="0.3">
      <c r="B1030" s="47" t="s">
        <v>1081</v>
      </c>
      <c r="C1030" s="48" t="s">
        <v>1036</v>
      </c>
      <c r="D1030" s="48">
        <v>0</v>
      </c>
      <c r="E1030" s="48">
        <v>0</v>
      </c>
      <c r="F1030" s="48">
        <v>1</v>
      </c>
      <c r="G1030" s="48">
        <v>1E+100</v>
      </c>
      <c r="H1030" s="49">
        <v>1</v>
      </c>
    </row>
    <row r="1031" spans="2:8" x14ac:dyDescent="0.3">
      <c r="B1031" s="47" t="s">
        <v>1082</v>
      </c>
      <c r="C1031" s="48" t="s">
        <v>21</v>
      </c>
      <c r="D1031" s="48">
        <v>0</v>
      </c>
      <c r="E1031" s="48">
        <v>0</v>
      </c>
      <c r="F1031" s="48">
        <v>1</v>
      </c>
      <c r="G1031" s="48">
        <v>1E+100</v>
      </c>
      <c r="H1031" s="49">
        <v>1</v>
      </c>
    </row>
    <row r="1032" spans="2:8" x14ac:dyDescent="0.3">
      <c r="B1032" s="47" t="s">
        <v>1083</v>
      </c>
      <c r="C1032" s="48" t="s">
        <v>21</v>
      </c>
      <c r="D1032" s="48">
        <v>1</v>
      </c>
      <c r="E1032" s="48">
        <v>0</v>
      </c>
      <c r="F1032" s="48">
        <v>1</v>
      </c>
      <c r="G1032" s="48">
        <v>1E+100</v>
      </c>
      <c r="H1032" s="49">
        <v>0</v>
      </c>
    </row>
    <row r="1033" spans="2:8" x14ac:dyDescent="0.3">
      <c r="B1033" s="47" t="s">
        <v>1084</v>
      </c>
      <c r="C1033" s="48" t="s">
        <v>21</v>
      </c>
      <c r="D1033" s="48">
        <v>0</v>
      </c>
      <c r="E1033" s="48">
        <v>0</v>
      </c>
      <c r="F1033" s="48">
        <v>1</v>
      </c>
      <c r="G1033" s="48">
        <v>1E+100</v>
      </c>
      <c r="H1033" s="49">
        <v>1</v>
      </c>
    </row>
    <row r="1034" spans="2:8" x14ac:dyDescent="0.3">
      <c r="B1034" s="47" t="s">
        <v>1085</v>
      </c>
      <c r="C1034" s="48" t="s">
        <v>21</v>
      </c>
      <c r="D1034" s="48">
        <v>0</v>
      </c>
      <c r="E1034" s="48">
        <v>0</v>
      </c>
      <c r="F1034" s="48">
        <v>1</v>
      </c>
      <c r="G1034" s="48">
        <v>1E+100</v>
      </c>
      <c r="H1034" s="49">
        <v>1</v>
      </c>
    </row>
    <row r="1035" spans="2:8" x14ac:dyDescent="0.3">
      <c r="B1035" s="47" t="s">
        <v>1086</v>
      </c>
      <c r="C1035" s="48" t="s">
        <v>1036</v>
      </c>
      <c r="D1035" s="48">
        <v>0</v>
      </c>
      <c r="E1035" s="48">
        <v>0</v>
      </c>
      <c r="F1035" s="48">
        <v>1</v>
      </c>
      <c r="G1035" s="48">
        <v>1E+100</v>
      </c>
      <c r="H1035" s="49">
        <v>1</v>
      </c>
    </row>
    <row r="1036" spans="2:8" x14ac:dyDescent="0.3">
      <c r="B1036" s="47" t="s">
        <v>1087</v>
      </c>
      <c r="C1036" s="48" t="s">
        <v>21</v>
      </c>
      <c r="D1036" s="48">
        <v>0</v>
      </c>
      <c r="E1036" s="48">
        <v>0</v>
      </c>
      <c r="F1036" s="48">
        <v>1</v>
      </c>
      <c r="G1036" s="48">
        <v>1E+100</v>
      </c>
      <c r="H1036" s="49">
        <v>1</v>
      </c>
    </row>
    <row r="1037" spans="2:8" x14ac:dyDescent="0.3">
      <c r="B1037" s="47" t="s">
        <v>1088</v>
      </c>
      <c r="C1037" s="48" t="s">
        <v>21</v>
      </c>
      <c r="D1037" s="48">
        <v>0</v>
      </c>
      <c r="E1037" s="48">
        <v>0</v>
      </c>
      <c r="F1037" s="48">
        <v>1</v>
      </c>
      <c r="G1037" s="48">
        <v>1E+100</v>
      </c>
      <c r="H1037" s="49">
        <v>1</v>
      </c>
    </row>
    <row r="1038" spans="2:8" x14ac:dyDescent="0.3">
      <c r="B1038" s="47" t="s">
        <v>1089</v>
      </c>
      <c r="C1038" s="48" t="s">
        <v>21</v>
      </c>
      <c r="D1038" s="48">
        <v>0</v>
      </c>
      <c r="E1038" s="48">
        <v>0</v>
      </c>
      <c r="F1038" s="48">
        <v>1</v>
      </c>
      <c r="G1038" s="48">
        <v>1E+100</v>
      </c>
      <c r="H1038" s="49">
        <v>1</v>
      </c>
    </row>
    <row r="1039" spans="2:8" x14ac:dyDescent="0.3">
      <c r="B1039" s="47" t="s">
        <v>1090</v>
      </c>
      <c r="C1039" s="48" t="s">
        <v>21</v>
      </c>
      <c r="D1039" s="48">
        <v>0</v>
      </c>
      <c r="E1039" s="48">
        <v>0</v>
      </c>
      <c r="F1039" s="48">
        <v>1</v>
      </c>
      <c r="G1039" s="48">
        <v>1E+100</v>
      </c>
      <c r="H1039" s="49">
        <v>1</v>
      </c>
    </row>
    <row r="1040" spans="2:8" x14ac:dyDescent="0.3">
      <c r="B1040" s="47" t="s">
        <v>1091</v>
      </c>
      <c r="C1040" s="48" t="s">
        <v>1036</v>
      </c>
      <c r="D1040" s="48">
        <v>1</v>
      </c>
      <c r="E1040" s="48">
        <v>0</v>
      </c>
      <c r="F1040" s="48">
        <v>1</v>
      </c>
      <c r="G1040" s="48">
        <v>1E+100</v>
      </c>
      <c r="H1040" s="49">
        <v>0</v>
      </c>
    </row>
    <row r="1041" spans="2:8" x14ac:dyDescent="0.3">
      <c r="B1041" s="47" t="s">
        <v>1092</v>
      </c>
      <c r="C1041" s="48" t="s">
        <v>21</v>
      </c>
      <c r="D1041" s="48">
        <v>0</v>
      </c>
      <c r="E1041" s="48">
        <v>0</v>
      </c>
      <c r="F1041" s="48">
        <v>1</v>
      </c>
      <c r="G1041" s="48">
        <v>1E+100</v>
      </c>
      <c r="H1041" s="49">
        <v>1</v>
      </c>
    </row>
    <row r="1042" spans="2:8" x14ac:dyDescent="0.3">
      <c r="B1042" s="47" t="s">
        <v>1093</v>
      </c>
      <c r="C1042" s="48" t="s">
        <v>21</v>
      </c>
      <c r="D1042" s="48">
        <v>0</v>
      </c>
      <c r="E1042" s="48">
        <v>0</v>
      </c>
      <c r="F1042" s="48">
        <v>1</v>
      </c>
      <c r="G1042" s="48">
        <v>1E+100</v>
      </c>
      <c r="H1042" s="49">
        <v>1</v>
      </c>
    </row>
    <row r="1043" spans="2:8" x14ac:dyDescent="0.3">
      <c r="B1043" s="47" t="s">
        <v>1094</v>
      </c>
      <c r="C1043" s="48" t="s">
        <v>21</v>
      </c>
      <c r="D1043" s="48">
        <v>0</v>
      </c>
      <c r="E1043" s="48">
        <v>0</v>
      </c>
      <c r="F1043" s="48">
        <v>1</v>
      </c>
      <c r="G1043" s="48">
        <v>1E+100</v>
      </c>
      <c r="H1043" s="49">
        <v>1</v>
      </c>
    </row>
    <row r="1044" spans="2:8" x14ac:dyDescent="0.3">
      <c r="B1044" s="47" t="s">
        <v>1095</v>
      </c>
      <c r="C1044" s="48" t="s">
        <v>21</v>
      </c>
      <c r="D1044" s="48">
        <v>0</v>
      </c>
      <c r="E1044" s="48">
        <v>0</v>
      </c>
      <c r="F1044" s="48">
        <v>1</v>
      </c>
      <c r="G1044" s="48">
        <v>1E+100</v>
      </c>
      <c r="H1044" s="49">
        <v>1</v>
      </c>
    </row>
    <row r="1045" spans="2:8" x14ac:dyDescent="0.3">
      <c r="B1045" s="47" t="s">
        <v>1096</v>
      </c>
      <c r="C1045" s="48" t="s">
        <v>1036</v>
      </c>
      <c r="D1045" s="48">
        <v>0</v>
      </c>
      <c r="E1045" s="48">
        <v>0</v>
      </c>
      <c r="F1045" s="48">
        <v>1</v>
      </c>
      <c r="G1045" s="48">
        <v>1E+100</v>
      </c>
      <c r="H1045" s="49">
        <v>1</v>
      </c>
    </row>
    <row r="1046" spans="2:8" x14ac:dyDescent="0.3">
      <c r="B1046" s="47" t="s">
        <v>1097</v>
      </c>
      <c r="C1046" s="48" t="s">
        <v>21</v>
      </c>
      <c r="D1046" s="48">
        <v>0</v>
      </c>
      <c r="E1046" s="48">
        <v>0</v>
      </c>
      <c r="F1046" s="48">
        <v>1</v>
      </c>
      <c r="G1046" s="48">
        <v>1E+100</v>
      </c>
      <c r="H1046" s="49">
        <v>1</v>
      </c>
    </row>
    <row r="1047" spans="2:8" x14ac:dyDescent="0.3">
      <c r="B1047" s="47" t="s">
        <v>1098</v>
      </c>
      <c r="C1047" s="48" t="s">
        <v>21</v>
      </c>
      <c r="D1047" s="48">
        <v>0</v>
      </c>
      <c r="E1047" s="48">
        <v>0</v>
      </c>
      <c r="F1047" s="48">
        <v>1</v>
      </c>
      <c r="G1047" s="48">
        <v>1E+100</v>
      </c>
      <c r="H1047" s="49">
        <v>1</v>
      </c>
    </row>
    <row r="1048" spans="2:8" x14ac:dyDescent="0.3">
      <c r="B1048" s="47" t="s">
        <v>1099</v>
      </c>
      <c r="C1048" s="48" t="s">
        <v>21</v>
      </c>
      <c r="D1048" s="48">
        <v>0</v>
      </c>
      <c r="E1048" s="48">
        <v>0</v>
      </c>
      <c r="F1048" s="48">
        <v>1</v>
      </c>
      <c r="G1048" s="48">
        <v>1E+100</v>
      </c>
      <c r="H1048" s="49">
        <v>1</v>
      </c>
    </row>
    <row r="1049" spans="2:8" x14ac:dyDescent="0.3">
      <c r="B1049" s="47" t="s">
        <v>1100</v>
      </c>
      <c r="C1049" s="48" t="s">
        <v>21</v>
      </c>
      <c r="D1049" s="48">
        <v>0</v>
      </c>
      <c r="E1049" s="48">
        <v>0</v>
      </c>
      <c r="F1049" s="48">
        <v>1</v>
      </c>
      <c r="G1049" s="48">
        <v>1E+100</v>
      </c>
      <c r="H1049" s="49">
        <v>1</v>
      </c>
    </row>
    <row r="1050" spans="2:8" x14ac:dyDescent="0.3">
      <c r="B1050" s="47" t="s">
        <v>1101</v>
      </c>
      <c r="C1050" s="48" t="s">
        <v>1036</v>
      </c>
      <c r="D1050" s="48">
        <v>0</v>
      </c>
      <c r="E1050" s="48">
        <v>0</v>
      </c>
      <c r="F1050" s="48">
        <v>1</v>
      </c>
      <c r="G1050" s="48">
        <v>1E+100</v>
      </c>
      <c r="H1050" s="49">
        <v>1</v>
      </c>
    </row>
    <row r="1051" spans="2:8" x14ac:dyDescent="0.3">
      <c r="B1051" s="47" t="s">
        <v>1102</v>
      </c>
      <c r="C1051" s="48" t="s">
        <v>21</v>
      </c>
      <c r="D1051" s="48">
        <v>1</v>
      </c>
      <c r="E1051" s="48">
        <v>0</v>
      </c>
      <c r="F1051" s="48">
        <v>1</v>
      </c>
      <c r="G1051" s="48">
        <v>1E+100</v>
      </c>
      <c r="H1051" s="49">
        <v>0</v>
      </c>
    </row>
    <row r="1052" spans="2:8" x14ac:dyDescent="0.3">
      <c r="B1052" s="47" t="s">
        <v>1103</v>
      </c>
      <c r="C1052" s="48" t="s">
        <v>21</v>
      </c>
      <c r="D1052" s="48">
        <v>0</v>
      </c>
      <c r="E1052" s="48">
        <v>0</v>
      </c>
      <c r="F1052" s="48">
        <v>1</v>
      </c>
      <c r="G1052" s="48">
        <v>1E+100</v>
      </c>
      <c r="H1052" s="49">
        <v>1</v>
      </c>
    </row>
    <row r="1053" spans="2:8" x14ac:dyDescent="0.3">
      <c r="B1053" s="47" t="s">
        <v>1104</v>
      </c>
      <c r="C1053" s="48" t="s">
        <v>21</v>
      </c>
      <c r="D1053" s="48">
        <v>0</v>
      </c>
      <c r="E1053" s="48">
        <v>0</v>
      </c>
      <c r="F1053" s="48">
        <v>1</v>
      </c>
      <c r="G1053" s="48">
        <v>1E+100</v>
      </c>
      <c r="H1053" s="49">
        <v>1</v>
      </c>
    </row>
    <row r="1054" spans="2:8" x14ac:dyDescent="0.3">
      <c r="B1054" s="47" t="s">
        <v>1105</v>
      </c>
      <c r="C1054" s="48" t="s">
        <v>21</v>
      </c>
      <c r="D1054" s="48">
        <v>0</v>
      </c>
      <c r="E1054" s="48">
        <v>0</v>
      </c>
      <c r="F1054" s="48">
        <v>1</v>
      </c>
      <c r="G1054" s="48">
        <v>1E+100</v>
      </c>
      <c r="H1054" s="49">
        <v>1</v>
      </c>
    </row>
    <row r="1055" spans="2:8" x14ac:dyDescent="0.3">
      <c r="B1055" s="47" t="s">
        <v>1106</v>
      </c>
      <c r="C1055" s="48" t="s">
        <v>1036</v>
      </c>
      <c r="D1055" s="48">
        <v>0</v>
      </c>
      <c r="E1055" s="48">
        <v>0</v>
      </c>
      <c r="F1055" s="48">
        <v>1</v>
      </c>
      <c r="G1055" s="48">
        <v>1E+100</v>
      </c>
      <c r="H1055" s="49">
        <v>1</v>
      </c>
    </row>
    <row r="1056" spans="2:8" x14ac:dyDescent="0.3">
      <c r="B1056" s="47" t="s">
        <v>1107</v>
      </c>
      <c r="C1056" s="48" t="s">
        <v>21</v>
      </c>
      <c r="D1056" s="48">
        <v>1</v>
      </c>
      <c r="E1056" s="48">
        <v>0</v>
      </c>
      <c r="F1056" s="48">
        <v>1</v>
      </c>
      <c r="G1056" s="48">
        <v>1E+100</v>
      </c>
      <c r="H1056" s="49">
        <v>0</v>
      </c>
    </row>
    <row r="1057" spans="2:8" x14ac:dyDescent="0.3">
      <c r="B1057" s="47" t="s">
        <v>1108</v>
      </c>
      <c r="C1057" s="48" t="s">
        <v>21</v>
      </c>
      <c r="D1057" s="48">
        <v>0</v>
      </c>
      <c r="E1057" s="48">
        <v>0</v>
      </c>
      <c r="F1057" s="48">
        <v>1</v>
      </c>
      <c r="G1057" s="48">
        <v>1E+100</v>
      </c>
      <c r="H1057" s="49">
        <v>1</v>
      </c>
    </row>
    <row r="1058" spans="2:8" x14ac:dyDescent="0.3">
      <c r="B1058" s="47" t="s">
        <v>1109</v>
      </c>
      <c r="C1058" s="48" t="s">
        <v>21</v>
      </c>
      <c r="D1058" s="48">
        <v>0</v>
      </c>
      <c r="E1058" s="48">
        <v>0</v>
      </c>
      <c r="F1058" s="48">
        <v>1</v>
      </c>
      <c r="G1058" s="48">
        <v>1E+100</v>
      </c>
      <c r="H1058" s="49">
        <v>1</v>
      </c>
    </row>
    <row r="1059" spans="2:8" x14ac:dyDescent="0.3">
      <c r="B1059" s="47" t="s">
        <v>1110</v>
      </c>
      <c r="C1059" s="48" t="s">
        <v>21</v>
      </c>
      <c r="D1059" s="48">
        <v>0</v>
      </c>
      <c r="E1059" s="48">
        <v>0</v>
      </c>
      <c r="F1059" s="48">
        <v>1</v>
      </c>
      <c r="G1059" s="48">
        <v>1E+100</v>
      </c>
      <c r="H1059" s="49">
        <v>1</v>
      </c>
    </row>
    <row r="1060" spans="2:8" x14ac:dyDescent="0.3">
      <c r="B1060" s="47" t="s">
        <v>1111</v>
      </c>
      <c r="C1060" s="48" t="s">
        <v>1036</v>
      </c>
      <c r="D1060" s="48">
        <v>0</v>
      </c>
      <c r="E1060" s="48">
        <v>0</v>
      </c>
      <c r="F1060" s="48">
        <v>1</v>
      </c>
      <c r="G1060" s="48">
        <v>1E+100</v>
      </c>
      <c r="H1060" s="49">
        <v>1</v>
      </c>
    </row>
    <row r="1061" spans="2:8" x14ac:dyDescent="0.3">
      <c r="B1061" s="47" t="s">
        <v>1112</v>
      </c>
      <c r="C1061" s="48" t="s">
        <v>21</v>
      </c>
      <c r="D1061" s="48">
        <v>0</v>
      </c>
      <c r="E1061" s="48">
        <v>0</v>
      </c>
      <c r="F1061" s="48">
        <v>1</v>
      </c>
      <c r="G1061" s="48">
        <v>1E+100</v>
      </c>
      <c r="H1061" s="49">
        <v>1</v>
      </c>
    </row>
    <row r="1062" spans="2:8" x14ac:dyDescent="0.3">
      <c r="B1062" s="47" t="s">
        <v>1113</v>
      </c>
      <c r="C1062" s="48" t="s">
        <v>21</v>
      </c>
      <c r="D1062" s="48">
        <v>0</v>
      </c>
      <c r="E1062" s="48">
        <v>0</v>
      </c>
      <c r="F1062" s="48">
        <v>1</v>
      </c>
      <c r="G1062" s="48">
        <v>1E+100</v>
      </c>
      <c r="H1062" s="49">
        <v>1</v>
      </c>
    </row>
    <row r="1063" spans="2:8" x14ac:dyDescent="0.3">
      <c r="B1063" s="47" t="s">
        <v>1114</v>
      </c>
      <c r="C1063" s="48" t="s">
        <v>21</v>
      </c>
      <c r="D1063" s="48">
        <v>0</v>
      </c>
      <c r="E1063" s="48">
        <v>0</v>
      </c>
      <c r="F1063" s="48">
        <v>1</v>
      </c>
      <c r="G1063" s="48">
        <v>1E+100</v>
      </c>
      <c r="H1063" s="49">
        <v>1</v>
      </c>
    </row>
    <row r="1064" spans="2:8" x14ac:dyDescent="0.3">
      <c r="B1064" s="47" t="s">
        <v>1115</v>
      </c>
      <c r="C1064" s="48" t="s">
        <v>21</v>
      </c>
      <c r="D1064" s="48">
        <v>0</v>
      </c>
      <c r="E1064" s="48">
        <v>0</v>
      </c>
      <c r="F1064" s="48">
        <v>1</v>
      </c>
      <c r="G1064" s="48">
        <v>1E+100</v>
      </c>
      <c r="H1064" s="49">
        <v>1</v>
      </c>
    </row>
    <row r="1065" spans="2:8" x14ac:dyDescent="0.3">
      <c r="B1065" s="47" t="s">
        <v>1116</v>
      </c>
      <c r="C1065" s="48" t="s">
        <v>1036</v>
      </c>
      <c r="D1065" s="48">
        <v>0</v>
      </c>
      <c r="E1065" s="48">
        <v>0</v>
      </c>
      <c r="F1065" s="48">
        <v>1</v>
      </c>
      <c r="G1065" s="48">
        <v>1E+100</v>
      </c>
      <c r="H1065" s="49">
        <v>1</v>
      </c>
    </row>
    <row r="1066" spans="2:8" x14ac:dyDescent="0.3">
      <c r="B1066" s="47" t="s">
        <v>1117</v>
      </c>
      <c r="C1066" s="48" t="s">
        <v>21</v>
      </c>
      <c r="D1066" s="48">
        <v>0</v>
      </c>
      <c r="E1066" s="48">
        <v>0</v>
      </c>
      <c r="F1066" s="48">
        <v>1</v>
      </c>
      <c r="G1066" s="48">
        <v>1E+100</v>
      </c>
      <c r="H1066" s="49">
        <v>1</v>
      </c>
    </row>
    <row r="1067" spans="2:8" x14ac:dyDescent="0.3">
      <c r="B1067" s="47" t="s">
        <v>1118</v>
      </c>
      <c r="C1067" s="48" t="s">
        <v>21</v>
      </c>
      <c r="D1067" s="48">
        <v>0</v>
      </c>
      <c r="E1067" s="48">
        <v>0</v>
      </c>
      <c r="F1067" s="48">
        <v>1</v>
      </c>
      <c r="G1067" s="48">
        <v>1E+100</v>
      </c>
      <c r="H1067" s="49">
        <v>1</v>
      </c>
    </row>
    <row r="1068" spans="2:8" x14ac:dyDescent="0.3">
      <c r="B1068" s="47" t="s">
        <v>1119</v>
      </c>
      <c r="C1068" s="48" t="s">
        <v>21</v>
      </c>
      <c r="D1068" s="48">
        <v>0</v>
      </c>
      <c r="E1068" s="48">
        <v>0</v>
      </c>
      <c r="F1068" s="48">
        <v>1</v>
      </c>
      <c r="G1068" s="48">
        <v>1E+100</v>
      </c>
      <c r="H1068" s="49">
        <v>1</v>
      </c>
    </row>
    <row r="1069" spans="2:8" x14ac:dyDescent="0.3">
      <c r="B1069" s="47" t="s">
        <v>1120</v>
      </c>
      <c r="C1069" s="48" t="s">
        <v>21</v>
      </c>
      <c r="D1069" s="48">
        <v>0</v>
      </c>
      <c r="E1069" s="48">
        <v>0</v>
      </c>
      <c r="F1069" s="48">
        <v>1</v>
      </c>
      <c r="G1069" s="48">
        <v>1E+100</v>
      </c>
      <c r="H1069" s="49">
        <v>1</v>
      </c>
    </row>
    <row r="1070" spans="2:8" x14ac:dyDescent="0.3">
      <c r="B1070" s="47" t="s">
        <v>1121</v>
      </c>
      <c r="C1070" s="48" t="s">
        <v>1036</v>
      </c>
      <c r="D1070" s="48">
        <v>0</v>
      </c>
      <c r="E1070" s="48">
        <v>0</v>
      </c>
      <c r="F1070" s="48">
        <v>1</v>
      </c>
      <c r="G1070" s="48">
        <v>1E+100</v>
      </c>
      <c r="H1070" s="49">
        <v>1</v>
      </c>
    </row>
    <row r="1071" spans="2:8" x14ac:dyDescent="0.3">
      <c r="B1071" s="47" t="s">
        <v>1122</v>
      </c>
      <c r="C1071" s="48" t="s">
        <v>21</v>
      </c>
      <c r="D1071" s="48">
        <v>0</v>
      </c>
      <c r="E1071" s="48">
        <v>0</v>
      </c>
      <c r="F1071" s="48">
        <v>1</v>
      </c>
      <c r="G1071" s="48">
        <v>1E+100</v>
      </c>
      <c r="H1071" s="49">
        <v>1</v>
      </c>
    </row>
    <row r="1072" spans="2:8" x14ac:dyDescent="0.3">
      <c r="B1072" s="47" t="s">
        <v>1123</v>
      </c>
      <c r="C1072" s="48" t="s">
        <v>21</v>
      </c>
      <c r="D1072" s="48">
        <v>0</v>
      </c>
      <c r="E1072" s="48">
        <v>0</v>
      </c>
      <c r="F1072" s="48">
        <v>1</v>
      </c>
      <c r="G1072" s="48">
        <v>1E+100</v>
      </c>
      <c r="H1072" s="49">
        <v>1</v>
      </c>
    </row>
    <row r="1073" spans="2:8" x14ac:dyDescent="0.3">
      <c r="B1073" s="47" t="s">
        <v>1124</v>
      </c>
      <c r="C1073" s="48" t="s">
        <v>21</v>
      </c>
      <c r="D1073" s="48">
        <v>0</v>
      </c>
      <c r="E1073" s="48">
        <v>0</v>
      </c>
      <c r="F1073" s="48">
        <v>1</v>
      </c>
      <c r="G1073" s="48">
        <v>1E+100</v>
      </c>
      <c r="H1073" s="49">
        <v>1</v>
      </c>
    </row>
    <row r="1074" spans="2:8" x14ac:dyDescent="0.3">
      <c r="B1074" s="47" t="s">
        <v>1125</v>
      </c>
      <c r="C1074" s="48" t="s">
        <v>21</v>
      </c>
      <c r="D1074" s="48">
        <v>0</v>
      </c>
      <c r="E1074" s="48">
        <v>0</v>
      </c>
      <c r="F1074" s="48">
        <v>1</v>
      </c>
      <c r="G1074" s="48">
        <v>1E+100</v>
      </c>
      <c r="H1074" s="49">
        <v>1</v>
      </c>
    </row>
    <row r="1075" spans="2:8" x14ac:dyDescent="0.3">
      <c r="B1075" s="47" t="s">
        <v>1126</v>
      </c>
      <c r="C1075" s="48" t="s">
        <v>1036</v>
      </c>
      <c r="D1075" s="48">
        <v>0</v>
      </c>
      <c r="E1075" s="48">
        <v>0</v>
      </c>
      <c r="F1075" s="48">
        <v>1</v>
      </c>
      <c r="G1075" s="48">
        <v>1E+100</v>
      </c>
      <c r="H1075" s="49">
        <v>1</v>
      </c>
    </row>
    <row r="1076" spans="2:8" x14ac:dyDescent="0.3">
      <c r="B1076" s="47" t="s">
        <v>1127</v>
      </c>
      <c r="C1076" s="48" t="s">
        <v>21</v>
      </c>
      <c r="D1076" s="48">
        <v>0</v>
      </c>
      <c r="E1076" s="48">
        <v>0</v>
      </c>
      <c r="F1076" s="48">
        <v>1</v>
      </c>
      <c r="G1076" s="48">
        <v>1E+100</v>
      </c>
      <c r="H1076" s="49">
        <v>1</v>
      </c>
    </row>
    <row r="1077" spans="2:8" x14ac:dyDescent="0.3">
      <c r="B1077" s="47" t="s">
        <v>1128</v>
      </c>
      <c r="C1077" s="48" t="s">
        <v>21</v>
      </c>
      <c r="D1077" s="48">
        <v>0</v>
      </c>
      <c r="E1077" s="48">
        <v>0</v>
      </c>
      <c r="F1077" s="48">
        <v>1</v>
      </c>
      <c r="G1077" s="48">
        <v>1E+100</v>
      </c>
      <c r="H1077" s="49">
        <v>1</v>
      </c>
    </row>
    <row r="1078" spans="2:8" x14ac:dyDescent="0.3">
      <c r="B1078" s="47" t="s">
        <v>1129</v>
      </c>
      <c r="C1078" s="48" t="s">
        <v>21</v>
      </c>
      <c r="D1078" s="48">
        <v>0</v>
      </c>
      <c r="E1078" s="48">
        <v>0</v>
      </c>
      <c r="F1078" s="48">
        <v>1</v>
      </c>
      <c r="G1078" s="48">
        <v>1E+100</v>
      </c>
      <c r="H1078" s="49">
        <v>1</v>
      </c>
    </row>
    <row r="1079" spans="2:8" x14ac:dyDescent="0.3">
      <c r="B1079" s="47" t="s">
        <v>1130</v>
      </c>
      <c r="C1079" s="48" t="s">
        <v>21</v>
      </c>
      <c r="D1079" s="48">
        <v>0</v>
      </c>
      <c r="E1079" s="48">
        <v>0</v>
      </c>
      <c r="F1079" s="48">
        <v>1</v>
      </c>
      <c r="G1079" s="48">
        <v>1E+100</v>
      </c>
      <c r="H1079" s="49">
        <v>1</v>
      </c>
    </row>
    <row r="1080" spans="2:8" x14ac:dyDescent="0.3">
      <c r="B1080" s="47" t="s">
        <v>1131</v>
      </c>
      <c r="C1080" s="48" t="s">
        <v>1036</v>
      </c>
      <c r="D1080" s="48">
        <v>0</v>
      </c>
      <c r="E1080" s="48">
        <v>0</v>
      </c>
      <c r="F1080" s="48">
        <v>1</v>
      </c>
      <c r="G1080" s="48">
        <v>1E+100</v>
      </c>
      <c r="H1080" s="49">
        <v>1</v>
      </c>
    </row>
    <row r="1081" spans="2:8" x14ac:dyDescent="0.3">
      <c r="B1081" s="47" t="s">
        <v>1132</v>
      </c>
      <c r="C1081" s="48" t="s">
        <v>21</v>
      </c>
      <c r="D1081" s="48">
        <v>0</v>
      </c>
      <c r="E1081" s="48">
        <v>0</v>
      </c>
      <c r="F1081" s="48">
        <v>1</v>
      </c>
      <c r="G1081" s="48">
        <v>1E+100</v>
      </c>
      <c r="H1081" s="49">
        <v>1</v>
      </c>
    </row>
    <row r="1082" spans="2:8" x14ac:dyDescent="0.3">
      <c r="B1082" s="47" t="s">
        <v>1133</v>
      </c>
      <c r="C1082" s="48" t="s">
        <v>21</v>
      </c>
      <c r="D1082" s="48">
        <v>0</v>
      </c>
      <c r="E1082" s="48">
        <v>0</v>
      </c>
      <c r="F1082" s="48">
        <v>1</v>
      </c>
      <c r="G1082" s="48">
        <v>1E+100</v>
      </c>
      <c r="H1082" s="49">
        <v>1</v>
      </c>
    </row>
    <row r="1083" spans="2:8" x14ac:dyDescent="0.3">
      <c r="B1083" s="47" t="s">
        <v>1134</v>
      </c>
      <c r="C1083" s="48" t="s">
        <v>21</v>
      </c>
      <c r="D1083" s="48">
        <v>0</v>
      </c>
      <c r="E1083" s="48">
        <v>0</v>
      </c>
      <c r="F1083" s="48">
        <v>1</v>
      </c>
      <c r="G1083" s="48">
        <v>1E+100</v>
      </c>
      <c r="H1083" s="49">
        <v>1</v>
      </c>
    </row>
    <row r="1084" spans="2:8" x14ac:dyDescent="0.3">
      <c r="B1084" s="47" t="s">
        <v>1135</v>
      </c>
      <c r="C1084" s="48" t="s">
        <v>21</v>
      </c>
      <c r="D1084" s="48">
        <v>0.41521661999999998</v>
      </c>
      <c r="E1084" s="48">
        <v>0</v>
      </c>
      <c r="F1084" s="48">
        <v>1</v>
      </c>
      <c r="G1084" s="48">
        <v>1E+100</v>
      </c>
      <c r="H1084" s="49">
        <v>0.58478337619999998</v>
      </c>
    </row>
    <row r="1085" spans="2:8" x14ac:dyDescent="0.3">
      <c r="B1085" s="47" t="s">
        <v>1136</v>
      </c>
      <c r="C1085" s="48" t="s">
        <v>1036</v>
      </c>
      <c r="D1085" s="48">
        <v>0</v>
      </c>
      <c r="E1085" s="48">
        <v>0</v>
      </c>
      <c r="F1085" s="48">
        <v>1</v>
      </c>
      <c r="G1085" s="48">
        <v>1E+100</v>
      </c>
      <c r="H1085" s="49">
        <v>1</v>
      </c>
    </row>
    <row r="1086" spans="2:8" x14ac:dyDescent="0.3">
      <c r="B1086" s="47" t="s">
        <v>1137</v>
      </c>
      <c r="C1086" s="48" t="s">
        <v>21</v>
      </c>
      <c r="D1086" s="48">
        <v>0</v>
      </c>
      <c r="E1086" s="48">
        <v>0</v>
      </c>
      <c r="F1086" s="48">
        <v>1</v>
      </c>
      <c r="G1086" s="48">
        <v>1E+100</v>
      </c>
      <c r="H1086" s="49">
        <v>1</v>
      </c>
    </row>
    <row r="1087" spans="2:8" x14ac:dyDescent="0.3">
      <c r="B1087" s="47" t="s">
        <v>1138</v>
      </c>
      <c r="C1087" s="48" t="s">
        <v>21</v>
      </c>
      <c r="D1087" s="48">
        <v>0.48287153999999999</v>
      </c>
      <c r="E1087" s="48">
        <v>0</v>
      </c>
      <c r="F1087" s="48">
        <v>1</v>
      </c>
      <c r="G1087" s="48">
        <v>1E+100</v>
      </c>
      <c r="H1087" s="49">
        <v>0.51712845709999999</v>
      </c>
    </row>
    <row r="1088" spans="2:8" x14ac:dyDescent="0.3">
      <c r="B1088" s="47" t="s">
        <v>1139</v>
      </c>
      <c r="C1088" s="48" t="s">
        <v>21</v>
      </c>
      <c r="D1088" s="48">
        <v>0.10191182999999999</v>
      </c>
      <c r="E1088" s="48">
        <v>0</v>
      </c>
      <c r="F1088" s="48">
        <v>1</v>
      </c>
      <c r="G1088" s="48">
        <v>1E+100</v>
      </c>
      <c r="H1088" s="49">
        <v>0.89808816660000002</v>
      </c>
    </row>
    <row r="1089" spans="2:8" x14ac:dyDescent="0.3">
      <c r="B1089" s="47" t="s">
        <v>1140</v>
      </c>
      <c r="C1089" s="48" t="s">
        <v>21</v>
      </c>
      <c r="D1089" s="48">
        <v>0</v>
      </c>
      <c r="E1089" s="48">
        <v>0</v>
      </c>
      <c r="F1089" s="48">
        <v>1</v>
      </c>
      <c r="G1089" s="48">
        <v>1E+100</v>
      </c>
      <c r="H1089" s="49">
        <v>1</v>
      </c>
    </row>
    <row r="1090" spans="2:8" x14ac:dyDescent="0.3">
      <c r="B1090" s="47" t="s">
        <v>1141</v>
      </c>
      <c r="C1090" s="48" t="s">
        <v>1036</v>
      </c>
      <c r="D1090" s="48">
        <v>0</v>
      </c>
      <c r="E1090" s="48">
        <v>0</v>
      </c>
      <c r="F1090" s="48">
        <v>1</v>
      </c>
      <c r="G1090" s="48">
        <v>1E+100</v>
      </c>
      <c r="H1090" s="49">
        <v>1</v>
      </c>
    </row>
    <row r="1091" spans="2:8" x14ac:dyDescent="0.3">
      <c r="B1091" s="47" t="s">
        <v>1142</v>
      </c>
      <c r="C1091" s="48" t="s">
        <v>21</v>
      </c>
      <c r="D1091" s="48">
        <v>0</v>
      </c>
      <c r="E1091" s="48">
        <v>0</v>
      </c>
      <c r="F1091" s="48">
        <v>1</v>
      </c>
      <c r="G1091" s="48">
        <v>1E+100</v>
      </c>
      <c r="H1091" s="49">
        <v>1</v>
      </c>
    </row>
    <row r="1092" spans="2:8" x14ac:dyDescent="0.3">
      <c r="B1092" s="47" t="s">
        <v>1143</v>
      </c>
      <c r="C1092" s="48" t="s">
        <v>21</v>
      </c>
      <c r="D1092" s="48">
        <v>0</v>
      </c>
      <c r="E1092" s="48">
        <v>0</v>
      </c>
      <c r="F1092" s="48">
        <v>1</v>
      </c>
      <c r="G1092" s="48">
        <v>1E+100</v>
      </c>
      <c r="H1092" s="49">
        <v>1</v>
      </c>
    </row>
    <row r="1093" spans="2:8" x14ac:dyDescent="0.3">
      <c r="B1093" s="47" t="s">
        <v>1144</v>
      </c>
      <c r="C1093" s="48" t="s">
        <v>21</v>
      </c>
      <c r="D1093" s="48">
        <v>0</v>
      </c>
      <c r="E1093" s="48">
        <v>0</v>
      </c>
      <c r="F1093" s="48">
        <v>1</v>
      </c>
      <c r="G1093" s="48">
        <v>1E+100</v>
      </c>
      <c r="H1093" s="49">
        <v>1</v>
      </c>
    </row>
    <row r="1094" spans="2:8" x14ac:dyDescent="0.3">
      <c r="B1094" s="47" t="s">
        <v>1145</v>
      </c>
      <c r="C1094" s="48" t="s">
        <v>21</v>
      </c>
      <c r="D1094" s="48">
        <v>0</v>
      </c>
      <c r="E1094" s="48">
        <v>0</v>
      </c>
      <c r="F1094" s="48">
        <v>1</v>
      </c>
      <c r="G1094" s="48">
        <v>1E+100</v>
      </c>
      <c r="H1094" s="49">
        <v>1</v>
      </c>
    </row>
    <row r="1095" spans="2:8" x14ac:dyDescent="0.3">
      <c r="B1095" s="47" t="s">
        <v>1146</v>
      </c>
      <c r="C1095" s="48" t="s">
        <v>1036</v>
      </c>
      <c r="D1095" s="48">
        <v>0</v>
      </c>
      <c r="E1095" s="48">
        <v>0</v>
      </c>
      <c r="F1095" s="48">
        <v>1</v>
      </c>
      <c r="G1095" s="48">
        <v>1E+100</v>
      </c>
      <c r="H1095" s="49">
        <v>1</v>
      </c>
    </row>
    <row r="1096" spans="2:8" x14ac:dyDescent="0.3">
      <c r="B1096" s="47" t="s">
        <v>1147</v>
      </c>
      <c r="C1096" s="48" t="s">
        <v>21</v>
      </c>
      <c r="D1096" s="48">
        <v>0</v>
      </c>
      <c r="E1096" s="48">
        <v>0</v>
      </c>
      <c r="F1096" s="48">
        <v>1</v>
      </c>
      <c r="G1096" s="48">
        <v>1E+100</v>
      </c>
      <c r="H1096" s="49">
        <v>1</v>
      </c>
    </row>
    <row r="1097" spans="2:8" x14ac:dyDescent="0.3">
      <c r="B1097" s="47" t="s">
        <v>1148</v>
      </c>
      <c r="C1097" s="48" t="s">
        <v>21</v>
      </c>
      <c r="D1097" s="48">
        <v>0</v>
      </c>
      <c r="E1097" s="48">
        <v>0</v>
      </c>
      <c r="F1097" s="48">
        <v>1</v>
      </c>
      <c r="G1097" s="48">
        <v>1E+100</v>
      </c>
      <c r="H1097" s="49">
        <v>1</v>
      </c>
    </row>
    <row r="1098" spans="2:8" x14ac:dyDescent="0.3">
      <c r="B1098" s="47" t="s">
        <v>1149</v>
      </c>
      <c r="C1098" s="48" t="s">
        <v>21</v>
      </c>
      <c r="D1098" s="48">
        <v>1</v>
      </c>
      <c r="E1098" s="48">
        <v>0</v>
      </c>
      <c r="F1098" s="48">
        <v>1</v>
      </c>
      <c r="G1098" s="48">
        <v>1E+100</v>
      </c>
      <c r="H1098" s="49">
        <v>0</v>
      </c>
    </row>
    <row r="1099" spans="2:8" x14ac:dyDescent="0.3">
      <c r="B1099" s="47" t="s">
        <v>1150</v>
      </c>
      <c r="C1099" s="48" t="s">
        <v>21</v>
      </c>
      <c r="D1099" s="48">
        <v>0</v>
      </c>
      <c r="E1099" s="48">
        <v>0</v>
      </c>
      <c r="F1099" s="48">
        <v>1</v>
      </c>
      <c r="G1099" s="48">
        <v>1E+100</v>
      </c>
      <c r="H1099" s="49">
        <v>1</v>
      </c>
    </row>
    <row r="1100" spans="2:8" x14ac:dyDescent="0.3">
      <c r="B1100" s="47" t="s">
        <v>1151</v>
      </c>
      <c r="C1100" s="48" t="s">
        <v>1036</v>
      </c>
      <c r="D1100" s="48">
        <v>0</v>
      </c>
      <c r="E1100" s="48">
        <v>0</v>
      </c>
      <c r="F1100" s="48">
        <v>1</v>
      </c>
      <c r="G1100" s="48">
        <v>1E+100</v>
      </c>
      <c r="H1100" s="49">
        <v>1</v>
      </c>
    </row>
    <row r="1101" spans="2:8" x14ac:dyDescent="0.3">
      <c r="B1101" s="47" t="s">
        <v>1152</v>
      </c>
      <c r="C1101" s="48" t="s">
        <v>21</v>
      </c>
      <c r="D1101" s="48">
        <v>0</v>
      </c>
      <c r="E1101" s="48">
        <v>0</v>
      </c>
      <c r="F1101" s="48">
        <v>1</v>
      </c>
      <c r="G1101" s="48">
        <v>1E+100</v>
      </c>
      <c r="H1101" s="49">
        <v>1</v>
      </c>
    </row>
    <row r="1102" spans="2:8" x14ac:dyDescent="0.3">
      <c r="B1102" s="47" t="s">
        <v>1153</v>
      </c>
      <c r="C1102" s="48" t="s">
        <v>21</v>
      </c>
      <c r="D1102" s="48">
        <v>0</v>
      </c>
      <c r="E1102" s="48">
        <v>0</v>
      </c>
      <c r="F1102" s="48">
        <v>1</v>
      </c>
      <c r="G1102" s="48">
        <v>1E+100</v>
      </c>
      <c r="H1102" s="49">
        <v>1</v>
      </c>
    </row>
    <row r="1103" spans="2:8" x14ac:dyDescent="0.3">
      <c r="B1103" s="47" t="s">
        <v>1154</v>
      </c>
      <c r="C1103" s="48" t="s">
        <v>21</v>
      </c>
      <c r="D1103" s="48">
        <v>1</v>
      </c>
      <c r="E1103" s="48">
        <v>0</v>
      </c>
      <c r="F1103" s="48">
        <v>1</v>
      </c>
      <c r="G1103" s="48">
        <v>1E+100</v>
      </c>
      <c r="H1103" s="49">
        <v>0</v>
      </c>
    </row>
    <row r="1104" spans="2:8" x14ac:dyDescent="0.3">
      <c r="B1104" s="47" t="s">
        <v>1155</v>
      </c>
      <c r="C1104" s="48" t="s">
        <v>21</v>
      </c>
      <c r="D1104" s="48">
        <v>0</v>
      </c>
      <c r="E1104" s="48">
        <v>0</v>
      </c>
      <c r="F1104" s="48">
        <v>1</v>
      </c>
      <c r="G1104" s="48">
        <v>1E+100</v>
      </c>
      <c r="H1104" s="49">
        <v>1</v>
      </c>
    </row>
    <row r="1105" spans="2:8" x14ac:dyDescent="0.3">
      <c r="B1105" s="47" t="s">
        <v>1156</v>
      </c>
      <c r="C1105" s="48" t="s">
        <v>1036</v>
      </c>
      <c r="D1105" s="48">
        <v>0.70698916000000001</v>
      </c>
      <c r="E1105" s="48">
        <v>0</v>
      </c>
      <c r="F1105" s="48">
        <v>1</v>
      </c>
      <c r="G1105" s="48">
        <v>1E+100</v>
      </c>
      <c r="H1105" s="49">
        <v>0.29301083950000001</v>
      </c>
    </row>
    <row r="1106" spans="2:8" x14ac:dyDescent="0.3">
      <c r="B1106" s="47" t="s">
        <v>1157</v>
      </c>
      <c r="C1106" s="48" t="s">
        <v>21</v>
      </c>
      <c r="D1106" s="48">
        <v>0</v>
      </c>
      <c r="E1106" s="48">
        <v>0</v>
      </c>
      <c r="F1106" s="48">
        <v>1</v>
      </c>
      <c r="G1106" s="48">
        <v>1E+100</v>
      </c>
      <c r="H1106" s="49">
        <v>1</v>
      </c>
    </row>
    <row r="1107" spans="2:8" x14ac:dyDescent="0.3">
      <c r="B1107" s="47" t="s">
        <v>1158</v>
      </c>
      <c r="C1107" s="48" t="s">
        <v>21</v>
      </c>
      <c r="D1107" s="48">
        <v>0.29301083999999999</v>
      </c>
      <c r="E1107" s="48">
        <v>0</v>
      </c>
      <c r="F1107" s="48">
        <v>1</v>
      </c>
      <c r="G1107" s="48">
        <v>1E+100</v>
      </c>
      <c r="H1107" s="49">
        <v>0.70698916050000005</v>
      </c>
    </row>
    <row r="1108" spans="2:8" ht="15" thickBot="1" x14ac:dyDescent="0.35">
      <c r="B1108" s="50" t="s">
        <v>1159</v>
      </c>
      <c r="C1108" s="51" t="s">
        <v>21</v>
      </c>
      <c r="D1108" s="51">
        <v>0</v>
      </c>
      <c r="E1108" s="51">
        <v>0</v>
      </c>
      <c r="F1108" s="51">
        <v>1</v>
      </c>
      <c r="G1108" s="51">
        <v>1E+100</v>
      </c>
      <c r="H1108" s="52">
        <v>1</v>
      </c>
    </row>
    <row r="1109" spans="2:8" x14ac:dyDescent="0.3">
      <c r="B1109" s="46"/>
      <c r="C1109" s="46"/>
      <c r="D1109" s="46"/>
      <c r="E1109" s="46"/>
      <c r="F1109" s="46"/>
      <c r="G1109" s="46"/>
      <c r="H1109" s="4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316F-CD20-49E5-A6A0-4C42FB60CBBA}">
  <dimension ref="A1:CM132"/>
  <sheetViews>
    <sheetView tabSelected="1" topLeftCell="A37" zoomScale="55" zoomScaleNormal="55" workbookViewId="0">
      <selection activeCell="S53" sqref="S53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9.88671875" style="1" bestFit="1" customWidth="1"/>
    <col min="63" max="68" width="8.88671875" style="1"/>
    <col min="69" max="69" width="9.88671875" style="1" bestFit="1" customWidth="1"/>
    <col min="70" max="16384" width="8.88671875" style="1"/>
  </cols>
  <sheetData>
    <row r="1" spans="2:81" ht="16.350000000000001" thickBot="1" x14ac:dyDescent="0.35"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</row>
    <row r="2" spans="2:81" ht="15.75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35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1" ht="15.75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H3" s="10" t="s">
        <v>28</v>
      </c>
      <c r="AI3" s="11"/>
      <c r="AJ3" s="11"/>
      <c r="AK3" s="11"/>
      <c r="AL3" s="11"/>
      <c r="AM3" s="11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9"/>
      <c r="BJ3" s="7"/>
      <c r="BK3" s="8"/>
      <c r="BL3" s="8"/>
      <c r="BM3" s="8"/>
      <c r="BN3" s="8"/>
      <c r="BO3" s="8"/>
      <c r="BP3" s="8"/>
      <c r="BQ3" s="8" t="s">
        <v>1164</v>
      </c>
      <c r="BR3" s="8"/>
      <c r="BS3" s="8"/>
      <c r="BT3" s="8"/>
      <c r="BU3" s="8"/>
      <c r="BV3" s="8"/>
      <c r="BW3" s="8"/>
      <c r="BX3" s="8" t="s">
        <v>1165</v>
      </c>
      <c r="BY3" s="8"/>
      <c r="BZ3" s="8"/>
      <c r="CA3" s="8"/>
      <c r="CB3" s="8"/>
      <c r="CC3" s="9"/>
    </row>
    <row r="4" spans="2:81" ht="15.75" x14ac:dyDescent="0.3">
      <c r="B4" s="7"/>
      <c r="C4" s="8"/>
      <c r="D4" s="8"/>
      <c r="E4" s="8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 t="s">
        <v>8</v>
      </c>
      <c r="AA4" s="8"/>
      <c r="AB4" s="8"/>
      <c r="AC4" s="8"/>
      <c r="AD4" s="8"/>
      <c r="AE4" s="8"/>
      <c r="AF4" s="9"/>
      <c r="AG4" s="15"/>
      <c r="AH4" s="7" t="s">
        <v>29</v>
      </c>
      <c r="AI4" s="11"/>
      <c r="AJ4" s="11"/>
      <c r="AK4" s="11"/>
      <c r="AL4" s="11"/>
      <c r="AM4" s="11"/>
      <c r="AN4" s="8"/>
      <c r="AO4" s="8" t="s">
        <v>32</v>
      </c>
      <c r="AP4" s="11"/>
      <c r="AQ4" s="11"/>
      <c r="AR4" s="11"/>
      <c r="AS4" s="11"/>
      <c r="AT4" s="11"/>
      <c r="AU4" s="8"/>
      <c r="AV4" s="8" t="s">
        <v>31</v>
      </c>
      <c r="AW4" s="11"/>
      <c r="AX4" s="11"/>
      <c r="AY4" s="11"/>
      <c r="AZ4" s="11"/>
      <c r="BA4" s="11"/>
      <c r="BB4" s="8"/>
      <c r="BC4" s="8" t="s">
        <v>30</v>
      </c>
      <c r="BD4" s="11"/>
      <c r="BE4" s="11"/>
      <c r="BF4" s="11"/>
      <c r="BG4" s="11"/>
      <c r="BH4" s="34"/>
      <c r="BJ4" s="7" t="s">
        <v>36</v>
      </c>
      <c r="BK4" s="8"/>
      <c r="BL4" s="8"/>
      <c r="BM4" s="8"/>
      <c r="BN4" s="8"/>
      <c r="BO4" s="8"/>
      <c r="BP4" s="8"/>
      <c r="BQ4" s="8" t="s">
        <v>1163</v>
      </c>
      <c r="BR4" s="8"/>
      <c r="BS4" s="8"/>
      <c r="BT4" s="8"/>
      <c r="BU4" s="8"/>
      <c r="BV4" s="58"/>
      <c r="BW4" s="8"/>
      <c r="BX4" s="8" t="s">
        <v>1162</v>
      </c>
      <c r="BY4" s="8"/>
      <c r="BZ4" s="8"/>
      <c r="CA4" s="8"/>
      <c r="CB4" s="8"/>
      <c r="CC4" s="9"/>
    </row>
    <row r="5" spans="2:81" ht="15.75" x14ac:dyDescent="0.3">
      <c r="B5" s="13"/>
      <c r="C5" s="11" t="s">
        <v>9</v>
      </c>
      <c r="D5" s="8"/>
      <c r="E5" s="14"/>
      <c r="F5" s="11" t="s">
        <v>10</v>
      </c>
      <c r="G5" s="8"/>
      <c r="H5" s="14"/>
      <c r="I5" s="11" t="s">
        <v>11</v>
      </c>
      <c r="J5" s="8"/>
      <c r="K5" s="14"/>
      <c r="L5" s="40" t="s">
        <v>12</v>
      </c>
      <c r="M5" s="8"/>
      <c r="N5" s="14"/>
      <c r="O5" s="11" t="s">
        <v>13</v>
      </c>
      <c r="P5" s="8"/>
      <c r="Q5" s="14"/>
      <c r="R5" s="11" t="s">
        <v>14</v>
      </c>
      <c r="S5" s="8"/>
      <c r="T5" s="15"/>
      <c r="U5" s="11" t="s">
        <v>15</v>
      </c>
      <c r="V5" s="8"/>
      <c r="W5" s="8"/>
      <c r="X5" s="8"/>
      <c r="Y5" s="8"/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N5" s="8"/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U5" s="8"/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B5" s="8"/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P5" s="8"/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W5" s="8"/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</row>
    <row r="6" spans="2:81" ht="15.75" x14ac:dyDescent="0.3">
      <c r="B6" s="41">
        <v>1</v>
      </c>
      <c r="C6" s="20">
        <v>15</v>
      </c>
      <c r="D6" s="8"/>
      <c r="E6" s="42">
        <v>1</v>
      </c>
      <c r="F6" s="21">
        <v>10</v>
      </c>
      <c r="G6" s="8"/>
      <c r="H6" s="42">
        <v>1</v>
      </c>
      <c r="I6" s="14">
        <v>7</v>
      </c>
      <c r="J6" s="8"/>
      <c r="K6" s="42">
        <v>1</v>
      </c>
      <c r="L6" s="14">
        <v>4</v>
      </c>
      <c r="M6" s="8"/>
      <c r="N6" s="42">
        <v>1</v>
      </c>
      <c r="O6" s="14">
        <v>0.5</v>
      </c>
      <c r="P6" s="8"/>
      <c r="Q6" s="42">
        <v>1</v>
      </c>
      <c r="R6" s="14">
        <v>2</v>
      </c>
      <c r="S6" s="8"/>
      <c r="T6" s="42">
        <v>1</v>
      </c>
      <c r="U6" s="20">
        <v>15</v>
      </c>
      <c r="V6" s="8"/>
      <c r="W6" s="8"/>
      <c r="X6" s="8"/>
      <c r="Y6" s="8"/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8"/>
      <c r="AO6" s="23">
        <v>1</v>
      </c>
      <c r="AP6" s="16">
        <v>1</v>
      </c>
      <c r="AQ6" s="16">
        <v>0</v>
      </c>
      <c r="AR6" s="16">
        <v>0</v>
      </c>
      <c r="AS6" s="16">
        <v>0</v>
      </c>
      <c r="AT6" s="16">
        <v>0</v>
      </c>
      <c r="AU6" s="8"/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8"/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J6" s="22">
        <v>1</v>
      </c>
      <c r="BK6" s="16">
        <f>AI6+AP6+AW6+BD6</f>
        <v>1</v>
      </c>
      <c r="BL6" s="16">
        <f t="shared" ref="BL6:BO6" si="0">AJ6+AQ6+AX6+BE6</f>
        <v>0</v>
      </c>
      <c r="BM6" s="16">
        <f t="shared" si="0"/>
        <v>0</v>
      </c>
      <c r="BN6" s="16">
        <f t="shared" si="0"/>
        <v>0</v>
      </c>
      <c r="BO6" s="16">
        <f t="shared" si="0"/>
        <v>0</v>
      </c>
      <c r="BP6" s="8"/>
      <c r="BQ6" s="23">
        <v>1</v>
      </c>
      <c r="BR6" s="16">
        <f>AI6+AP6*2+AW6*3+BD6*4</f>
        <v>2</v>
      </c>
      <c r="BS6" s="16">
        <f t="shared" ref="BS6:BV6" si="1">AJ6+AQ6*2+AX6*3+BE6*4</f>
        <v>0</v>
      </c>
      <c r="BT6" s="16">
        <f t="shared" si="1"/>
        <v>0</v>
      </c>
      <c r="BU6" s="16">
        <f t="shared" si="1"/>
        <v>0</v>
      </c>
      <c r="BV6" s="16">
        <f t="shared" si="1"/>
        <v>0</v>
      </c>
      <c r="BW6" s="8"/>
      <c r="BX6" s="23">
        <v>1</v>
      </c>
      <c r="BY6" s="16">
        <f>AI6+AP6*POWER(2,$O6)+AW6*POWER(3,$O6)+BD6*POWER(4,$O6)</f>
        <v>1.4142135623730951</v>
      </c>
      <c r="BZ6" s="16">
        <f t="shared" ref="BZ6:CC6" si="2">AJ6+AQ6*POWER(2,$O6)+AX6*POWER(3,$O6)+BE6*POWER(4,$O6)</f>
        <v>0</v>
      </c>
      <c r="CA6" s="16">
        <f t="shared" si="2"/>
        <v>0</v>
      </c>
      <c r="CB6" s="16">
        <f t="shared" si="2"/>
        <v>0</v>
      </c>
      <c r="CC6" s="19">
        <f t="shared" si="2"/>
        <v>0</v>
      </c>
    </row>
    <row r="7" spans="2:81" ht="15.75" x14ac:dyDescent="0.3">
      <c r="B7" s="41">
        <v>2</v>
      </c>
      <c r="C7" s="20">
        <v>8</v>
      </c>
      <c r="D7" s="8"/>
      <c r="E7" s="42">
        <v>2</v>
      </c>
      <c r="F7" s="24">
        <v>9</v>
      </c>
      <c r="G7" s="8"/>
      <c r="H7" s="42">
        <v>2</v>
      </c>
      <c r="I7" s="14">
        <v>6</v>
      </c>
      <c r="J7" s="8"/>
      <c r="K7" s="42">
        <v>2</v>
      </c>
      <c r="L7" s="14">
        <v>10</v>
      </c>
      <c r="M7" s="8"/>
      <c r="N7" s="42">
        <v>2</v>
      </c>
      <c r="O7" s="14">
        <v>0.2</v>
      </c>
      <c r="P7" s="8"/>
      <c r="Q7" s="42">
        <v>2</v>
      </c>
      <c r="R7" s="14">
        <v>1</v>
      </c>
      <c r="S7" s="8"/>
      <c r="T7" s="42">
        <v>2</v>
      </c>
      <c r="U7" s="20">
        <v>19</v>
      </c>
      <c r="V7" s="8"/>
      <c r="W7" s="8"/>
      <c r="X7" s="8"/>
      <c r="Y7" s="8"/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H7" s="22">
        <v>2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8"/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8"/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8"/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J7" s="22">
        <v>2</v>
      </c>
      <c r="BK7" s="16">
        <f t="shared" ref="BK7:BK30" si="8">AI7+AP7+AW7+BD7</f>
        <v>0</v>
      </c>
      <c r="BL7" s="16">
        <f t="shared" ref="BL7:BL30" si="9">AJ7+AQ7+AX7+BE7</f>
        <v>0</v>
      </c>
      <c r="BM7" s="16">
        <f t="shared" ref="BM7:BM30" si="10">AK7+AR7+AY7+BF7</f>
        <v>0</v>
      </c>
      <c r="BN7" s="16">
        <f t="shared" ref="BN7:BN30" si="11">AL7+AS7+AZ7+BG7</f>
        <v>0</v>
      </c>
      <c r="BO7" s="16">
        <f t="shared" ref="BO7:BO30" si="12">AM7+AT7+BA7+BH7</f>
        <v>1</v>
      </c>
      <c r="BP7" s="8"/>
      <c r="BQ7" s="23">
        <v>2</v>
      </c>
      <c r="BR7" s="16">
        <f t="shared" ref="BR7:BR30" si="13">AI7+AP7*2+AW7*3+BD7*4</f>
        <v>0</v>
      </c>
      <c r="BS7" s="16">
        <f t="shared" ref="BS7:BS30" si="14">AJ7+AQ7*2+AX7*3+BE7*4</f>
        <v>0</v>
      </c>
      <c r="BT7" s="16">
        <f t="shared" ref="BT7:BT30" si="15">AK7+AR7*2+AY7*3+BF7*4</f>
        <v>0</v>
      </c>
      <c r="BU7" s="16">
        <f t="shared" ref="BU7:BU30" si="16">AL7+AS7*2+AZ7*3+BG7*4</f>
        <v>0</v>
      </c>
      <c r="BV7" s="16">
        <f t="shared" ref="BV7:BV30" si="17">AM7+AT7*2+BA7*3+BH7*4</f>
        <v>1</v>
      </c>
      <c r="BW7" s="8"/>
      <c r="BX7" s="23">
        <v>2</v>
      </c>
      <c r="BY7" s="16">
        <f t="shared" ref="BY7:BY30" si="18">AI7+AP7*POWER(2,$O7)+AW7*POWER(3,$O7)+BD7*POWER(4,$O7)</f>
        <v>0</v>
      </c>
      <c r="BZ7" s="16">
        <f t="shared" ref="BZ7:BZ30" si="19">AJ7+AQ7*POWER(2,$O7)+AX7*POWER(3,$O7)+BE7*POWER(4,$O7)</f>
        <v>0</v>
      </c>
      <c r="CA7" s="16">
        <f t="shared" ref="CA7:CA30" si="20">AK7+AR7*POWER(2,$O7)+AY7*POWER(3,$O7)+BF7*POWER(4,$O7)</f>
        <v>0</v>
      </c>
      <c r="CB7" s="16">
        <f t="shared" ref="CB7:CB30" si="21">AL7+AS7*POWER(2,$O7)+AZ7*POWER(3,$O7)+BG7*POWER(4,$O7)</f>
        <v>0</v>
      </c>
      <c r="CC7" s="19">
        <f t="shared" ref="CC7:CC30" si="22">AM7+AT7*POWER(2,$O7)+BA7*POWER(3,$O7)+BH7*POWER(4,$O7)</f>
        <v>1</v>
      </c>
    </row>
    <row r="8" spans="2:81" ht="15.75" x14ac:dyDescent="0.3">
      <c r="B8" s="41">
        <v>3</v>
      </c>
      <c r="C8" s="20">
        <v>12</v>
      </c>
      <c r="D8" s="8"/>
      <c r="E8" s="42">
        <v>3</v>
      </c>
      <c r="F8" s="24">
        <v>5</v>
      </c>
      <c r="G8" s="8"/>
      <c r="H8" s="42">
        <v>3</v>
      </c>
      <c r="I8" s="14">
        <v>10</v>
      </c>
      <c r="J8" s="8"/>
      <c r="K8" s="42">
        <v>3</v>
      </c>
      <c r="L8" s="14">
        <v>10</v>
      </c>
      <c r="M8" s="8"/>
      <c r="N8" s="42">
        <v>3</v>
      </c>
      <c r="O8" s="14">
        <v>0.3</v>
      </c>
      <c r="P8" s="8"/>
      <c r="Q8" s="42">
        <v>3</v>
      </c>
      <c r="R8" s="14">
        <v>1</v>
      </c>
      <c r="S8" s="8"/>
      <c r="T8" s="42">
        <v>3</v>
      </c>
      <c r="U8" s="20">
        <v>23</v>
      </c>
      <c r="V8" s="8"/>
      <c r="W8" s="8"/>
      <c r="X8" s="8"/>
      <c r="Y8" s="8"/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H8" s="22">
        <v>3</v>
      </c>
      <c r="AI8" s="16">
        <v>0</v>
      </c>
      <c r="AJ8" s="16">
        <v>1</v>
      </c>
      <c r="AK8" s="16">
        <v>0</v>
      </c>
      <c r="AL8" s="16">
        <v>0</v>
      </c>
      <c r="AM8" s="16">
        <v>0</v>
      </c>
      <c r="AN8" s="8"/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8"/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8"/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J8" s="22">
        <v>3</v>
      </c>
      <c r="BK8" s="16">
        <f t="shared" si="8"/>
        <v>0</v>
      </c>
      <c r="BL8" s="16">
        <f t="shared" si="9"/>
        <v>1</v>
      </c>
      <c r="BM8" s="16">
        <f t="shared" si="10"/>
        <v>0</v>
      </c>
      <c r="BN8" s="16">
        <f t="shared" si="11"/>
        <v>0</v>
      </c>
      <c r="BO8" s="16">
        <f t="shared" si="12"/>
        <v>0</v>
      </c>
      <c r="BP8" s="8"/>
      <c r="BQ8" s="23">
        <v>3</v>
      </c>
      <c r="BR8" s="16">
        <f t="shared" si="13"/>
        <v>0</v>
      </c>
      <c r="BS8" s="16">
        <f t="shared" si="14"/>
        <v>1</v>
      </c>
      <c r="BT8" s="16">
        <f t="shared" si="15"/>
        <v>0</v>
      </c>
      <c r="BU8" s="16">
        <f t="shared" si="16"/>
        <v>0</v>
      </c>
      <c r="BV8" s="16">
        <f t="shared" si="17"/>
        <v>0</v>
      </c>
      <c r="BW8" s="8"/>
      <c r="BX8" s="23">
        <v>3</v>
      </c>
      <c r="BY8" s="16">
        <f t="shared" si="18"/>
        <v>0</v>
      </c>
      <c r="BZ8" s="16">
        <f t="shared" si="19"/>
        <v>1</v>
      </c>
      <c r="CA8" s="16">
        <f t="shared" si="20"/>
        <v>0</v>
      </c>
      <c r="CB8" s="16">
        <f t="shared" si="21"/>
        <v>0</v>
      </c>
      <c r="CC8" s="19">
        <f t="shared" si="22"/>
        <v>0</v>
      </c>
    </row>
    <row r="9" spans="2:81" ht="15.75" x14ac:dyDescent="0.3">
      <c r="B9" s="41">
        <v>4</v>
      </c>
      <c r="C9" s="20">
        <v>6</v>
      </c>
      <c r="D9" s="8"/>
      <c r="E9" s="42">
        <v>4</v>
      </c>
      <c r="F9" s="24">
        <v>7</v>
      </c>
      <c r="G9" s="8"/>
      <c r="H9" s="42">
        <v>4</v>
      </c>
      <c r="I9" s="14">
        <v>7</v>
      </c>
      <c r="J9" s="8"/>
      <c r="K9" s="42">
        <v>4</v>
      </c>
      <c r="L9" s="14">
        <v>7</v>
      </c>
      <c r="M9" s="8"/>
      <c r="N9" s="42">
        <v>4</v>
      </c>
      <c r="O9" s="14">
        <v>0.2</v>
      </c>
      <c r="P9" s="8"/>
      <c r="Q9" s="42">
        <v>4</v>
      </c>
      <c r="R9" s="14">
        <v>1</v>
      </c>
      <c r="S9" s="8"/>
      <c r="T9" s="42">
        <v>4</v>
      </c>
      <c r="U9" s="20">
        <v>9</v>
      </c>
      <c r="V9" s="8"/>
      <c r="W9" s="8"/>
      <c r="X9" s="8"/>
      <c r="Y9" s="8"/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H9" s="22">
        <v>4</v>
      </c>
      <c r="AI9" s="16">
        <v>0</v>
      </c>
      <c r="AJ9" s="16">
        <v>0</v>
      </c>
      <c r="AK9" s="16">
        <v>0</v>
      </c>
      <c r="AL9" s="16">
        <v>0</v>
      </c>
      <c r="AM9" s="16">
        <v>1</v>
      </c>
      <c r="AN9" s="8"/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8"/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8"/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J9" s="22">
        <v>4</v>
      </c>
      <c r="BK9" s="16">
        <f t="shared" si="8"/>
        <v>0</v>
      </c>
      <c r="BL9" s="16">
        <f t="shared" si="9"/>
        <v>0</v>
      </c>
      <c r="BM9" s="16">
        <f t="shared" si="10"/>
        <v>0</v>
      </c>
      <c r="BN9" s="16">
        <f t="shared" si="11"/>
        <v>0</v>
      </c>
      <c r="BO9" s="16">
        <f t="shared" si="12"/>
        <v>1</v>
      </c>
      <c r="BP9" s="8"/>
      <c r="BQ9" s="23">
        <v>4</v>
      </c>
      <c r="BR9" s="16">
        <f t="shared" si="13"/>
        <v>0</v>
      </c>
      <c r="BS9" s="16">
        <f t="shared" si="14"/>
        <v>0</v>
      </c>
      <c r="BT9" s="16">
        <f t="shared" si="15"/>
        <v>0</v>
      </c>
      <c r="BU9" s="16">
        <f t="shared" si="16"/>
        <v>0</v>
      </c>
      <c r="BV9" s="16">
        <f t="shared" si="17"/>
        <v>1</v>
      </c>
      <c r="BW9" s="8"/>
      <c r="BX9" s="23">
        <v>4</v>
      </c>
      <c r="BY9" s="16">
        <f t="shared" si="18"/>
        <v>0</v>
      </c>
      <c r="BZ9" s="16">
        <f t="shared" si="19"/>
        <v>0</v>
      </c>
      <c r="CA9" s="16">
        <f t="shared" si="20"/>
        <v>0</v>
      </c>
      <c r="CB9" s="16">
        <f t="shared" si="21"/>
        <v>0</v>
      </c>
      <c r="CC9" s="19">
        <f t="shared" si="22"/>
        <v>1</v>
      </c>
    </row>
    <row r="10" spans="2:81" ht="15.75" x14ac:dyDescent="0.3">
      <c r="B10" s="41">
        <v>5</v>
      </c>
      <c r="C10" s="20">
        <v>11</v>
      </c>
      <c r="D10" s="8"/>
      <c r="E10" s="42">
        <v>5</v>
      </c>
      <c r="F10" s="24">
        <v>9</v>
      </c>
      <c r="G10" s="8"/>
      <c r="H10" s="42">
        <v>5</v>
      </c>
      <c r="I10" s="14">
        <v>9</v>
      </c>
      <c r="J10" s="8"/>
      <c r="K10" s="42">
        <v>5</v>
      </c>
      <c r="L10" s="14">
        <v>5</v>
      </c>
      <c r="M10" s="8"/>
      <c r="N10" s="42">
        <v>5</v>
      </c>
      <c r="O10" s="14">
        <v>0.9</v>
      </c>
      <c r="P10" s="8"/>
      <c r="Q10" s="42">
        <v>5</v>
      </c>
      <c r="R10" s="14">
        <v>1</v>
      </c>
      <c r="S10" s="8"/>
      <c r="T10" s="42">
        <v>5</v>
      </c>
      <c r="U10" s="20">
        <v>16</v>
      </c>
      <c r="V10" s="8"/>
      <c r="W10" s="8"/>
      <c r="X10" s="8"/>
      <c r="Y10" s="8"/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8"/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8"/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8"/>
      <c r="BC10" s="23">
        <v>5</v>
      </c>
      <c r="BD10" s="16">
        <v>0</v>
      </c>
      <c r="BE10" s="16">
        <v>0</v>
      </c>
      <c r="BF10" s="16">
        <v>0</v>
      </c>
      <c r="BG10" s="16">
        <v>1</v>
      </c>
      <c r="BH10" s="19">
        <v>0</v>
      </c>
      <c r="BJ10" s="22">
        <v>5</v>
      </c>
      <c r="BK10" s="16">
        <f t="shared" si="8"/>
        <v>0</v>
      </c>
      <c r="BL10" s="16">
        <f t="shared" si="9"/>
        <v>0</v>
      </c>
      <c r="BM10" s="16">
        <f t="shared" si="10"/>
        <v>0</v>
      </c>
      <c r="BN10" s="16">
        <f t="shared" si="11"/>
        <v>1</v>
      </c>
      <c r="BO10" s="16">
        <f t="shared" si="12"/>
        <v>0</v>
      </c>
      <c r="BP10" s="8"/>
      <c r="BQ10" s="23">
        <v>5</v>
      </c>
      <c r="BR10" s="16">
        <f t="shared" si="13"/>
        <v>0</v>
      </c>
      <c r="BS10" s="16">
        <f t="shared" si="14"/>
        <v>0</v>
      </c>
      <c r="BT10" s="16">
        <f t="shared" si="15"/>
        <v>0</v>
      </c>
      <c r="BU10" s="16">
        <f t="shared" si="16"/>
        <v>4</v>
      </c>
      <c r="BV10" s="16">
        <f t="shared" si="17"/>
        <v>0</v>
      </c>
      <c r="BW10" s="8"/>
      <c r="BX10" s="23">
        <v>5</v>
      </c>
      <c r="BY10" s="16">
        <f t="shared" si="18"/>
        <v>0</v>
      </c>
      <c r="BZ10" s="16">
        <f t="shared" si="19"/>
        <v>0</v>
      </c>
      <c r="CA10" s="16">
        <f t="shared" si="20"/>
        <v>0</v>
      </c>
      <c r="CB10" s="16">
        <f t="shared" si="21"/>
        <v>3.4822022531844965</v>
      </c>
      <c r="CC10" s="19">
        <f t="shared" si="22"/>
        <v>0</v>
      </c>
    </row>
    <row r="11" spans="2:81" ht="15.75" x14ac:dyDescent="0.3">
      <c r="B11" s="41">
        <v>6</v>
      </c>
      <c r="C11" s="20">
        <v>14</v>
      </c>
      <c r="D11" s="8"/>
      <c r="E11" s="42">
        <v>6</v>
      </c>
      <c r="F11" s="24">
        <v>6</v>
      </c>
      <c r="G11" s="8"/>
      <c r="H11" s="42">
        <v>6</v>
      </c>
      <c r="I11" s="14">
        <v>8</v>
      </c>
      <c r="J11" s="8"/>
      <c r="K11" s="42">
        <v>6</v>
      </c>
      <c r="L11" s="14">
        <v>2</v>
      </c>
      <c r="M11" s="8"/>
      <c r="N11" s="42">
        <v>6</v>
      </c>
      <c r="O11" s="14">
        <v>0.4</v>
      </c>
      <c r="P11" s="8"/>
      <c r="Q11" s="42">
        <v>6</v>
      </c>
      <c r="R11" s="14">
        <v>1</v>
      </c>
      <c r="S11" s="8"/>
      <c r="T11" s="42">
        <v>6</v>
      </c>
      <c r="U11" s="20">
        <v>21</v>
      </c>
      <c r="V11" s="8"/>
      <c r="W11" s="8"/>
      <c r="X11" s="8"/>
      <c r="Y11" s="8"/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H11" s="22">
        <v>6</v>
      </c>
      <c r="AI11" s="16">
        <v>1</v>
      </c>
      <c r="AJ11" s="16">
        <v>0</v>
      </c>
      <c r="AK11" s="16">
        <v>0</v>
      </c>
      <c r="AL11" s="16">
        <v>0</v>
      </c>
      <c r="AM11" s="16">
        <v>0</v>
      </c>
      <c r="AN11" s="8"/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8"/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8"/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J11" s="22">
        <v>6</v>
      </c>
      <c r="BK11" s="16">
        <f t="shared" si="8"/>
        <v>1</v>
      </c>
      <c r="BL11" s="16">
        <f t="shared" si="9"/>
        <v>0</v>
      </c>
      <c r="BM11" s="16">
        <f t="shared" si="10"/>
        <v>0</v>
      </c>
      <c r="BN11" s="16">
        <f t="shared" si="11"/>
        <v>0</v>
      </c>
      <c r="BO11" s="16">
        <f t="shared" si="12"/>
        <v>0</v>
      </c>
      <c r="BP11" s="8"/>
      <c r="BQ11" s="23">
        <v>6</v>
      </c>
      <c r="BR11" s="16">
        <f t="shared" si="13"/>
        <v>1</v>
      </c>
      <c r="BS11" s="16">
        <f t="shared" si="14"/>
        <v>0</v>
      </c>
      <c r="BT11" s="16">
        <f t="shared" si="15"/>
        <v>0</v>
      </c>
      <c r="BU11" s="16">
        <f t="shared" si="16"/>
        <v>0</v>
      </c>
      <c r="BV11" s="16">
        <f t="shared" si="17"/>
        <v>0</v>
      </c>
      <c r="BW11" s="8"/>
      <c r="BX11" s="23">
        <v>6</v>
      </c>
      <c r="BY11" s="16">
        <f t="shared" si="18"/>
        <v>1</v>
      </c>
      <c r="BZ11" s="16">
        <f t="shared" si="19"/>
        <v>0</v>
      </c>
      <c r="CA11" s="16">
        <f t="shared" si="20"/>
        <v>0</v>
      </c>
      <c r="CB11" s="16">
        <f t="shared" si="21"/>
        <v>0</v>
      </c>
      <c r="CC11" s="19">
        <f t="shared" si="22"/>
        <v>0</v>
      </c>
    </row>
    <row r="12" spans="2:81" ht="15.75" x14ac:dyDescent="0.3">
      <c r="B12" s="41">
        <v>7</v>
      </c>
      <c r="C12" s="20">
        <v>14</v>
      </c>
      <c r="D12" s="8"/>
      <c r="E12" s="42">
        <v>7</v>
      </c>
      <c r="F12" s="24">
        <v>9</v>
      </c>
      <c r="G12" s="8"/>
      <c r="H12" s="42">
        <v>7</v>
      </c>
      <c r="I12" s="14">
        <v>6</v>
      </c>
      <c r="J12" s="8"/>
      <c r="K12" s="42">
        <v>7</v>
      </c>
      <c r="L12" s="14">
        <v>1</v>
      </c>
      <c r="M12" s="8"/>
      <c r="N12" s="42">
        <v>7</v>
      </c>
      <c r="O12" s="14">
        <v>0.5</v>
      </c>
      <c r="P12" s="8"/>
      <c r="Q12" s="42">
        <v>7</v>
      </c>
      <c r="R12" s="14">
        <v>1</v>
      </c>
      <c r="S12" s="8"/>
      <c r="T12" s="42">
        <v>7</v>
      </c>
      <c r="U12" s="20">
        <v>11</v>
      </c>
      <c r="V12" s="8"/>
      <c r="W12" s="8"/>
      <c r="X12" s="8"/>
      <c r="Y12" s="8"/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H12" s="22">
        <v>7</v>
      </c>
      <c r="AI12" s="16">
        <v>1</v>
      </c>
      <c r="AJ12" s="16">
        <v>0</v>
      </c>
      <c r="AK12" s="16">
        <v>0</v>
      </c>
      <c r="AL12" s="16">
        <v>0</v>
      </c>
      <c r="AM12" s="16">
        <v>0</v>
      </c>
      <c r="AN12" s="8"/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8"/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8"/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J12" s="22">
        <v>7</v>
      </c>
      <c r="BK12" s="16">
        <f t="shared" si="8"/>
        <v>1</v>
      </c>
      <c r="BL12" s="16">
        <f t="shared" si="9"/>
        <v>0</v>
      </c>
      <c r="BM12" s="16">
        <f t="shared" si="10"/>
        <v>0</v>
      </c>
      <c r="BN12" s="16">
        <f t="shared" si="11"/>
        <v>0</v>
      </c>
      <c r="BO12" s="16">
        <f t="shared" si="12"/>
        <v>0</v>
      </c>
      <c r="BP12" s="8"/>
      <c r="BQ12" s="23">
        <v>7</v>
      </c>
      <c r="BR12" s="16">
        <f t="shared" si="13"/>
        <v>1</v>
      </c>
      <c r="BS12" s="16">
        <f t="shared" si="14"/>
        <v>0</v>
      </c>
      <c r="BT12" s="16">
        <f t="shared" si="15"/>
        <v>0</v>
      </c>
      <c r="BU12" s="16">
        <f t="shared" si="16"/>
        <v>0</v>
      </c>
      <c r="BV12" s="16">
        <f t="shared" si="17"/>
        <v>0</v>
      </c>
      <c r="BW12" s="8"/>
      <c r="BX12" s="23">
        <v>7</v>
      </c>
      <c r="BY12" s="16">
        <f t="shared" si="18"/>
        <v>1</v>
      </c>
      <c r="BZ12" s="16">
        <f t="shared" si="19"/>
        <v>0</v>
      </c>
      <c r="CA12" s="16">
        <f t="shared" si="20"/>
        <v>0</v>
      </c>
      <c r="CB12" s="16">
        <f t="shared" si="21"/>
        <v>0</v>
      </c>
      <c r="CC12" s="19">
        <f t="shared" si="22"/>
        <v>0</v>
      </c>
    </row>
    <row r="13" spans="2:81" ht="15.75" x14ac:dyDescent="0.3">
      <c r="B13" s="41">
        <v>8</v>
      </c>
      <c r="C13" s="20">
        <v>6</v>
      </c>
      <c r="D13" s="8"/>
      <c r="E13" s="42">
        <v>8</v>
      </c>
      <c r="F13" s="24">
        <v>5</v>
      </c>
      <c r="G13" s="8"/>
      <c r="H13" s="42">
        <v>8</v>
      </c>
      <c r="I13" s="14">
        <v>9</v>
      </c>
      <c r="J13" s="8"/>
      <c r="K13" s="42">
        <v>8</v>
      </c>
      <c r="L13" s="14">
        <v>6</v>
      </c>
      <c r="M13" s="8"/>
      <c r="N13" s="42">
        <v>8</v>
      </c>
      <c r="O13" s="14">
        <v>0.3</v>
      </c>
      <c r="P13" s="8"/>
      <c r="Q13" s="42">
        <v>8</v>
      </c>
      <c r="R13" s="14">
        <v>1</v>
      </c>
      <c r="S13" s="8"/>
      <c r="T13" s="42">
        <v>8</v>
      </c>
      <c r="U13" s="20">
        <v>18</v>
      </c>
      <c r="V13" s="8"/>
      <c r="W13" s="8"/>
      <c r="X13" s="8"/>
      <c r="Y13" s="8"/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H13" s="22">
        <v>8</v>
      </c>
      <c r="AI13" s="16">
        <v>0</v>
      </c>
      <c r="AJ13" s="16">
        <v>1</v>
      </c>
      <c r="AK13" s="16">
        <v>0</v>
      </c>
      <c r="AL13" s="16">
        <v>0</v>
      </c>
      <c r="AM13" s="16">
        <v>0</v>
      </c>
      <c r="AN13" s="8"/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8"/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8"/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J13" s="22">
        <v>8</v>
      </c>
      <c r="BK13" s="16">
        <f t="shared" si="8"/>
        <v>0</v>
      </c>
      <c r="BL13" s="16">
        <f t="shared" si="9"/>
        <v>1</v>
      </c>
      <c r="BM13" s="16">
        <f t="shared" si="10"/>
        <v>0</v>
      </c>
      <c r="BN13" s="16">
        <f t="shared" si="11"/>
        <v>0</v>
      </c>
      <c r="BO13" s="16">
        <f t="shared" si="12"/>
        <v>0</v>
      </c>
      <c r="BP13" s="8"/>
      <c r="BQ13" s="23">
        <v>8</v>
      </c>
      <c r="BR13" s="16">
        <f t="shared" si="13"/>
        <v>0</v>
      </c>
      <c r="BS13" s="16">
        <f t="shared" si="14"/>
        <v>1</v>
      </c>
      <c r="BT13" s="16">
        <f t="shared" si="15"/>
        <v>0</v>
      </c>
      <c r="BU13" s="16">
        <f t="shared" si="16"/>
        <v>0</v>
      </c>
      <c r="BV13" s="16">
        <f t="shared" si="17"/>
        <v>0</v>
      </c>
      <c r="BW13" s="8"/>
      <c r="BX13" s="23">
        <v>8</v>
      </c>
      <c r="BY13" s="16">
        <f t="shared" si="18"/>
        <v>0</v>
      </c>
      <c r="BZ13" s="16">
        <f t="shared" si="19"/>
        <v>1</v>
      </c>
      <c r="CA13" s="16">
        <f t="shared" si="20"/>
        <v>0</v>
      </c>
      <c r="CB13" s="16">
        <f t="shared" si="21"/>
        <v>0</v>
      </c>
      <c r="CC13" s="19">
        <f t="shared" si="22"/>
        <v>0</v>
      </c>
    </row>
    <row r="14" spans="2:81" ht="15.75" x14ac:dyDescent="0.3">
      <c r="B14" s="41">
        <v>9</v>
      </c>
      <c r="C14" s="20">
        <v>5</v>
      </c>
      <c r="D14" s="8"/>
      <c r="E14" s="42">
        <v>9</v>
      </c>
      <c r="F14" s="24">
        <v>9</v>
      </c>
      <c r="G14" s="8"/>
      <c r="H14" s="42">
        <v>9</v>
      </c>
      <c r="I14" s="14">
        <v>9</v>
      </c>
      <c r="J14" s="8"/>
      <c r="K14" s="42">
        <v>9</v>
      </c>
      <c r="L14" s="14">
        <v>7</v>
      </c>
      <c r="M14" s="8"/>
      <c r="N14" s="42">
        <v>9</v>
      </c>
      <c r="O14" s="14">
        <v>0.8</v>
      </c>
      <c r="P14" s="8"/>
      <c r="Q14" s="42">
        <v>9</v>
      </c>
      <c r="R14" s="14">
        <v>2</v>
      </c>
      <c r="S14" s="8"/>
      <c r="T14" s="42">
        <v>9</v>
      </c>
      <c r="U14" s="20">
        <v>11</v>
      </c>
      <c r="V14" s="8"/>
      <c r="W14" s="8"/>
      <c r="X14" s="8"/>
      <c r="Y14" s="8"/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8"/>
      <c r="AO14" s="23">
        <v>9</v>
      </c>
      <c r="AP14" s="16">
        <v>0</v>
      </c>
      <c r="AQ14" s="16">
        <v>1</v>
      </c>
      <c r="AR14" s="16">
        <v>0</v>
      </c>
      <c r="AS14" s="16">
        <v>0</v>
      </c>
      <c r="AT14" s="16">
        <v>0</v>
      </c>
      <c r="AU14" s="8"/>
      <c r="AV14" s="23">
        <v>9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8"/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J14" s="22">
        <v>9</v>
      </c>
      <c r="BK14" s="16">
        <f t="shared" si="8"/>
        <v>0</v>
      </c>
      <c r="BL14" s="16">
        <f t="shared" si="9"/>
        <v>1</v>
      </c>
      <c r="BM14" s="16">
        <f t="shared" si="10"/>
        <v>0</v>
      </c>
      <c r="BN14" s="16">
        <f t="shared" si="11"/>
        <v>0</v>
      </c>
      <c r="BO14" s="16">
        <f t="shared" si="12"/>
        <v>0</v>
      </c>
      <c r="BP14" s="8"/>
      <c r="BQ14" s="23">
        <v>9</v>
      </c>
      <c r="BR14" s="16">
        <f t="shared" si="13"/>
        <v>0</v>
      </c>
      <c r="BS14" s="16">
        <f t="shared" si="14"/>
        <v>2</v>
      </c>
      <c r="BT14" s="16">
        <f t="shared" si="15"/>
        <v>0</v>
      </c>
      <c r="BU14" s="16">
        <f t="shared" si="16"/>
        <v>0</v>
      </c>
      <c r="BV14" s="16">
        <f t="shared" si="17"/>
        <v>0</v>
      </c>
      <c r="BW14" s="8"/>
      <c r="BX14" s="23">
        <v>9</v>
      </c>
      <c r="BY14" s="16">
        <f t="shared" si="18"/>
        <v>0</v>
      </c>
      <c r="BZ14" s="16">
        <f t="shared" si="19"/>
        <v>1.7411011265922482</v>
      </c>
      <c r="CA14" s="16">
        <f t="shared" si="20"/>
        <v>0</v>
      </c>
      <c r="CB14" s="16">
        <f t="shared" si="21"/>
        <v>0</v>
      </c>
      <c r="CC14" s="19">
        <f t="shared" si="22"/>
        <v>0</v>
      </c>
    </row>
    <row r="15" spans="2:81" ht="15.75" x14ac:dyDescent="0.3">
      <c r="B15" s="41">
        <v>10</v>
      </c>
      <c r="C15" s="20">
        <v>11</v>
      </c>
      <c r="D15" s="8"/>
      <c r="E15" s="42">
        <v>10</v>
      </c>
      <c r="F15" s="21">
        <v>10</v>
      </c>
      <c r="G15" s="8"/>
      <c r="H15" s="42">
        <v>10</v>
      </c>
      <c r="I15" s="14">
        <v>9</v>
      </c>
      <c r="J15" s="8"/>
      <c r="K15" s="42">
        <v>10</v>
      </c>
      <c r="L15" s="14">
        <v>3</v>
      </c>
      <c r="M15" s="8"/>
      <c r="N15" s="42">
        <v>10</v>
      </c>
      <c r="O15" s="14">
        <v>0.8</v>
      </c>
      <c r="P15" s="8"/>
      <c r="Q15" s="42">
        <v>10</v>
      </c>
      <c r="R15" s="14">
        <v>1</v>
      </c>
      <c r="S15" s="8"/>
      <c r="T15" s="42">
        <v>10</v>
      </c>
      <c r="U15" s="20">
        <v>11</v>
      </c>
      <c r="V15" s="8"/>
      <c r="W15" s="8"/>
      <c r="X15" s="8"/>
      <c r="Y15" s="8"/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8"/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8"/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  <c r="BB15" s="8"/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J15" s="22">
        <v>10</v>
      </c>
      <c r="BK15" s="16">
        <f t="shared" si="8"/>
        <v>0</v>
      </c>
      <c r="BL15" s="16">
        <f t="shared" si="9"/>
        <v>0</v>
      </c>
      <c r="BM15" s="16">
        <f t="shared" si="10"/>
        <v>0</v>
      </c>
      <c r="BN15" s="16">
        <f t="shared" si="11"/>
        <v>0</v>
      </c>
      <c r="BO15" s="16">
        <f t="shared" si="12"/>
        <v>1</v>
      </c>
      <c r="BP15" s="8"/>
      <c r="BQ15" s="23">
        <v>10</v>
      </c>
      <c r="BR15" s="16">
        <f t="shared" si="13"/>
        <v>0</v>
      </c>
      <c r="BS15" s="16">
        <f t="shared" si="14"/>
        <v>0</v>
      </c>
      <c r="BT15" s="16">
        <f t="shared" si="15"/>
        <v>0</v>
      </c>
      <c r="BU15" s="16">
        <f t="shared" si="16"/>
        <v>0</v>
      </c>
      <c r="BV15" s="16">
        <f t="shared" si="17"/>
        <v>3</v>
      </c>
      <c r="BW15" s="8"/>
      <c r="BX15" s="23">
        <v>10</v>
      </c>
      <c r="BY15" s="16">
        <f t="shared" si="18"/>
        <v>0</v>
      </c>
      <c r="BZ15" s="16">
        <f t="shared" si="19"/>
        <v>0</v>
      </c>
      <c r="CA15" s="16">
        <f t="shared" si="20"/>
        <v>0</v>
      </c>
      <c r="CB15" s="16">
        <f t="shared" si="21"/>
        <v>0</v>
      </c>
      <c r="CC15" s="19">
        <f t="shared" si="22"/>
        <v>2.4082246852806923</v>
      </c>
    </row>
    <row r="16" spans="2:81" ht="15.75" x14ac:dyDescent="0.3">
      <c r="B16" s="41">
        <v>11</v>
      </c>
      <c r="C16" s="20">
        <v>12</v>
      </c>
      <c r="D16" s="8"/>
      <c r="E16" s="42">
        <v>11</v>
      </c>
      <c r="F16" s="24">
        <v>7</v>
      </c>
      <c r="G16" s="8"/>
      <c r="H16" s="42">
        <v>11</v>
      </c>
      <c r="I16" s="14">
        <v>5</v>
      </c>
      <c r="J16" s="8"/>
      <c r="K16" s="42">
        <v>11</v>
      </c>
      <c r="L16" s="14">
        <v>4</v>
      </c>
      <c r="M16" s="8"/>
      <c r="N16" s="42">
        <v>11</v>
      </c>
      <c r="O16" s="14">
        <v>0.1</v>
      </c>
      <c r="P16" s="8"/>
      <c r="Q16" s="42">
        <v>11</v>
      </c>
      <c r="R16" s="14">
        <v>2</v>
      </c>
      <c r="S16" s="8"/>
      <c r="T16" s="42">
        <v>11</v>
      </c>
      <c r="U16" s="20">
        <v>17</v>
      </c>
      <c r="V16" s="8"/>
      <c r="W16" s="8"/>
      <c r="X16" s="8"/>
      <c r="Y16" s="8"/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1</v>
      </c>
      <c r="AN16" s="8"/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8"/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8"/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J16" s="22">
        <v>11</v>
      </c>
      <c r="BK16" s="16">
        <f t="shared" si="8"/>
        <v>0</v>
      </c>
      <c r="BL16" s="16">
        <f t="shared" si="9"/>
        <v>0</v>
      </c>
      <c r="BM16" s="16">
        <f t="shared" si="10"/>
        <v>0</v>
      </c>
      <c r="BN16" s="16">
        <f t="shared" si="11"/>
        <v>0</v>
      </c>
      <c r="BO16" s="16">
        <f t="shared" si="12"/>
        <v>1</v>
      </c>
      <c r="BP16" s="8"/>
      <c r="BQ16" s="23">
        <v>11</v>
      </c>
      <c r="BR16" s="16">
        <f t="shared" si="13"/>
        <v>0</v>
      </c>
      <c r="BS16" s="16">
        <f t="shared" si="14"/>
        <v>0</v>
      </c>
      <c r="BT16" s="16">
        <f t="shared" si="15"/>
        <v>0</v>
      </c>
      <c r="BU16" s="16">
        <f t="shared" si="16"/>
        <v>0</v>
      </c>
      <c r="BV16" s="16">
        <f t="shared" si="17"/>
        <v>1</v>
      </c>
      <c r="BW16" s="8"/>
      <c r="BX16" s="23">
        <v>11</v>
      </c>
      <c r="BY16" s="16">
        <f t="shared" si="18"/>
        <v>0</v>
      </c>
      <c r="BZ16" s="16">
        <f t="shared" si="19"/>
        <v>0</v>
      </c>
      <c r="CA16" s="16">
        <f t="shared" si="20"/>
        <v>0</v>
      </c>
      <c r="CB16" s="16">
        <f t="shared" si="21"/>
        <v>0</v>
      </c>
      <c r="CC16" s="19">
        <f t="shared" si="22"/>
        <v>1</v>
      </c>
    </row>
    <row r="17" spans="2:81" ht="15.75" x14ac:dyDescent="0.3">
      <c r="B17" s="41">
        <v>12</v>
      </c>
      <c r="C17" s="20">
        <v>8</v>
      </c>
      <c r="D17" s="8"/>
      <c r="E17" s="42">
        <v>12</v>
      </c>
      <c r="F17" s="24">
        <v>5</v>
      </c>
      <c r="G17" s="8"/>
      <c r="H17" s="42">
        <v>12</v>
      </c>
      <c r="I17" s="14">
        <v>6</v>
      </c>
      <c r="J17" s="8"/>
      <c r="K17" s="42">
        <v>12</v>
      </c>
      <c r="L17" s="14">
        <v>7</v>
      </c>
      <c r="M17" s="8"/>
      <c r="N17" s="42">
        <v>12</v>
      </c>
      <c r="O17" s="14">
        <v>0.8</v>
      </c>
      <c r="P17" s="8"/>
      <c r="Q17" s="42">
        <v>12</v>
      </c>
      <c r="R17" s="14">
        <v>2</v>
      </c>
      <c r="S17" s="8"/>
      <c r="T17" s="42">
        <v>12</v>
      </c>
      <c r="U17" s="20">
        <v>22</v>
      </c>
      <c r="V17" s="8"/>
      <c r="W17" s="8"/>
      <c r="X17" s="8"/>
      <c r="Y17" s="8"/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8"/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8"/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8"/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J17" s="22">
        <v>12</v>
      </c>
      <c r="BK17" s="16">
        <f t="shared" si="8"/>
        <v>0</v>
      </c>
      <c r="BL17" s="16">
        <f t="shared" si="9"/>
        <v>0</v>
      </c>
      <c r="BM17" s="16">
        <f t="shared" si="10"/>
        <v>0</v>
      </c>
      <c r="BN17" s="16">
        <f t="shared" si="11"/>
        <v>1</v>
      </c>
      <c r="BO17" s="16">
        <f t="shared" si="12"/>
        <v>0</v>
      </c>
      <c r="BP17" s="8"/>
      <c r="BQ17" s="23">
        <v>12</v>
      </c>
      <c r="BR17" s="16">
        <f t="shared" si="13"/>
        <v>0</v>
      </c>
      <c r="BS17" s="16">
        <f t="shared" si="14"/>
        <v>0</v>
      </c>
      <c r="BT17" s="16">
        <f t="shared" si="15"/>
        <v>0</v>
      </c>
      <c r="BU17" s="16">
        <f t="shared" si="16"/>
        <v>4</v>
      </c>
      <c r="BV17" s="16">
        <f t="shared" si="17"/>
        <v>0</v>
      </c>
      <c r="BW17" s="8"/>
      <c r="BX17" s="23">
        <v>12</v>
      </c>
      <c r="BY17" s="16">
        <f t="shared" si="18"/>
        <v>0</v>
      </c>
      <c r="BZ17" s="16">
        <f t="shared" si="19"/>
        <v>0</v>
      </c>
      <c r="CA17" s="16">
        <f t="shared" si="20"/>
        <v>0</v>
      </c>
      <c r="CB17" s="16">
        <f t="shared" si="21"/>
        <v>3.031433133020796</v>
      </c>
      <c r="CC17" s="19">
        <f t="shared" si="22"/>
        <v>0</v>
      </c>
    </row>
    <row r="18" spans="2:81" ht="15.75" x14ac:dyDescent="0.3">
      <c r="B18" s="41">
        <v>13</v>
      </c>
      <c r="C18" s="20">
        <v>11</v>
      </c>
      <c r="D18" s="8"/>
      <c r="E18" s="42">
        <v>13</v>
      </c>
      <c r="F18" s="24">
        <v>7</v>
      </c>
      <c r="G18" s="8"/>
      <c r="H18" s="42">
        <v>13</v>
      </c>
      <c r="I18" s="14">
        <v>6</v>
      </c>
      <c r="J18" s="8"/>
      <c r="K18" s="42">
        <v>13</v>
      </c>
      <c r="L18" s="14">
        <v>2</v>
      </c>
      <c r="M18" s="8"/>
      <c r="N18" s="42">
        <v>13</v>
      </c>
      <c r="O18" s="14">
        <v>0.1</v>
      </c>
      <c r="P18" s="8"/>
      <c r="Q18" s="42">
        <v>13</v>
      </c>
      <c r="R18" s="14">
        <v>1</v>
      </c>
      <c r="S18" s="8"/>
      <c r="T18" s="42">
        <v>13</v>
      </c>
      <c r="U18" s="20">
        <v>12</v>
      </c>
      <c r="V18" s="8"/>
      <c r="W18" s="8"/>
      <c r="X18" s="8"/>
      <c r="Y18" s="8"/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1</v>
      </c>
      <c r="AN18" s="8"/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8"/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8"/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J18" s="22">
        <v>13</v>
      </c>
      <c r="BK18" s="16">
        <f t="shared" si="8"/>
        <v>0</v>
      </c>
      <c r="BL18" s="16">
        <f t="shared" si="9"/>
        <v>0</v>
      </c>
      <c r="BM18" s="16">
        <f t="shared" si="10"/>
        <v>0</v>
      </c>
      <c r="BN18" s="16">
        <f t="shared" si="11"/>
        <v>0</v>
      </c>
      <c r="BO18" s="16">
        <f t="shared" si="12"/>
        <v>1</v>
      </c>
      <c r="BP18" s="8"/>
      <c r="BQ18" s="23">
        <v>13</v>
      </c>
      <c r="BR18" s="16">
        <f t="shared" si="13"/>
        <v>0</v>
      </c>
      <c r="BS18" s="16">
        <f t="shared" si="14"/>
        <v>0</v>
      </c>
      <c r="BT18" s="16">
        <f t="shared" si="15"/>
        <v>0</v>
      </c>
      <c r="BU18" s="16">
        <f t="shared" si="16"/>
        <v>0</v>
      </c>
      <c r="BV18" s="16">
        <f t="shared" si="17"/>
        <v>1</v>
      </c>
      <c r="BW18" s="8"/>
      <c r="BX18" s="23">
        <v>13</v>
      </c>
      <c r="BY18" s="16">
        <f t="shared" si="18"/>
        <v>0</v>
      </c>
      <c r="BZ18" s="16">
        <f t="shared" si="19"/>
        <v>0</v>
      </c>
      <c r="CA18" s="16">
        <f t="shared" si="20"/>
        <v>0</v>
      </c>
      <c r="CB18" s="16">
        <f t="shared" si="21"/>
        <v>0</v>
      </c>
      <c r="CC18" s="19">
        <f t="shared" si="22"/>
        <v>1</v>
      </c>
    </row>
    <row r="19" spans="2:81" ht="15.75" x14ac:dyDescent="0.3">
      <c r="B19" s="41">
        <v>14</v>
      </c>
      <c r="C19" s="20">
        <v>13</v>
      </c>
      <c r="D19" s="8"/>
      <c r="E19" s="42">
        <v>14</v>
      </c>
      <c r="F19" s="24">
        <v>8</v>
      </c>
      <c r="G19" s="8"/>
      <c r="H19" s="42">
        <v>14</v>
      </c>
      <c r="I19" s="14">
        <v>9</v>
      </c>
      <c r="J19" s="8"/>
      <c r="K19" s="42">
        <v>14</v>
      </c>
      <c r="L19" s="14">
        <v>9</v>
      </c>
      <c r="M19" s="8"/>
      <c r="N19" s="42">
        <v>14</v>
      </c>
      <c r="O19" s="14">
        <v>0.8</v>
      </c>
      <c r="P19" s="8"/>
      <c r="Q19" s="42">
        <v>14</v>
      </c>
      <c r="R19" s="14">
        <v>3</v>
      </c>
      <c r="S19" s="8"/>
      <c r="T19" s="42">
        <v>14</v>
      </c>
      <c r="U19" s="20">
        <v>12</v>
      </c>
      <c r="V19" s="8"/>
      <c r="W19" s="8"/>
      <c r="X19" s="8"/>
      <c r="Y19" s="8"/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8"/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8"/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8"/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J19" s="22">
        <v>14</v>
      </c>
      <c r="BK19" s="16">
        <f t="shared" si="8"/>
        <v>0</v>
      </c>
      <c r="BL19" s="16">
        <f t="shared" si="9"/>
        <v>0</v>
      </c>
      <c r="BM19" s="16">
        <f t="shared" si="10"/>
        <v>1</v>
      </c>
      <c r="BN19" s="16">
        <f t="shared" si="11"/>
        <v>0</v>
      </c>
      <c r="BO19" s="16">
        <f t="shared" si="12"/>
        <v>0</v>
      </c>
      <c r="BP19" s="8"/>
      <c r="BQ19" s="23">
        <v>14</v>
      </c>
      <c r="BR19" s="16">
        <f t="shared" si="13"/>
        <v>0</v>
      </c>
      <c r="BS19" s="16">
        <f t="shared" si="14"/>
        <v>0</v>
      </c>
      <c r="BT19" s="16">
        <f t="shared" si="15"/>
        <v>4</v>
      </c>
      <c r="BU19" s="16">
        <f t="shared" si="16"/>
        <v>0</v>
      </c>
      <c r="BV19" s="16">
        <f t="shared" si="17"/>
        <v>0</v>
      </c>
      <c r="BW19" s="8"/>
      <c r="BX19" s="23">
        <v>14</v>
      </c>
      <c r="BY19" s="16">
        <f t="shared" si="18"/>
        <v>0</v>
      </c>
      <c r="BZ19" s="16">
        <f t="shared" si="19"/>
        <v>0</v>
      </c>
      <c r="CA19" s="16">
        <f t="shared" si="20"/>
        <v>3.031433133020796</v>
      </c>
      <c r="CB19" s="16">
        <f t="shared" si="21"/>
        <v>0</v>
      </c>
      <c r="CC19" s="19">
        <f t="shared" si="22"/>
        <v>0</v>
      </c>
    </row>
    <row r="20" spans="2:81" ht="15.75" x14ac:dyDescent="0.3">
      <c r="B20" s="41">
        <v>15</v>
      </c>
      <c r="C20" s="20">
        <v>7</v>
      </c>
      <c r="D20" s="8"/>
      <c r="E20" s="42">
        <v>15</v>
      </c>
      <c r="F20" s="24">
        <v>9</v>
      </c>
      <c r="G20" s="8"/>
      <c r="H20" s="42">
        <v>15</v>
      </c>
      <c r="I20" s="14">
        <v>8</v>
      </c>
      <c r="J20" s="8"/>
      <c r="K20" s="42">
        <v>15</v>
      </c>
      <c r="L20" s="14">
        <v>11</v>
      </c>
      <c r="M20" s="8"/>
      <c r="N20" s="42">
        <v>15</v>
      </c>
      <c r="O20" s="14">
        <v>0.8</v>
      </c>
      <c r="P20" s="8"/>
      <c r="Q20" s="42">
        <v>15</v>
      </c>
      <c r="R20" s="14">
        <v>3</v>
      </c>
      <c r="S20" s="8"/>
      <c r="T20" s="42">
        <v>15</v>
      </c>
      <c r="U20" s="20">
        <v>19</v>
      </c>
      <c r="V20" s="8"/>
      <c r="W20" s="8"/>
      <c r="X20" s="8"/>
      <c r="Y20" s="8"/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8"/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8"/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8"/>
      <c r="BC20" s="23">
        <v>15</v>
      </c>
      <c r="BD20" s="16">
        <v>0</v>
      </c>
      <c r="BE20" s="16">
        <v>1</v>
      </c>
      <c r="BF20" s="16">
        <v>0</v>
      </c>
      <c r="BG20" s="16">
        <v>0</v>
      </c>
      <c r="BH20" s="19">
        <v>0</v>
      </c>
      <c r="BJ20" s="22">
        <v>15</v>
      </c>
      <c r="BK20" s="16">
        <f t="shared" si="8"/>
        <v>0</v>
      </c>
      <c r="BL20" s="16">
        <f t="shared" si="9"/>
        <v>1</v>
      </c>
      <c r="BM20" s="16">
        <f t="shared" si="10"/>
        <v>0</v>
      </c>
      <c r="BN20" s="16">
        <f t="shared" si="11"/>
        <v>0</v>
      </c>
      <c r="BO20" s="16">
        <f t="shared" si="12"/>
        <v>0</v>
      </c>
      <c r="BP20" s="8"/>
      <c r="BQ20" s="23">
        <v>15</v>
      </c>
      <c r="BR20" s="16">
        <f t="shared" si="13"/>
        <v>0</v>
      </c>
      <c r="BS20" s="16">
        <f t="shared" si="14"/>
        <v>4</v>
      </c>
      <c r="BT20" s="16">
        <f t="shared" si="15"/>
        <v>0</v>
      </c>
      <c r="BU20" s="16">
        <f t="shared" si="16"/>
        <v>0</v>
      </c>
      <c r="BV20" s="16">
        <f t="shared" si="17"/>
        <v>0</v>
      </c>
      <c r="BW20" s="8"/>
      <c r="BX20" s="23">
        <v>15</v>
      </c>
      <c r="BY20" s="16">
        <f t="shared" si="18"/>
        <v>0</v>
      </c>
      <c r="BZ20" s="16">
        <f t="shared" si="19"/>
        <v>3.031433133020796</v>
      </c>
      <c r="CA20" s="16">
        <f t="shared" si="20"/>
        <v>0</v>
      </c>
      <c r="CB20" s="16">
        <f t="shared" si="21"/>
        <v>0</v>
      </c>
      <c r="CC20" s="19">
        <f t="shared" si="22"/>
        <v>0</v>
      </c>
    </row>
    <row r="21" spans="2:81" ht="15.75" x14ac:dyDescent="0.3">
      <c r="B21" s="41">
        <v>16</v>
      </c>
      <c r="C21" s="20">
        <v>14</v>
      </c>
      <c r="D21" s="8"/>
      <c r="E21" s="42">
        <v>16</v>
      </c>
      <c r="F21" s="21">
        <v>23</v>
      </c>
      <c r="G21" s="8"/>
      <c r="H21" s="42">
        <v>16</v>
      </c>
      <c r="I21" s="14">
        <v>5</v>
      </c>
      <c r="J21" s="8"/>
      <c r="K21" s="42">
        <v>16</v>
      </c>
      <c r="L21" s="14">
        <v>2</v>
      </c>
      <c r="M21" s="8"/>
      <c r="N21" s="42">
        <v>16</v>
      </c>
      <c r="O21" s="14">
        <v>0.1</v>
      </c>
      <c r="P21" s="8"/>
      <c r="Q21" s="42">
        <v>16</v>
      </c>
      <c r="R21" s="14">
        <v>2</v>
      </c>
      <c r="S21" s="8"/>
      <c r="T21" s="42">
        <v>16</v>
      </c>
      <c r="U21" s="20">
        <v>16</v>
      </c>
      <c r="V21" s="8"/>
      <c r="W21" s="8"/>
      <c r="X21" s="8"/>
      <c r="Y21" s="8"/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8"/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8"/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8"/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J21" s="22">
        <v>16</v>
      </c>
      <c r="BK21" s="16">
        <f t="shared" si="8"/>
        <v>0</v>
      </c>
      <c r="BL21" s="16">
        <f t="shared" si="9"/>
        <v>0</v>
      </c>
      <c r="BM21" s="16">
        <f t="shared" si="10"/>
        <v>0</v>
      </c>
      <c r="BN21" s="16">
        <f t="shared" si="11"/>
        <v>0</v>
      </c>
      <c r="BO21" s="16">
        <f t="shared" si="12"/>
        <v>0</v>
      </c>
      <c r="BP21" s="8"/>
      <c r="BQ21" s="23">
        <v>16</v>
      </c>
      <c r="BR21" s="16">
        <f t="shared" si="13"/>
        <v>0</v>
      </c>
      <c r="BS21" s="16">
        <f t="shared" si="14"/>
        <v>0</v>
      </c>
      <c r="BT21" s="16">
        <f t="shared" si="15"/>
        <v>0</v>
      </c>
      <c r="BU21" s="16">
        <f t="shared" si="16"/>
        <v>0</v>
      </c>
      <c r="BV21" s="16">
        <f t="shared" si="17"/>
        <v>0</v>
      </c>
      <c r="BW21" s="8"/>
      <c r="BX21" s="23">
        <v>16</v>
      </c>
      <c r="BY21" s="16">
        <f t="shared" si="18"/>
        <v>0</v>
      </c>
      <c r="BZ21" s="16">
        <f t="shared" si="19"/>
        <v>0</v>
      </c>
      <c r="CA21" s="16">
        <f t="shared" si="20"/>
        <v>0</v>
      </c>
      <c r="CB21" s="16">
        <f t="shared" si="21"/>
        <v>0</v>
      </c>
      <c r="CC21" s="19">
        <f t="shared" si="22"/>
        <v>0</v>
      </c>
    </row>
    <row r="22" spans="2:81" ht="15.75" x14ac:dyDescent="0.3">
      <c r="B22" s="41">
        <v>17</v>
      </c>
      <c r="C22" s="20">
        <v>9</v>
      </c>
      <c r="D22" s="8"/>
      <c r="E22" s="42">
        <v>17</v>
      </c>
      <c r="F22" s="21">
        <v>25</v>
      </c>
      <c r="G22" s="8"/>
      <c r="H22" s="42">
        <v>17</v>
      </c>
      <c r="I22" s="14">
        <v>6</v>
      </c>
      <c r="J22" s="8"/>
      <c r="K22" s="42">
        <v>17</v>
      </c>
      <c r="L22" s="14">
        <v>9</v>
      </c>
      <c r="M22" s="8"/>
      <c r="N22" s="42">
        <v>17</v>
      </c>
      <c r="O22" s="14">
        <v>0.1</v>
      </c>
      <c r="P22" s="8"/>
      <c r="Q22" s="42">
        <v>17</v>
      </c>
      <c r="R22" s="14">
        <v>1</v>
      </c>
      <c r="S22" s="8"/>
      <c r="T22" s="42">
        <v>17</v>
      </c>
      <c r="U22" s="20">
        <v>10</v>
      </c>
      <c r="V22" s="8"/>
      <c r="W22" s="8"/>
      <c r="X22" s="8"/>
      <c r="Y22" s="8"/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8"/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8"/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8"/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J22" s="22">
        <v>17</v>
      </c>
      <c r="BK22" s="16">
        <f t="shared" si="8"/>
        <v>0</v>
      </c>
      <c r="BL22" s="16">
        <f t="shared" si="9"/>
        <v>0</v>
      </c>
      <c r="BM22" s="16">
        <f t="shared" si="10"/>
        <v>0</v>
      </c>
      <c r="BN22" s="16">
        <f t="shared" si="11"/>
        <v>0</v>
      </c>
      <c r="BO22" s="16">
        <f t="shared" si="12"/>
        <v>0</v>
      </c>
      <c r="BP22" s="8"/>
      <c r="BQ22" s="23">
        <v>17</v>
      </c>
      <c r="BR22" s="16">
        <f t="shared" si="13"/>
        <v>0</v>
      </c>
      <c r="BS22" s="16">
        <f t="shared" si="14"/>
        <v>0</v>
      </c>
      <c r="BT22" s="16">
        <f t="shared" si="15"/>
        <v>0</v>
      </c>
      <c r="BU22" s="16">
        <f t="shared" si="16"/>
        <v>0</v>
      </c>
      <c r="BV22" s="16">
        <f t="shared" si="17"/>
        <v>0</v>
      </c>
      <c r="BW22" s="8"/>
      <c r="BX22" s="23">
        <v>17</v>
      </c>
      <c r="BY22" s="16">
        <f t="shared" si="18"/>
        <v>0</v>
      </c>
      <c r="BZ22" s="16">
        <f t="shared" si="19"/>
        <v>0</v>
      </c>
      <c r="CA22" s="16">
        <f t="shared" si="20"/>
        <v>0</v>
      </c>
      <c r="CB22" s="16">
        <f t="shared" si="21"/>
        <v>0</v>
      </c>
      <c r="CC22" s="19">
        <f t="shared" si="22"/>
        <v>0</v>
      </c>
    </row>
    <row r="23" spans="2:81" ht="15.75" x14ac:dyDescent="0.3">
      <c r="B23" s="41">
        <v>18</v>
      </c>
      <c r="C23" s="20">
        <v>10</v>
      </c>
      <c r="D23" s="8"/>
      <c r="E23" s="42">
        <v>18</v>
      </c>
      <c r="F23" s="21">
        <v>17</v>
      </c>
      <c r="G23" s="8"/>
      <c r="H23" s="42">
        <v>18</v>
      </c>
      <c r="I23" s="14">
        <v>8</v>
      </c>
      <c r="J23" s="8"/>
      <c r="K23" s="42">
        <v>18</v>
      </c>
      <c r="L23" s="14">
        <v>1</v>
      </c>
      <c r="M23" s="8"/>
      <c r="N23" s="42">
        <v>18</v>
      </c>
      <c r="O23" s="14">
        <v>0.8</v>
      </c>
      <c r="P23" s="8"/>
      <c r="Q23" s="42">
        <v>18</v>
      </c>
      <c r="R23" s="14">
        <v>2</v>
      </c>
      <c r="S23" s="8"/>
      <c r="T23" s="42">
        <v>18</v>
      </c>
      <c r="U23" s="20">
        <v>16</v>
      </c>
      <c r="V23" s="8"/>
      <c r="W23" s="8"/>
      <c r="X23" s="8"/>
      <c r="Y23" s="8"/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8"/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8"/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8"/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J23" s="22">
        <v>18</v>
      </c>
      <c r="BK23" s="16">
        <f t="shared" si="8"/>
        <v>0</v>
      </c>
      <c r="BL23" s="16">
        <f t="shared" si="9"/>
        <v>0</v>
      </c>
      <c r="BM23" s="16">
        <f t="shared" si="10"/>
        <v>0</v>
      </c>
      <c r="BN23" s="16">
        <f t="shared" si="11"/>
        <v>0</v>
      </c>
      <c r="BO23" s="16">
        <f t="shared" si="12"/>
        <v>0</v>
      </c>
      <c r="BP23" s="8"/>
      <c r="BQ23" s="23">
        <v>18</v>
      </c>
      <c r="BR23" s="16">
        <f t="shared" si="13"/>
        <v>0</v>
      </c>
      <c r="BS23" s="16">
        <f t="shared" si="14"/>
        <v>0</v>
      </c>
      <c r="BT23" s="16">
        <f t="shared" si="15"/>
        <v>0</v>
      </c>
      <c r="BU23" s="16">
        <f t="shared" si="16"/>
        <v>0</v>
      </c>
      <c r="BV23" s="16">
        <f t="shared" si="17"/>
        <v>0</v>
      </c>
      <c r="BW23" s="8"/>
      <c r="BX23" s="23">
        <v>18</v>
      </c>
      <c r="BY23" s="16">
        <f t="shared" si="18"/>
        <v>0</v>
      </c>
      <c r="BZ23" s="16">
        <f t="shared" si="19"/>
        <v>0</v>
      </c>
      <c r="CA23" s="16">
        <f t="shared" si="20"/>
        <v>0</v>
      </c>
      <c r="CB23" s="16">
        <f t="shared" si="21"/>
        <v>0</v>
      </c>
      <c r="CC23" s="19">
        <f t="shared" si="22"/>
        <v>0</v>
      </c>
    </row>
    <row r="24" spans="2:81" ht="15.75" x14ac:dyDescent="0.3">
      <c r="B24" s="41">
        <v>19</v>
      </c>
      <c r="C24" s="20">
        <v>13</v>
      </c>
      <c r="D24" s="8"/>
      <c r="E24" s="42">
        <v>19</v>
      </c>
      <c r="F24" s="21">
        <v>15</v>
      </c>
      <c r="G24" s="8"/>
      <c r="H24" s="42">
        <v>19</v>
      </c>
      <c r="I24" s="14">
        <v>9</v>
      </c>
      <c r="J24" s="8"/>
      <c r="K24" s="42">
        <v>19</v>
      </c>
      <c r="L24" s="14">
        <v>4</v>
      </c>
      <c r="M24" s="8"/>
      <c r="N24" s="42">
        <v>19</v>
      </c>
      <c r="O24" s="14">
        <v>0.2</v>
      </c>
      <c r="P24" s="8"/>
      <c r="Q24" s="42">
        <v>19</v>
      </c>
      <c r="R24" s="14">
        <v>2</v>
      </c>
      <c r="S24" s="8"/>
      <c r="T24" s="42">
        <v>19</v>
      </c>
      <c r="U24" s="20">
        <v>20</v>
      </c>
      <c r="V24" s="8"/>
      <c r="W24" s="8"/>
      <c r="X24" s="8"/>
      <c r="Y24" s="8"/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H24" s="22">
        <v>19</v>
      </c>
      <c r="AI24" s="16">
        <v>1</v>
      </c>
      <c r="AJ24" s="16">
        <v>0</v>
      </c>
      <c r="AK24" s="16">
        <v>0</v>
      </c>
      <c r="AL24" s="16">
        <v>0</v>
      </c>
      <c r="AM24" s="16">
        <v>0</v>
      </c>
      <c r="AN24" s="8"/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8"/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8"/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J24" s="22">
        <v>19</v>
      </c>
      <c r="BK24" s="16">
        <f t="shared" si="8"/>
        <v>1</v>
      </c>
      <c r="BL24" s="16">
        <f t="shared" si="9"/>
        <v>0</v>
      </c>
      <c r="BM24" s="16">
        <f t="shared" si="10"/>
        <v>0</v>
      </c>
      <c r="BN24" s="16">
        <f t="shared" si="11"/>
        <v>0</v>
      </c>
      <c r="BO24" s="16">
        <f t="shared" si="12"/>
        <v>0</v>
      </c>
      <c r="BP24" s="8"/>
      <c r="BQ24" s="23">
        <v>19</v>
      </c>
      <c r="BR24" s="16">
        <f t="shared" si="13"/>
        <v>1</v>
      </c>
      <c r="BS24" s="16">
        <f t="shared" si="14"/>
        <v>0</v>
      </c>
      <c r="BT24" s="16">
        <f t="shared" si="15"/>
        <v>0</v>
      </c>
      <c r="BU24" s="16">
        <f t="shared" si="16"/>
        <v>0</v>
      </c>
      <c r="BV24" s="16">
        <f t="shared" si="17"/>
        <v>0</v>
      </c>
      <c r="BW24" s="8"/>
      <c r="BX24" s="23">
        <v>19</v>
      </c>
      <c r="BY24" s="16">
        <f t="shared" si="18"/>
        <v>1</v>
      </c>
      <c r="BZ24" s="16">
        <f t="shared" si="19"/>
        <v>0</v>
      </c>
      <c r="CA24" s="16">
        <f t="shared" si="20"/>
        <v>0</v>
      </c>
      <c r="CB24" s="16">
        <f t="shared" si="21"/>
        <v>0</v>
      </c>
      <c r="CC24" s="19">
        <f t="shared" si="22"/>
        <v>0</v>
      </c>
    </row>
    <row r="25" spans="2:81" ht="15.75" x14ac:dyDescent="0.3">
      <c r="B25" s="41">
        <v>20</v>
      </c>
      <c r="C25" s="20">
        <v>5</v>
      </c>
      <c r="D25" s="8"/>
      <c r="E25" s="42">
        <v>20</v>
      </c>
      <c r="F25" s="21">
        <v>23</v>
      </c>
      <c r="G25" s="8"/>
      <c r="H25" s="42">
        <v>20</v>
      </c>
      <c r="I25" s="14">
        <v>6</v>
      </c>
      <c r="J25" s="8"/>
      <c r="K25" s="42">
        <v>20</v>
      </c>
      <c r="L25" s="14">
        <v>2</v>
      </c>
      <c r="M25" s="8"/>
      <c r="N25" s="42">
        <v>20</v>
      </c>
      <c r="O25" s="14">
        <v>0.6</v>
      </c>
      <c r="P25" s="8"/>
      <c r="Q25" s="42">
        <v>20</v>
      </c>
      <c r="R25" s="14">
        <v>3</v>
      </c>
      <c r="S25" s="8"/>
      <c r="T25" s="42">
        <v>20</v>
      </c>
      <c r="U25" s="20">
        <v>19</v>
      </c>
      <c r="V25" s="8"/>
      <c r="W25" s="8"/>
      <c r="X25" s="8"/>
      <c r="Y25" s="8"/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8"/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8"/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8"/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J25" s="22">
        <v>20</v>
      </c>
      <c r="BK25" s="16">
        <f t="shared" si="8"/>
        <v>0</v>
      </c>
      <c r="BL25" s="16">
        <f t="shared" si="9"/>
        <v>0</v>
      </c>
      <c r="BM25" s="16">
        <f t="shared" si="10"/>
        <v>0</v>
      </c>
      <c r="BN25" s="16">
        <f t="shared" si="11"/>
        <v>0</v>
      </c>
      <c r="BO25" s="16">
        <f t="shared" si="12"/>
        <v>0</v>
      </c>
      <c r="BP25" s="8"/>
      <c r="BQ25" s="23">
        <v>20</v>
      </c>
      <c r="BR25" s="16">
        <f t="shared" si="13"/>
        <v>0</v>
      </c>
      <c r="BS25" s="16">
        <f t="shared" si="14"/>
        <v>0</v>
      </c>
      <c r="BT25" s="16">
        <f t="shared" si="15"/>
        <v>0</v>
      </c>
      <c r="BU25" s="16">
        <f t="shared" si="16"/>
        <v>0</v>
      </c>
      <c r="BV25" s="16">
        <f t="shared" si="17"/>
        <v>0</v>
      </c>
      <c r="BW25" s="8"/>
      <c r="BX25" s="23">
        <v>20</v>
      </c>
      <c r="BY25" s="16">
        <f t="shared" si="18"/>
        <v>0</v>
      </c>
      <c r="BZ25" s="16">
        <f t="shared" si="19"/>
        <v>0</v>
      </c>
      <c r="CA25" s="16">
        <f t="shared" si="20"/>
        <v>0</v>
      </c>
      <c r="CB25" s="16">
        <f t="shared" si="21"/>
        <v>0</v>
      </c>
      <c r="CC25" s="19">
        <f t="shared" si="22"/>
        <v>0</v>
      </c>
    </row>
    <row r="26" spans="2:81" ht="15.75" x14ac:dyDescent="0.3">
      <c r="B26" s="41">
        <v>21</v>
      </c>
      <c r="C26" s="20">
        <v>11</v>
      </c>
      <c r="D26" s="8"/>
      <c r="E26" s="42">
        <v>21</v>
      </c>
      <c r="F26" s="21">
        <v>19</v>
      </c>
      <c r="G26" s="8"/>
      <c r="H26" s="42">
        <v>21</v>
      </c>
      <c r="I26" s="14">
        <v>8</v>
      </c>
      <c r="J26" s="8"/>
      <c r="K26" s="42">
        <v>21</v>
      </c>
      <c r="L26" s="14">
        <v>6</v>
      </c>
      <c r="M26" s="8"/>
      <c r="N26" s="42">
        <v>21</v>
      </c>
      <c r="O26" s="14">
        <v>0.6</v>
      </c>
      <c r="P26" s="8"/>
      <c r="Q26" s="42">
        <v>21</v>
      </c>
      <c r="R26" s="14">
        <v>2</v>
      </c>
      <c r="S26" s="8"/>
      <c r="T26" s="42">
        <v>21</v>
      </c>
      <c r="U26" s="20">
        <v>24</v>
      </c>
      <c r="V26" s="8"/>
      <c r="W26" s="8"/>
      <c r="X26" s="8"/>
      <c r="Y26" s="8"/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1</v>
      </c>
      <c r="AM26" s="16">
        <v>0</v>
      </c>
      <c r="AN26" s="8"/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8"/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8"/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J26" s="22">
        <v>21</v>
      </c>
      <c r="BK26" s="16">
        <f t="shared" si="8"/>
        <v>0</v>
      </c>
      <c r="BL26" s="16">
        <f t="shared" si="9"/>
        <v>0</v>
      </c>
      <c r="BM26" s="16">
        <f t="shared" si="10"/>
        <v>0</v>
      </c>
      <c r="BN26" s="16">
        <f t="shared" si="11"/>
        <v>1</v>
      </c>
      <c r="BO26" s="16">
        <f t="shared" si="12"/>
        <v>0</v>
      </c>
      <c r="BP26" s="8"/>
      <c r="BQ26" s="23">
        <v>21</v>
      </c>
      <c r="BR26" s="16">
        <f t="shared" si="13"/>
        <v>0</v>
      </c>
      <c r="BS26" s="16">
        <f t="shared" si="14"/>
        <v>0</v>
      </c>
      <c r="BT26" s="16">
        <f t="shared" si="15"/>
        <v>0</v>
      </c>
      <c r="BU26" s="16">
        <f t="shared" si="16"/>
        <v>1</v>
      </c>
      <c r="BV26" s="16">
        <f t="shared" si="17"/>
        <v>0</v>
      </c>
      <c r="BW26" s="8"/>
      <c r="BX26" s="23">
        <v>21</v>
      </c>
      <c r="BY26" s="16">
        <f t="shared" si="18"/>
        <v>0</v>
      </c>
      <c r="BZ26" s="16">
        <f t="shared" si="19"/>
        <v>0</v>
      </c>
      <c r="CA26" s="16">
        <f t="shared" si="20"/>
        <v>0</v>
      </c>
      <c r="CB26" s="16">
        <f t="shared" si="21"/>
        <v>1</v>
      </c>
      <c r="CC26" s="19">
        <f t="shared" si="22"/>
        <v>0</v>
      </c>
    </row>
    <row r="27" spans="2:81" ht="15.75" x14ac:dyDescent="0.3">
      <c r="B27" s="41">
        <v>22</v>
      </c>
      <c r="C27" s="20">
        <v>11</v>
      </c>
      <c r="D27" s="8"/>
      <c r="E27" s="42">
        <v>22</v>
      </c>
      <c r="F27" s="21">
        <v>19</v>
      </c>
      <c r="G27" s="8"/>
      <c r="H27" s="42">
        <v>22</v>
      </c>
      <c r="I27" s="14">
        <v>9</v>
      </c>
      <c r="J27" s="8"/>
      <c r="K27" s="42">
        <v>22</v>
      </c>
      <c r="L27" s="14">
        <v>6</v>
      </c>
      <c r="M27" s="8"/>
      <c r="N27" s="42">
        <v>22</v>
      </c>
      <c r="O27" s="14">
        <v>0.4</v>
      </c>
      <c r="P27" s="8"/>
      <c r="Q27" s="42">
        <v>22</v>
      </c>
      <c r="R27" s="14">
        <v>1</v>
      </c>
      <c r="S27" s="8"/>
      <c r="T27" s="42">
        <v>22</v>
      </c>
      <c r="U27" s="20">
        <v>16</v>
      </c>
      <c r="V27" s="8"/>
      <c r="W27" s="8"/>
      <c r="X27" s="8"/>
      <c r="Y27" s="8"/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H27" s="22">
        <v>22</v>
      </c>
      <c r="AI27" s="16">
        <v>0</v>
      </c>
      <c r="AJ27" s="16">
        <v>0</v>
      </c>
      <c r="AK27" s="16">
        <v>0</v>
      </c>
      <c r="AL27" s="16">
        <v>1</v>
      </c>
      <c r="AM27" s="16">
        <v>0</v>
      </c>
      <c r="AN27" s="8"/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8"/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8"/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J27" s="22">
        <v>22</v>
      </c>
      <c r="BK27" s="16">
        <f t="shared" si="8"/>
        <v>0</v>
      </c>
      <c r="BL27" s="16">
        <f t="shared" si="9"/>
        <v>0</v>
      </c>
      <c r="BM27" s="16">
        <f t="shared" si="10"/>
        <v>0</v>
      </c>
      <c r="BN27" s="16">
        <f t="shared" si="11"/>
        <v>1</v>
      </c>
      <c r="BO27" s="16">
        <f t="shared" si="12"/>
        <v>0</v>
      </c>
      <c r="BP27" s="8"/>
      <c r="BQ27" s="23">
        <v>22</v>
      </c>
      <c r="BR27" s="16">
        <f t="shared" si="13"/>
        <v>0</v>
      </c>
      <c r="BS27" s="16">
        <f t="shared" si="14"/>
        <v>0</v>
      </c>
      <c r="BT27" s="16">
        <f t="shared" si="15"/>
        <v>0</v>
      </c>
      <c r="BU27" s="16">
        <f t="shared" si="16"/>
        <v>1</v>
      </c>
      <c r="BV27" s="16">
        <f t="shared" si="17"/>
        <v>0</v>
      </c>
      <c r="BW27" s="8"/>
      <c r="BX27" s="23">
        <v>22</v>
      </c>
      <c r="BY27" s="16">
        <f t="shared" si="18"/>
        <v>0</v>
      </c>
      <c r="BZ27" s="16">
        <f t="shared" si="19"/>
        <v>0</v>
      </c>
      <c r="CA27" s="16">
        <f t="shared" si="20"/>
        <v>0</v>
      </c>
      <c r="CB27" s="16">
        <f t="shared" si="21"/>
        <v>1</v>
      </c>
      <c r="CC27" s="19">
        <f t="shared" si="22"/>
        <v>0</v>
      </c>
    </row>
    <row r="28" spans="2:81" ht="15.75" x14ac:dyDescent="0.3">
      <c r="B28" s="41">
        <v>23</v>
      </c>
      <c r="C28" s="20">
        <v>7</v>
      </c>
      <c r="D28" s="8"/>
      <c r="E28" s="42">
        <v>23</v>
      </c>
      <c r="F28" s="21">
        <v>16</v>
      </c>
      <c r="G28" s="8"/>
      <c r="H28" s="42">
        <v>23</v>
      </c>
      <c r="I28" s="14">
        <v>7</v>
      </c>
      <c r="J28" s="8"/>
      <c r="K28" s="42">
        <v>23</v>
      </c>
      <c r="L28" s="14">
        <v>8</v>
      </c>
      <c r="M28" s="8"/>
      <c r="N28" s="42">
        <v>23</v>
      </c>
      <c r="O28" s="14">
        <v>0.5</v>
      </c>
      <c r="P28" s="8"/>
      <c r="Q28" s="42">
        <v>23</v>
      </c>
      <c r="R28" s="14">
        <v>2</v>
      </c>
      <c r="S28" s="8"/>
      <c r="T28" s="42">
        <v>23</v>
      </c>
      <c r="U28" s="20">
        <v>13</v>
      </c>
      <c r="V28" s="8"/>
      <c r="W28" s="8"/>
      <c r="X28" s="8"/>
      <c r="Y28" s="8"/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H28" s="22">
        <v>23</v>
      </c>
      <c r="AI28" s="16">
        <v>0</v>
      </c>
      <c r="AJ28" s="16">
        <v>0</v>
      </c>
      <c r="AK28" s="16">
        <v>0</v>
      </c>
      <c r="AL28" s="16">
        <v>0</v>
      </c>
      <c r="AM28" s="16">
        <v>1</v>
      </c>
      <c r="AN28" s="8"/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8"/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8"/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J28" s="22">
        <v>23</v>
      </c>
      <c r="BK28" s="16">
        <f t="shared" si="8"/>
        <v>0</v>
      </c>
      <c r="BL28" s="16">
        <f t="shared" si="9"/>
        <v>0</v>
      </c>
      <c r="BM28" s="16">
        <f t="shared" si="10"/>
        <v>0</v>
      </c>
      <c r="BN28" s="16">
        <f t="shared" si="11"/>
        <v>0</v>
      </c>
      <c r="BO28" s="16">
        <f t="shared" si="12"/>
        <v>1</v>
      </c>
      <c r="BP28" s="8"/>
      <c r="BQ28" s="23">
        <v>23</v>
      </c>
      <c r="BR28" s="16">
        <f t="shared" si="13"/>
        <v>0</v>
      </c>
      <c r="BS28" s="16">
        <f t="shared" si="14"/>
        <v>0</v>
      </c>
      <c r="BT28" s="16">
        <f t="shared" si="15"/>
        <v>0</v>
      </c>
      <c r="BU28" s="16">
        <f t="shared" si="16"/>
        <v>0</v>
      </c>
      <c r="BV28" s="16">
        <f t="shared" si="17"/>
        <v>1</v>
      </c>
      <c r="BW28" s="8"/>
      <c r="BX28" s="23">
        <v>23</v>
      </c>
      <c r="BY28" s="16">
        <f t="shared" si="18"/>
        <v>0</v>
      </c>
      <c r="BZ28" s="16">
        <f t="shared" si="19"/>
        <v>0</v>
      </c>
      <c r="CA28" s="16">
        <f t="shared" si="20"/>
        <v>0</v>
      </c>
      <c r="CB28" s="16">
        <f t="shared" si="21"/>
        <v>0</v>
      </c>
      <c r="CC28" s="19">
        <f t="shared" si="22"/>
        <v>1</v>
      </c>
    </row>
    <row r="29" spans="2:81" ht="15.75" x14ac:dyDescent="0.3">
      <c r="B29" s="41">
        <v>24</v>
      </c>
      <c r="C29" s="20">
        <v>10</v>
      </c>
      <c r="D29" s="8"/>
      <c r="E29" s="42">
        <v>24</v>
      </c>
      <c r="F29" s="21">
        <v>14</v>
      </c>
      <c r="G29" s="8"/>
      <c r="H29" s="42">
        <v>24</v>
      </c>
      <c r="I29" s="14">
        <v>5</v>
      </c>
      <c r="J29" s="8"/>
      <c r="K29" s="42">
        <v>24</v>
      </c>
      <c r="L29" s="14">
        <v>2</v>
      </c>
      <c r="M29" s="8"/>
      <c r="N29" s="42">
        <v>24</v>
      </c>
      <c r="O29" s="14">
        <v>0.8</v>
      </c>
      <c r="P29" s="8"/>
      <c r="Q29" s="42">
        <v>24</v>
      </c>
      <c r="R29" s="14">
        <v>1</v>
      </c>
      <c r="S29" s="8"/>
      <c r="T29" s="42">
        <v>24</v>
      </c>
      <c r="U29" s="20">
        <v>16</v>
      </c>
      <c r="V29" s="8"/>
      <c r="W29" s="8"/>
      <c r="X29" s="8"/>
      <c r="Y29" s="8"/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8"/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1</v>
      </c>
      <c r="AU29" s="8"/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8"/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J29" s="22">
        <v>24</v>
      </c>
      <c r="BK29" s="16">
        <f t="shared" si="8"/>
        <v>0</v>
      </c>
      <c r="BL29" s="16">
        <f t="shared" si="9"/>
        <v>0</v>
      </c>
      <c r="BM29" s="16">
        <f t="shared" si="10"/>
        <v>0</v>
      </c>
      <c r="BN29" s="16">
        <f t="shared" si="11"/>
        <v>0</v>
      </c>
      <c r="BO29" s="16">
        <f t="shared" si="12"/>
        <v>1</v>
      </c>
      <c r="BP29" s="8"/>
      <c r="BQ29" s="23">
        <v>24</v>
      </c>
      <c r="BR29" s="16">
        <f t="shared" si="13"/>
        <v>0</v>
      </c>
      <c r="BS29" s="16">
        <f t="shared" si="14"/>
        <v>0</v>
      </c>
      <c r="BT29" s="16">
        <f t="shared" si="15"/>
        <v>0</v>
      </c>
      <c r="BU29" s="16">
        <f t="shared" si="16"/>
        <v>0</v>
      </c>
      <c r="BV29" s="16">
        <f t="shared" si="17"/>
        <v>2</v>
      </c>
      <c r="BW29" s="8"/>
      <c r="BX29" s="23">
        <v>24</v>
      </c>
      <c r="BY29" s="16">
        <f t="shared" si="18"/>
        <v>0</v>
      </c>
      <c r="BZ29" s="16">
        <f t="shared" si="19"/>
        <v>0</v>
      </c>
      <c r="CA29" s="16">
        <f t="shared" si="20"/>
        <v>0</v>
      </c>
      <c r="CB29" s="16">
        <f t="shared" si="21"/>
        <v>0</v>
      </c>
      <c r="CC29" s="19">
        <f t="shared" si="22"/>
        <v>1.7411011265922482</v>
      </c>
    </row>
    <row r="30" spans="2:81" ht="15.75" x14ac:dyDescent="0.3">
      <c r="B30" s="41">
        <v>25</v>
      </c>
      <c r="C30" s="20">
        <v>13</v>
      </c>
      <c r="D30" s="8"/>
      <c r="E30" s="42">
        <v>25</v>
      </c>
      <c r="F30" s="21">
        <v>16</v>
      </c>
      <c r="G30" s="8"/>
      <c r="H30" s="42">
        <v>25</v>
      </c>
      <c r="I30" s="14">
        <v>10</v>
      </c>
      <c r="J30" s="8"/>
      <c r="K30" s="42">
        <v>25</v>
      </c>
      <c r="L30" s="14">
        <v>4</v>
      </c>
      <c r="M30" s="8"/>
      <c r="N30" s="42">
        <v>25</v>
      </c>
      <c r="O30" s="14">
        <v>0.9</v>
      </c>
      <c r="P30" s="8"/>
      <c r="Q30" s="42">
        <v>25</v>
      </c>
      <c r="R30" s="14">
        <v>2</v>
      </c>
      <c r="S30" s="8"/>
      <c r="T30" s="42">
        <v>25</v>
      </c>
      <c r="U30" s="20">
        <v>14</v>
      </c>
      <c r="V30" s="8"/>
      <c r="W30" s="8"/>
      <c r="X30" s="8"/>
      <c r="Y30" s="8"/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8"/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8"/>
      <c r="AV30" s="23">
        <v>25</v>
      </c>
      <c r="AW30" s="16">
        <v>0</v>
      </c>
      <c r="AX30" s="16">
        <v>0</v>
      </c>
      <c r="AY30" s="16">
        <v>1</v>
      </c>
      <c r="AZ30" s="16">
        <v>0</v>
      </c>
      <c r="BA30" s="16">
        <v>0</v>
      </c>
      <c r="BB30" s="8"/>
      <c r="BC30" s="23">
        <v>25</v>
      </c>
      <c r="BD30" s="16">
        <v>0</v>
      </c>
      <c r="BE30" s="16">
        <v>0</v>
      </c>
      <c r="BF30" s="16">
        <v>0</v>
      </c>
      <c r="BG30" s="16">
        <v>0</v>
      </c>
      <c r="BH30" s="19">
        <v>0</v>
      </c>
      <c r="BJ30" s="22">
        <v>25</v>
      </c>
      <c r="BK30" s="16">
        <f t="shared" si="8"/>
        <v>0</v>
      </c>
      <c r="BL30" s="16">
        <f t="shared" si="9"/>
        <v>0</v>
      </c>
      <c r="BM30" s="16">
        <f t="shared" si="10"/>
        <v>1</v>
      </c>
      <c r="BN30" s="16">
        <f t="shared" si="11"/>
        <v>0</v>
      </c>
      <c r="BO30" s="16">
        <f t="shared" si="12"/>
        <v>0</v>
      </c>
      <c r="BP30" s="8"/>
      <c r="BQ30" s="23">
        <v>25</v>
      </c>
      <c r="BR30" s="16">
        <f t="shared" si="13"/>
        <v>0</v>
      </c>
      <c r="BS30" s="16">
        <f t="shared" si="14"/>
        <v>0</v>
      </c>
      <c r="BT30" s="16">
        <f t="shared" si="15"/>
        <v>3</v>
      </c>
      <c r="BU30" s="16">
        <f t="shared" si="16"/>
        <v>0</v>
      </c>
      <c r="BV30" s="16">
        <f t="shared" si="17"/>
        <v>0</v>
      </c>
      <c r="BW30" s="8"/>
      <c r="BX30" s="23">
        <v>25</v>
      </c>
      <c r="BY30" s="16">
        <f t="shared" si="18"/>
        <v>0</v>
      </c>
      <c r="BZ30" s="16">
        <f t="shared" si="19"/>
        <v>0</v>
      </c>
      <c r="CA30" s="16">
        <f t="shared" si="20"/>
        <v>2.6878753795222869</v>
      </c>
      <c r="CB30" s="16">
        <f t="shared" si="21"/>
        <v>0</v>
      </c>
      <c r="CC30" s="19">
        <f t="shared" si="22"/>
        <v>0</v>
      </c>
    </row>
    <row r="31" spans="2:81" ht="15.75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H31" s="7" t="s">
        <v>33</v>
      </c>
      <c r="AI31" s="8">
        <v>1</v>
      </c>
      <c r="AJ31" s="8"/>
      <c r="AK31" s="8"/>
      <c r="AL31" s="8"/>
      <c r="AM31" s="8"/>
      <c r="AN31" s="8"/>
      <c r="AO31" s="8" t="s">
        <v>33</v>
      </c>
      <c r="AP31" s="8">
        <v>2</v>
      </c>
      <c r="AQ31" s="8"/>
      <c r="AR31" s="8"/>
      <c r="AS31" s="8"/>
      <c r="AT31" s="8"/>
      <c r="AU31" s="8"/>
      <c r="AV31" s="8" t="s">
        <v>33</v>
      </c>
      <c r="AW31" s="8">
        <v>3</v>
      </c>
      <c r="AX31" s="8"/>
      <c r="AY31" s="8"/>
      <c r="AZ31" s="8"/>
      <c r="BA31" s="8"/>
      <c r="BB31" s="8"/>
      <c r="BC31" s="8" t="s">
        <v>33</v>
      </c>
      <c r="BD31" s="8">
        <v>4</v>
      </c>
      <c r="BE31" s="8"/>
      <c r="BF31" s="8"/>
      <c r="BG31" s="8"/>
      <c r="BH31" s="9"/>
      <c r="BJ31" s="7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57"/>
      <c r="BW31" s="8"/>
      <c r="BX31" s="8"/>
      <c r="BY31" s="8"/>
      <c r="BZ31" s="8"/>
      <c r="CA31" s="8"/>
      <c r="CB31" s="8"/>
      <c r="CC31" s="9"/>
    </row>
    <row r="32" spans="2:81" x14ac:dyDescent="0.3">
      <c r="B32" s="7"/>
      <c r="C32" s="11" t="s">
        <v>16</v>
      </c>
      <c r="D32" s="11"/>
      <c r="E32" s="8"/>
      <c r="F32" s="11" t="s">
        <v>17</v>
      </c>
      <c r="G32" s="11"/>
      <c r="H32" s="8"/>
      <c r="I32" s="11" t="s">
        <v>18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H32" s="7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9"/>
      <c r="BJ32" s="7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9"/>
    </row>
    <row r="33" spans="2:81" ht="16.350000000000001" thickBot="1" x14ac:dyDescent="0.35">
      <c r="B33" s="41">
        <v>1</v>
      </c>
      <c r="C33" s="28">
        <v>50</v>
      </c>
      <c r="D33" s="11"/>
      <c r="E33" s="42">
        <v>1</v>
      </c>
      <c r="F33" s="28">
        <v>34</v>
      </c>
      <c r="G33" s="43"/>
      <c r="H33" s="42">
        <v>1</v>
      </c>
      <c r="I33" s="28">
        <v>0.25</v>
      </c>
      <c r="J33" s="29"/>
      <c r="K33" s="30"/>
      <c r="L33" s="2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ht="15.75" x14ac:dyDescent="0.3">
      <c r="B34" s="41">
        <v>2</v>
      </c>
      <c r="C34" s="28">
        <v>65</v>
      </c>
      <c r="D34" s="11"/>
      <c r="E34" s="42">
        <v>2</v>
      </c>
      <c r="F34" s="28">
        <v>30</v>
      </c>
      <c r="G34" s="43"/>
      <c r="H34" s="42">
        <v>2</v>
      </c>
      <c r="I34" s="28">
        <v>0.6</v>
      </c>
      <c r="J34" s="8"/>
      <c r="K34" s="31"/>
      <c r="L34" s="3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" t="s">
        <v>27</v>
      </c>
      <c r="AB34" s="8"/>
      <c r="AC34" s="8"/>
      <c r="AD34" s="8"/>
      <c r="AE34" s="8"/>
      <c r="AF34" s="9"/>
      <c r="AI34" s="1" t="s">
        <v>27</v>
      </c>
      <c r="AP34" s="1" t="s">
        <v>27</v>
      </c>
      <c r="AW34" s="1" t="s">
        <v>27</v>
      </c>
      <c r="BD34" s="1" t="s">
        <v>27</v>
      </c>
      <c r="BK34" s="1" t="s">
        <v>27</v>
      </c>
      <c r="BR34" s="1" t="s">
        <v>27</v>
      </c>
    </row>
    <row r="35" spans="2:81" ht="15.75" x14ac:dyDescent="0.3">
      <c r="B35" s="41">
        <v>3</v>
      </c>
      <c r="C35" s="28">
        <v>80</v>
      </c>
      <c r="D35" s="11"/>
      <c r="E35" s="42">
        <v>3</v>
      </c>
      <c r="F35" s="8">
        <v>26</v>
      </c>
      <c r="G35" s="43"/>
      <c r="H35" s="42">
        <v>3</v>
      </c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>
        <f>COLUMN()</f>
        <v>27</v>
      </c>
      <c r="AB35" s="8"/>
      <c r="AC35" s="8"/>
      <c r="AD35" s="8"/>
      <c r="AE35" s="8"/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ht="15.75" x14ac:dyDescent="0.3">
      <c r="B36" s="41">
        <v>4</v>
      </c>
      <c r="C36" s="28">
        <v>95</v>
      </c>
      <c r="D36" s="11"/>
      <c r="E36" s="42">
        <v>4</v>
      </c>
      <c r="F36" s="8">
        <v>27</v>
      </c>
      <c r="G36" s="43"/>
      <c r="H36" s="42">
        <v>4</v>
      </c>
      <c r="I36" s="8">
        <v>0.6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</row>
    <row r="37" spans="2:81" ht="15.75" x14ac:dyDescent="0.3">
      <c r="B37" s="41">
        <v>5</v>
      </c>
      <c r="C37" s="28">
        <v>110</v>
      </c>
      <c r="D37" s="11"/>
      <c r="E37" s="42">
        <v>5</v>
      </c>
      <c r="F37" s="8">
        <v>29</v>
      </c>
      <c r="G37" s="43"/>
      <c r="H37" s="42">
        <v>5</v>
      </c>
      <c r="I37" s="8">
        <v>0.25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</row>
    <row r="38" spans="2:81" ht="15.75" x14ac:dyDescent="0.3">
      <c r="B38" s="32"/>
      <c r="C38" s="2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9"/>
    </row>
    <row r="39" spans="2:81" ht="15.75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</row>
    <row r="40" spans="2:81" ht="15.75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9"/>
    </row>
    <row r="41" spans="2:81" ht="15.75" x14ac:dyDescent="0.3">
      <c r="B41" s="10" t="s">
        <v>19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9"/>
    </row>
    <row r="42" spans="2:81" ht="15.75" x14ac:dyDescent="0.3">
      <c r="B42" s="7">
        <v>2</v>
      </c>
      <c r="C42" s="8">
        <v>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</row>
    <row r="43" spans="2:81" ht="15.75" x14ac:dyDescent="0.3">
      <c r="B43" s="7">
        <v>16</v>
      </c>
      <c r="C43" s="8">
        <v>20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9"/>
    </row>
    <row r="44" spans="2:81" ht="15.75" x14ac:dyDescent="0.3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9"/>
    </row>
    <row r="45" spans="2:81" ht="15.75" x14ac:dyDescent="0.3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</row>
    <row r="46" spans="2:81" ht="15.75" x14ac:dyDescent="0.3">
      <c r="B46" s="10" t="s">
        <v>20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9"/>
    </row>
    <row r="47" spans="2:81" ht="15.75" x14ac:dyDescent="0.3">
      <c r="B47" s="7">
        <v>1</v>
      </c>
      <c r="C47" s="8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9"/>
    </row>
    <row r="48" spans="2:81" ht="15.75" x14ac:dyDescent="0.3">
      <c r="B48" s="7">
        <v>3</v>
      </c>
      <c r="C48" s="8">
        <v>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9"/>
      <c r="AH48" s="8" t="s">
        <v>23</v>
      </c>
    </row>
    <row r="49" spans="1:91" ht="15.75" x14ac:dyDescent="0.3">
      <c r="B49" s="7">
        <v>9</v>
      </c>
      <c r="C49" s="8">
        <v>15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9"/>
      <c r="AH49" s="1">
        <f ca="1">SUM(INDIRECT(ADDRESS(6,26+ROWS($A$1:A1))):INDIRECT(ADDRESS(30,26+ROWS($A$1:A1))))</f>
        <v>103</v>
      </c>
    </row>
    <row r="50" spans="1:91" ht="16.350000000000001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  <c r="AH50" s="1">
        <f ca="1">SUM(INDIRECT(ADDRESS(6,26+ROWS($A$1:A2))):INDIRECT(ADDRESS(30,26+ROWS($A$1:A2))))</f>
        <v>99</v>
      </c>
    </row>
    <row r="51" spans="1:91" ht="16.350000000000001" thickBot="1" x14ac:dyDescent="0.35">
      <c r="AH51" s="1">
        <f ca="1">SUM(INDIRECT(ADDRESS(6,26+ROWS($A$1:A3))):INDIRECT(ADDRESS(30,26+ROWS($A$1:A3))))</f>
        <v>78</v>
      </c>
    </row>
    <row r="52" spans="1:91" ht="15.75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  <c r="AH52" s="1">
        <f ca="1">SUM(INDIRECT(ADDRESS(6,26+ROWS($A$1:A4))):INDIRECT(ADDRESS(30,26+ROWS($A$1:A4))))</f>
        <v>85</v>
      </c>
    </row>
    <row r="53" spans="1:91" ht="15.75" x14ac:dyDescent="0.3">
      <c r="B53" s="7"/>
      <c r="C53" s="8"/>
      <c r="D53" s="8"/>
      <c r="E53" s="8"/>
      <c r="F53" s="9"/>
      <c r="H53" s="10" t="s">
        <v>2</v>
      </c>
      <c r="I53" s="11"/>
      <c r="J53" s="34"/>
      <c r="AH53" s="1">
        <f ca="1">SUM(INDIRECT(ADDRESS(6,26+ROWS($A$1:A5))):INDIRECT(ADDRESS(30,26+ROWS($A$1:A5))))</f>
        <v>88</v>
      </c>
    </row>
    <row r="54" spans="1:91" ht="15.75" x14ac:dyDescent="0.3">
      <c r="B54" s="7"/>
      <c r="C54" s="8"/>
      <c r="D54" s="8"/>
      <c r="E54" s="8"/>
      <c r="F54" s="9"/>
      <c r="H54" s="10" t="s">
        <v>1</v>
      </c>
      <c r="I54" s="11"/>
      <c r="J54" s="34"/>
    </row>
    <row r="55" spans="1:91" ht="16.350000000000001" thickBot="1" x14ac:dyDescent="0.35">
      <c r="B55" s="25" cm="1">
        <f t="array" ref="B55">SUMPRODUCT(MMULT(BY6:CC30*C6:C30*L6:L30*POWER(F6:F30,O6:O30),I33:I37))</f>
        <v>6737.7151160257772</v>
      </c>
      <c r="C55" s="26"/>
      <c r="D55" s="26"/>
      <c r="E55" s="26"/>
      <c r="F55" s="27"/>
      <c r="H55" s="25" t="s">
        <v>1161</v>
      </c>
      <c r="I55" s="26"/>
      <c r="J55" s="27"/>
    </row>
    <row r="56" spans="1:91" ht="16.350000000000001" thickBot="1" x14ac:dyDescent="0.35"/>
    <row r="57" spans="1:91" ht="15.75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</row>
    <row r="58" spans="1:91" ht="15.75" x14ac:dyDescent="0.3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9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</row>
    <row r="59" spans="1:91" ht="15.75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</row>
    <row r="60" spans="1:91" ht="15.75" x14ac:dyDescent="0.3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9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</row>
    <row r="61" spans="1:91" ht="15.75" x14ac:dyDescent="0.3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</row>
    <row r="62" spans="1:91" ht="15.75" x14ac:dyDescent="0.3">
      <c r="A62" s="8"/>
      <c r="B62" s="7" t="s">
        <v>22</v>
      </c>
      <c r="C62" s="8"/>
      <c r="D62" s="8"/>
      <c r="E62" s="8"/>
      <c r="F62" s="8"/>
      <c r="G62" s="8" t="s">
        <v>34</v>
      </c>
      <c r="H62" s="8"/>
      <c r="I62" s="8"/>
      <c r="J62" s="8"/>
      <c r="K62" s="8"/>
      <c r="L62" s="8" t="s">
        <v>24</v>
      </c>
      <c r="M62" s="8"/>
      <c r="N62" s="8"/>
      <c r="O62" s="8"/>
      <c r="P62" s="8"/>
      <c r="Q62" s="8" t="s">
        <v>37</v>
      </c>
      <c r="R62" s="8"/>
      <c r="S62" s="8"/>
      <c r="T62" s="8"/>
      <c r="U62" s="8"/>
      <c r="V62" s="8" t="s">
        <v>38</v>
      </c>
      <c r="W62" s="8"/>
      <c r="X62" s="8"/>
      <c r="Y62" s="8"/>
      <c r="Z62" s="8"/>
      <c r="AA62" s="8" t="s">
        <v>39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9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</row>
    <row r="63" spans="1:91" ht="15.75" x14ac:dyDescent="0.3">
      <c r="A63" s="8"/>
      <c r="B63" s="7"/>
      <c r="C63" s="8">
        <f>SUM(AI6:AM6,AP6:AT6,AW6:BA6,BD6:BH6)</f>
        <v>1</v>
      </c>
      <c r="D63" s="8" t="s">
        <v>21</v>
      </c>
      <c r="E63" s="8">
        <v>1</v>
      </c>
      <c r="F63" s="8"/>
      <c r="G63" s="8"/>
      <c r="H63" s="8" cm="1">
        <f t="array" ref="H63">SUM(AA6:AE6*BR6:BV6-R6*BK6:BO6)</f>
        <v>6</v>
      </c>
      <c r="I63" s="8" t="s">
        <v>25</v>
      </c>
      <c r="J63" s="8">
        <v>0</v>
      </c>
      <c r="K63" s="8"/>
      <c r="L63" s="8"/>
      <c r="M63" s="8" cm="1">
        <f t="array" ref="M63">SUM(AA6:AE6*BR6:BV6-U6*BK6:BO6)</f>
        <v>-7</v>
      </c>
      <c r="N63" s="8" t="s">
        <v>21</v>
      </c>
      <c r="O63" s="8">
        <v>0</v>
      </c>
      <c r="P63" s="8"/>
      <c r="Q63" s="8"/>
      <c r="R63" s="8" cm="1">
        <f t="array" aca="1" ref="R63" ca="1">-C33+SUM(INDIRECT(ADDRESS(6,69+ROWS($A$1:A1))):INDIRECT(ADDRESS(30,69+ROWS($A$1:A1)))*$F$6:$F$30)</f>
        <v>0</v>
      </c>
      <c r="S63" s="8" t="s">
        <v>21</v>
      </c>
      <c r="T63" s="8">
        <v>0</v>
      </c>
      <c r="U63" s="8"/>
      <c r="V63" s="8"/>
      <c r="W63" s="8">
        <f ca="1">SUM(INDIRECT(ADDRESS(5+B47,63)):INDIRECT(ADDRESS(5+B47,67)))-SUM(INDIRECT(ADDRESS(5+C47,63)):INDIRECT(ADDRESS(5+C47,67)))</f>
        <v>0</v>
      </c>
      <c r="X63" s="8" t="s">
        <v>26</v>
      </c>
      <c r="Y63" s="8">
        <v>0</v>
      </c>
      <c r="Z63" s="8"/>
      <c r="AA63" s="8"/>
      <c r="AB63" s="8" cm="1">
        <f t="array" aca="1" ref="AB63" ca="1">INDIRECT(ADDRESS(5+$B42,62+COLUMNS($A1:A1)))+INDIRECT(ADDRESS(5+$C42,62+COLUMNS($A1:A1)))</f>
        <v>0</v>
      </c>
      <c r="AC63" s="8" cm="1">
        <f t="array" aca="1" ref="AC63" ca="1">INDIRECT(ADDRESS(5+$B42,62+COLUMNS($A1:B1)))+INDIRECT(ADDRESS(5+$C42,62+COLUMNS($A1:B1)))</f>
        <v>0</v>
      </c>
      <c r="AD63" s="8" cm="1">
        <f t="array" aca="1" ref="AD63" ca="1">INDIRECT(ADDRESS(5+$B42,62+COLUMNS($A1:C1)))+INDIRECT(ADDRESS(5+$C42,62+COLUMNS($A1:C1)))</f>
        <v>0</v>
      </c>
      <c r="AE63" s="8" cm="1">
        <f t="array" aca="1" ref="AE63" ca="1">INDIRECT(ADDRESS(5+$B42,62+COLUMNS($A1:D1)))+INDIRECT(ADDRESS(5+$C42,62+COLUMNS($A1:D1)))</f>
        <v>1</v>
      </c>
      <c r="AF63" s="8" cm="1">
        <f t="array" aca="1" ref="AF63" ca="1">INDIRECT(ADDRESS(5+$B42,62+COLUMNS($A1:E1)))+INDIRECT(ADDRESS(5+$C42,62+COLUMNS($A1:E1)))</f>
        <v>1</v>
      </c>
      <c r="AG63" s="8" t="s">
        <v>21</v>
      </c>
      <c r="AH63" s="8">
        <v>1</v>
      </c>
      <c r="AI63" s="8">
        <v>1</v>
      </c>
      <c r="AJ63" s="8">
        <v>1</v>
      </c>
      <c r="AK63" s="8">
        <v>1</v>
      </c>
      <c r="AL63" s="8">
        <v>1</v>
      </c>
      <c r="AM63" s="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</row>
    <row r="64" spans="1:91" ht="15.75" x14ac:dyDescent="0.3">
      <c r="A64" s="8"/>
      <c r="B64" s="7"/>
      <c r="C64" s="8">
        <f t="shared" ref="C64:C86" si="23">SUM(AI7:AM7,AP7:AT7,AW7:BA7,BD7:BH7)</f>
        <v>1</v>
      </c>
      <c r="D64" s="8" t="s">
        <v>21</v>
      </c>
      <c r="E64" s="8">
        <v>1</v>
      </c>
      <c r="F64" s="8"/>
      <c r="G64" s="8"/>
      <c r="H64" s="8" cm="1">
        <f t="array" ref="H64">SUM(AA7:AE7*BR7:BV7-R7*BK7:BO7)</f>
        <v>3</v>
      </c>
      <c r="I64" s="8" t="s">
        <v>25</v>
      </c>
      <c r="J64" s="8">
        <v>0</v>
      </c>
      <c r="K64" s="8"/>
      <c r="L64" s="8"/>
      <c r="M64" s="8" cm="1">
        <f t="array" ref="M64">SUM(AA7:AE7*BR7:BV7-U7*BK7:BO7)</f>
        <v>-15</v>
      </c>
      <c r="N64" s="8" t="s">
        <v>21</v>
      </c>
      <c r="O64" s="8">
        <v>0</v>
      </c>
      <c r="P64" s="8"/>
      <c r="Q64" s="8"/>
      <c r="R64" s="8" cm="1">
        <f t="array" aca="1" ref="R64" ca="1">-C34+SUM(INDIRECT(ADDRESS(6,69+ROWS($A$1:A2))):INDIRECT(ADDRESS(30,69+ROWS($A$1:A2)))*$F$6:$F$30)</f>
        <v>-1</v>
      </c>
      <c r="S64" s="8" t="s">
        <v>21</v>
      </c>
      <c r="T64" s="8">
        <v>0</v>
      </c>
      <c r="U64" s="8"/>
      <c r="V64" s="8"/>
      <c r="W64" s="8">
        <f ca="1">SUM(INDIRECT(ADDRESS(5+B48,63)):INDIRECT(ADDRESS(5+B48,67)))-SUM(INDIRECT(ADDRESS(5+C48,63)):INDIRECT(ADDRESS(5+C48,67)))</f>
        <v>0</v>
      </c>
      <c r="X64" s="8" t="s">
        <v>26</v>
      </c>
      <c r="Y64" s="8">
        <v>0</v>
      </c>
      <c r="Z64" s="8"/>
      <c r="AA64" s="8"/>
      <c r="AB64" s="8"/>
      <c r="AC64" s="8"/>
      <c r="AD64" s="8"/>
      <c r="AE64" s="8"/>
      <c r="AF64" s="8"/>
      <c r="AG64" s="8" t="s">
        <v>21</v>
      </c>
      <c r="AH64" s="8"/>
      <c r="AI64" s="8"/>
      <c r="AJ64" s="8"/>
      <c r="AK64" s="8"/>
      <c r="AL64" s="8"/>
      <c r="AM64" s="9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</row>
    <row r="65" spans="1:91" ht="15.75" x14ac:dyDescent="0.3">
      <c r="A65" s="8"/>
      <c r="B65" s="7"/>
      <c r="C65" s="8">
        <f t="shared" si="23"/>
        <v>1</v>
      </c>
      <c r="D65" s="8" t="s">
        <v>21</v>
      </c>
      <c r="E65" s="8">
        <v>1</v>
      </c>
      <c r="F65" s="8"/>
      <c r="G65" s="8"/>
      <c r="H65" s="8" cm="1">
        <f t="array" ref="H65">SUM(AA8:AE8*BR8:BV8-R8*BK8:BO8)</f>
        <v>2</v>
      </c>
      <c r="I65" s="8" t="s">
        <v>25</v>
      </c>
      <c r="J65" s="8">
        <v>0</v>
      </c>
      <c r="K65" s="8"/>
      <c r="L65" s="8"/>
      <c r="M65" s="8" cm="1">
        <f t="array" ref="M65">SUM(AA8:AE8*BR8:BV8-U8*BK8:BO8)</f>
        <v>-20</v>
      </c>
      <c r="N65" s="8" t="s">
        <v>21</v>
      </c>
      <c r="O65" s="8">
        <v>0</v>
      </c>
      <c r="P65" s="8"/>
      <c r="Q65" s="8"/>
      <c r="R65" s="8" cm="1">
        <f t="array" aca="1" ref="R65" ca="1">-C35+SUM(INDIRECT(ADDRESS(6,69+ROWS($A$1:A3))):INDIRECT(ADDRESS(30,69+ROWS($A$1:A3)))*$F$6:$F$30)</f>
        <v>0</v>
      </c>
      <c r="S65" s="8" t="s">
        <v>21</v>
      </c>
      <c r="T65" s="8">
        <v>0</v>
      </c>
      <c r="U65" s="8"/>
      <c r="V65" s="8"/>
      <c r="W65" s="8">
        <f ca="1">SUM(INDIRECT(ADDRESS(5+B49,63)):INDIRECT(ADDRESS(5+B49,67)))-SUM(INDIRECT(ADDRESS(5+C49,63)):INDIRECT(ADDRESS(5+C49,67)))</f>
        <v>0</v>
      </c>
      <c r="X65" s="8" t="s">
        <v>26</v>
      </c>
      <c r="Y65" s="8">
        <v>0</v>
      </c>
      <c r="Z65" s="8"/>
      <c r="AA65" s="8"/>
      <c r="AB65" s="8" cm="1">
        <f t="array" aca="1" ref="AB65" ca="1">INDIRECT(ADDRESS(5+$B43,62+COLUMNS($A3:A3)))+INDIRECT(ADDRESS(5+$C43,62+COLUMNS($A3:A3)))</f>
        <v>0</v>
      </c>
      <c r="AC65" s="8" cm="1">
        <f t="array" aca="1" ref="AC65" ca="1">INDIRECT(ADDRESS(5+$B43,62+COLUMNS($A3:B3)))+INDIRECT(ADDRESS(5+$C43,62+COLUMNS($A3:B3)))</f>
        <v>0</v>
      </c>
      <c r="AD65" s="8" cm="1">
        <f t="array" aca="1" ref="AD65" ca="1">INDIRECT(ADDRESS(5+$B43,62+COLUMNS($A3:C3)))+INDIRECT(ADDRESS(5+$C43,62+COLUMNS($A3:C3)))</f>
        <v>0</v>
      </c>
      <c r="AE65" s="8" cm="1">
        <f t="array" aca="1" ref="AE65" ca="1">INDIRECT(ADDRESS(5+$B43,62+COLUMNS($A3:D3)))+INDIRECT(ADDRESS(5+$C43,62+COLUMNS($A3:D3)))</f>
        <v>0</v>
      </c>
      <c r="AF65" s="8" cm="1">
        <f t="array" aca="1" ref="AF65" ca="1">INDIRECT(ADDRESS(5+$B43,62+COLUMNS($A3:E3)))+INDIRECT(ADDRESS(5+$C43,62+COLUMNS($A3:E3)))</f>
        <v>0</v>
      </c>
      <c r="AG65" s="8" t="s">
        <v>21</v>
      </c>
      <c r="AH65" s="8">
        <v>1</v>
      </c>
      <c r="AI65" s="8">
        <v>1</v>
      </c>
      <c r="AJ65" s="8">
        <v>1</v>
      </c>
      <c r="AK65" s="8">
        <v>1</v>
      </c>
      <c r="AL65" s="8">
        <v>1</v>
      </c>
      <c r="AM65" s="9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</row>
    <row r="66" spans="1:91" ht="15.75" x14ac:dyDescent="0.3">
      <c r="A66" s="8"/>
      <c r="B66" s="7"/>
      <c r="C66" s="8">
        <f t="shared" si="23"/>
        <v>1</v>
      </c>
      <c r="D66" s="8" t="s">
        <v>21</v>
      </c>
      <c r="E66" s="8">
        <v>1</v>
      </c>
      <c r="F66" s="8"/>
      <c r="G66" s="8"/>
      <c r="H66" s="8" cm="1">
        <f t="array" ref="H66">SUM(AA9:AE9*BR9:BV9-R9*BK9:BO9)</f>
        <v>3</v>
      </c>
      <c r="I66" s="8" t="s">
        <v>25</v>
      </c>
      <c r="J66" s="8">
        <v>0</v>
      </c>
      <c r="K66" s="8"/>
      <c r="L66" s="8"/>
      <c r="M66" s="8" cm="1">
        <f t="array" ref="M66">SUM(AA9:AE9*BR9:BV9-U9*BK9:BO9)</f>
        <v>-5</v>
      </c>
      <c r="N66" s="8" t="s">
        <v>21</v>
      </c>
      <c r="O66" s="8">
        <v>0</v>
      </c>
      <c r="P66" s="8"/>
      <c r="Q66" s="8"/>
      <c r="R66" s="8" cm="1">
        <f t="array" aca="1" ref="R66" ca="1">-C36+SUM(INDIRECT(ADDRESS(6,69+ROWS($A$1:A4))):INDIRECT(ADDRESS(30,69+ROWS($A$1:A4)))*$F$6:$F$30)</f>
        <v>-1</v>
      </c>
      <c r="S66" s="8" t="s">
        <v>21</v>
      </c>
      <c r="T66" s="8">
        <v>0</v>
      </c>
      <c r="U66" s="8"/>
      <c r="V66" s="8"/>
      <c r="W66" s="8">
        <f ca="1">SUM(INDIRECT(ADDRESS(5+B50,63)):INDIRECT(ADDRESS(5+B50,67)))-SUM(INDIRECT(ADDRESS(5+C50,63)):INDIRECT(ADDRESS(5+C50,67)))</f>
        <v>0</v>
      </c>
      <c r="X66" s="8" t="s">
        <v>26</v>
      </c>
      <c r="Y66" s="8">
        <v>0</v>
      </c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9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</row>
    <row r="67" spans="1:91" ht="15.75" x14ac:dyDescent="0.3">
      <c r="A67" s="8"/>
      <c r="B67" s="7"/>
      <c r="C67" s="8">
        <f t="shared" si="23"/>
        <v>1</v>
      </c>
      <c r="D67" s="8" t="s">
        <v>21</v>
      </c>
      <c r="E67" s="8">
        <v>1</v>
      </c>
      <c r="F67" s="11"/>
      <c r="G67" s="8"/>
      <c r="H67" s="8" cm="1">
        <f t="array" ref="H67">SUM(AA10:AE10*BR10:BV10-R10*BK10:BO10)</f>
        <v>11</v>
      </c>
      <c r="I67" s="8" t="s">
        <v>25</v>
      </c>
      <c r="J67" s="8">
        <v>0</v>
      </c>
      <c r="K67" s="8"/>
      <c r="L67" s="8"/>
      <c r="M67" s="8" cm="1">
        <f t="array" ref="M67">SUM(AA10:AE10*BR10:BV10-U10*BK10:BO10)</f>
        <v>-4</v>
      </c>
      <c r="N67" s="8" t="s">
        <v>21</v>
      </c>
      <c r="O67" s="8">
        <v>0</v>
      </c>
      <c r="P67" s="8"/>
      <c r="Q67" s="8"/>
      <c r="R67" s="8" cm="1">
        <f t="array" aca="1" ref="R67" ca="1">-C37+SUM(INDIRECT(ADDRESS(6,69+ROWS($A$1:A5))):INDIRECT(ADDRESS(30,69+ROWS($A$1:A5)))*$F$6:$F$30)</f>
        <v>-6</v>
      </c>
      <c r="S67" s="8" t="s">
        <v>21</v>
      </c>
      <c r="T67" s="8">
        <v>0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</row>
    <row r="68" spans="1:91" ht="15.75" x14ac:dyDescent="0.3">
      <c r="A68" s="8"/>
      <c r="B68" s="10"/>
      <c r="C68" s="8">
        <f t="shared" si="23"/>
        <v>1</v>
      </c>
      <c r="D68" s="8" t="s">
        <v>21</v>
      </c>
      <c r="E68" s="8">
        <v>1</v>
      </c>
      <c r="F68" s="11"/>
      <c r="G68" s="8"/>
      <c r="H68" s="8" cm="1">
        <f t="array" ref="H68">SUM(AA11:AE11*BR11:BV11-R11*BK11:BO11)</f>
        <v>3</v>
      </c>
      <c r="I68" s="8" t="s">
        <v>25</v>
      </c>
      <c r="J68" s="8">
        <v>0</v>
      </c>
      <c r="K68" s="8"/>
      <c r="L68" s="8"/>
      <c r="M68" s="8" cm="1">
        <f t="array" ref="M68">SUM(AA11:AE11*BR11:BV11-U11*BK11:BO11)</f>
        <v>-17</v>
      </c>
      <c r="N68" s="8" t="s">
        <v>21</v>
      </c>
      <c r="O68" s="8">
        <v>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9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</row>
    <row r="69" spans="1:91" ht="15.75" x14ac:dyDescent="0.3">
      <c r="A69" s="8"/>
      <c r="B69" s="10"/>
      <c r="C69" s="8">
        <f t="shared" si="23"/>
        <v>1</v>
      </c>
      <c r="D69" s="8" t="s">
        <v>21</v>
      </c>
      <c r="E69" s="8">
        <v>1</v>
      </c>
      <c r="F69" s="11"/>
      <c r="G69" s="8"/>
      <c r="H69" s="8" cm="1">
        <f t="array" ref="H69">SUM(AA12:AE12*BR12:BV12-R12*BK12:BO12)</f>
        <v>4</v>
      </c>
      <c r="I69" s="8" t="s">
        <v>25</v>
      </c>
      <c r="J69" s="8">
        <v>0</v>
      </c>
      <c r="K69" s="8"/>
      <c r="L69" s="8"/>
      <c r="M69" s="8" cm="1">
        <f t="array" ref="M69">SUM(AA12:AE12*BR12:BV12-U12*BK12:BO12)</f>
        <v>-6</v>
      </c>
      <c r="N69" s="8" t="s">
        <v>21</v>
      </c>
      <c r="O69" s="8">
        <v>0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</row>
    <row r="70" spans="1:91" ht="15.75" x14ac:dyDescent="0.3">
      <c r="A70" s="8"/>
      <c r="B70" s="10"/>
      <c r="C70" s="8">
        <f t="shared" si="23"/>
        <v>1</v>
      </c>
      <c r="D70" s="8" t="s">
        <v>21</v>
      </c>
      <c r="E70" s="8">
        <v>1</v>
      </c>
      <c r="F70" s="11"/>
      <c r="G70" s="8"/>
      <c r="H70" s="8" cm="1">
        <f t="array" ref="H70">SUM(AA13:AE13*BR13:BV13-R13*BK13:BO13)</f>
        <v>2</v>
      </c>
      <c r="I70" s="8" t="s">
        <v>25</v>
      </c>
      <c r="J70" s="8">
        <v>0</v>
      </c>
      <c r="K70" s="8"/>
      <c r="L70" s="8"/>
      <c r="M70" s="8" cm="1">
        <f t="array" ref="M70">SUM(AA13:AE13*BR13:BV13-U13*BK13:BO13)</f>
        <v>-15</v>
      </c>
      <c r="N70" s="8" t="s">
        <v>21</v>
      </c>
      <c r="O70" s="8">
        <v>0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9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</row>
    <row r="71" spans="1:91" ht="15.75" x14ac:dyDescent="0.3">
      <c r="A71" s="8"/>
      <c r="B71" s="10"/>
      <c r="C71" s="8">
        <f t="shared" si="23"/>
        <v>1</v>
      </c>
      <c r="D71" s="8" t="s">
        <v>21</v>
      </c>
      <c r="E71" s="8">
        <v>1</v>
      </c>
      <c r="F71" s="11"/>
      <c r="G71" s="8"/>
      <c r="H71" s="8" cm="1">
        <f t="array" ref="H71">SUM(AA14:AE14*BR14:BV14-R14*BK14:BO14)</f>
        <v>4</v>
      </c>
      <c r="I71" s="8" t="s">
        <v>25</v>
      </c>
      <c r="J71" s="8">
        <v>0</v>
      </c>
      <c r="K71" s="8"/>
      <c r="L71" s="8"/>
      <c r="M71" s="8" cm="1">
        <f t="array" ref="M71">SUM(AA14:AE14*BR14:BV14-U14*BK14:BO14)</f>
        <v>-5</v>
      </c>
      <c r="N71" s="8" t="s">
        <v>21</v>
      </c>
      <c r="O71" s="8">
        <v>0</v>
      </c>
      <c r="P71" s="8"/>
      <c r="Q71" s="8"/>
      <c r="R71" s="8"/>
      <c r="S71" s="8"/>
      <c r="T71" s="8"/>
      <c r="U71" s="8"/>
      <c r="V71" s="8" t="s">
        <v>1166</v>
      </c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</row>
    <row r="72" spans="1:91" ht="15.75" x14ac:dyDescent="0.3">
      <c r="A72" s="8"/>
      <c r="B72" s="10"/>
      <c r="C72" s="8">
        <f t="shared" si="23"/>
        <v>1</v>
      </c>
      <c r="D72" s="8" t="s">
        <v>21</v>
      </c>
      <c r="E72" s="8">
        <v>1</v>
      </c>
      <c r="F72" s="11"/>
      <c r="G72" s="8"/>
      <c r="H72" s="8" cm="1">
        <f t="array" ref="H72">SUM(AA15:AE15*BR15:BV15-R15*BK15:BO15)</f>
        <v>8</v>
      </c>
      <c r="I72" s="8" t="s">
        <v>25</v>
      </c>
      <c r="J72" s="8">
        <v>0</v>
      </c>
      <c r="K72" s="8"/>
      <c r="L72" s="8"/>
      <c r="M72" s="8" cm="1">
        <f t="array" ref="M72">SUM(AA15:AE15*BR15:BV15-U15*BK15:BO15)</f>
        <v>-2</v>
      </c>
      <c r="N72" s="8" t="s">
        <v>21</v>
      </c>
      <c r="O72" s="8">
        <v>0</v>
      </c>
      <c r="P72" s="8"/>
      <c r="Q72" s="8"/>
      <c r="R72" s="8"/>
      <c r="S72" s="8"/>
      <c r="T72" s="8"/>
      <c r="U72" s="8"/>
      <c r="V72" s="8"/>
      <c r="W72" s="8" cm="1">
        <f t="array" aca="1" ref="W72" ca="1">INDIRECT(ADDRESS(8,62+ROWS($A$1:A1)))-INDIRECT(ADDRESS(13,62+ROWS($A$1:A1)))</f>
        <v>0</v>
      </c>
      <c r="X72" s="8" t="s">
        <v>26</v>
      </c>
      <c r="Y72" s="8">
        <v>0</v>
      </c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9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</row>
    <row r="73" spans="1:91" ht="15.75" x14ac:dyDescent="0.3">
      <c r="A73" s="8"/>
      <c r="B73" s="10"/>
      <c r="C73" s="8">
        <f t="shared" si="23"/>
        <v>1</v>
      </c>
      <c r="D73" s="8" t="s">
        <v>21</v>
      </c>
      <c r="E73" s="8">
        <v>1</v>
      </c>
      <c r="F73" s="11"/>
      <c r="G73" s="8"/>
      <c r="H73" s="8" cm="1">
        <f t="array" ref="H73">SUM(AA16:AE16*BR16:BV16-R16*BK16:BO16)</f>
        <v>3</v>
      </c>
      <c r="I73" s="8" t="s">
        <v>25</v>
      </c>
      <c r="J73" s="8">
        <v>0</v>
      </c>
      <c r="K73" s="8"/>
      <c r="L73" s="8"/>
      <c r="M73" s="8" cm="1">
        <f t="array" ref="M73">SUM(AA16:AE16*BR16:BV16-U16*BK16:BO16)</f>
        <v>-12</v>
      </c>
      <c r="N73" s="8" t="s">
        <v>21</v>
      </c>
      <c r="O73" s="8">
        <v>0</v>
      </c>
      <c r="P73" s="8"/>
      <c r="Q73" s="8"/>
      <c r="R73" s="8"/>
      <c r="S73" s="8"/>
      <c r="T73" s="8"/>
      <c r="U73" s="8"/>
      <c r="V73" s="8"/>
      <c r="W73" s="8" cm="1">
        <f t="array" aca="1" ref="W73" ca="1">INDIRECT(ADDRESS(8,62+ROWS($A$1:A2)))-INDIRECT(ADDRESS(13,62+ROWS($A$1:A2)))</f>
        <v>0</v>
      </c>
      <c r="X73" s="8" t="s">
        <v>26</v>
      </c>
      <c r="Y73" s="8">
        <v>0</v>
      </c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</row>
    <row r="74" spans="1:91" ht="15.75" x14ac:dyDescent="0.3">
      <c r="A74" s="8"/>
      <c r="B74" s="10"/>
      <c r="C74" s="8">
        <f t="shared" si="23"/>
        <v>1</v>
      </c>
      <c r="D74" s="8" t="s">
        <v>21</v>
      </c>
      <c r="E74" s="8">
        <v>1</v>
      </c>
      <c r="F74" s="11"/>
      <c r="G74" s="8"/>
      <c r="H74" s="8" cm="1">
        <f t="array" ref="H74">SUM(AA17:AE17*BR17:BV17-R17*BK17:BO17)</f>
        <v>14</v>
      </c>
      <c r="I74" s="8" t="s">
        <v>25</v>
      </c>
      <c r="J74" s="8">
        <v>0</v>
      </c>
      <c r="K74" s="8"/>
      <c r="L74" s="8"/>
      <c r="M74" s="8" cm="1">
        <f t="array" ref="M74">SUM(AA17:AE17*BR17:BV17-U17*BK17:BO17)</f>
        <v>-6</v>
      </c>
      <c r="N74" s="8" t="s">
        <v>21</v>
      </c>
      <c r="O74" s="8">
        <v>0</v>
      </c>
      <c r="P74" s="8"/>
      <c r="Q74" s="8"/>
      <c r="R74" s="8"/>
      <c r="S74" s="8"/>
      <c r="T74" s="8"/>
      <c r="U74" s="8"/>
      <c r="V74" s="8"/>
      <c r="W74" s="8" cm="1">
        <f t="array" aca="1" ref="W74" ca="1">INDIRECT(ADDRESS(8,62+ROWS($A$1:A3)))-INDIRECT(ADDRESS(13,62+ROWS($A$1:A3)))</f>
        <v>0</v>
      </c>
      <c r="X74" s="8" t="s">
        <v>26</v>
      </c>
      <c r="Y74" s="8">
        <v>0</v>
      </c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9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</row>
    <row r="75" spans="1:91" ht="15.75" x14ac:dyDescent="0.3">
      <c r="B75" s="10"/>
      <c r="C75" s="8">
        <f t="shared" si="23"/>
        <v>1</v>
      </c>
      <c r="D75" s="8" t="s">
        <v>21</v>
      </c>
      <c r="E75" s="8">
        <v>1</v>
      </c>
      <c r="F75" s="11"/>
      <c r="G75" s="8"/>
      <c r="H75" s="8" cm="1">
        <f t="array" ref="H75">SUM(AA18:AE18*BR18:BV18-R18*BK18:BO18)</f>
        <v>3</v>
      </c>
      <c r="I75" s="8" t="s">
        <v>25</v>
      </c>
      <c r="J75" s="8">
        <v>0</v>
      </c>
      <c r="K75" s="8"/>
      <c r="L75" s="8"/>
      <c r="M75" s="8" cm="1">
        <f t="array" ref="M75">SUM(AA18:AE18*BR18:BV18-U18*BK18:BO18)</f>
        <v>-8</v>
      </c>
      <c r="N75" s="8" t="s">
        <v>21</v>
      </c>
      <c r="O75" s="8">
        <v>0</v>
      </c>
      <c r="P75" s="8"/>
      <c r="Q75" s="8"/>
      <c r="R75" s="8"/>
      <c r="S75" s="8"/>
      <c r="T75" s="8"/>
      <c r="U75" s="8"/>
      <c r="V75" s="8"/>
      <c r="W75" s="8" cm="1">
        <f t="array" aca="1" ref="W75" ca="1">INDIRECT(ADDRESS(8,62+ROWS($A$1:A4)))-INDIRECT(ADDRESS(13,62+ROWS($A$1:A4)))</f>
        <v>0</v>
      </c>
      <c r="X75" s="8" t="s">
        <v>26</v>
      </c>
      <c r="Y75" s="8">
        <v>0</v>
      </c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</row>
    <row r="76" spans="1:91" ht="15.75" x14ac:dyDescent="0.3">
      <c r="B76" s="7"/>
      <c r="C76" s="8">
        <f t="shared" si="23"/>
        <v>1</v>
      </c>
      <c r="D76" s="8" t="s">
        <v>21</v>
      </c>
      <c r="E76" s="8">
        <v>1</v>
      </c>
      <c r="F76" s="8"/>
      <c r="G76" s="8"/>
      <c r="H76" s="8" cm="1">
        <f t="array" ref="H76">SUM(AA19:AE19*BR19:BV19-R19*BK19:BO19)</f>
        <v>5</v>
      </c>
      <c r="I76" s="8" t="s">
        <v>25</v>
      </c>
      <c r="J76" s="8">
        <v>0</v>
      </c>
      <c r="K76" s="8"/>
      <c r="L76" s="8"/>
      <c r="M76" s="8" cm="1">
        <f t="array" ref="M76">SUM(AA19:AE19*BR19:BV19-U19*BK19:BO19)</f>
        <v>-4</v>
      </c>
      <c r="N76" s="8" t="s">
        <v>21</v>
      </c>
      <c r="O76" s="8">
        <v>0</v>
      </c>
      <c r="P76" s="8"/>
      <c r="Q76" s="8"/>
      <c r="R76" s="8"/>
      <c r="S76" s="8"/>
      <c r="T76" s="8"/>
      <c r="U76" s="8"/>
      <c r="V76" s="8"/>
      <c r="W76" s="8" cm="1">
        <f t="array" aca="1" ref="W76" ca="1">INDIRECT(ADDRESS(8,62+ROWS($A$1:A5)))-INDIRECT(ADDRESS(13,62+ROWS($A$1:A5)))</f>
        <v>0</v>
      </c>
      <c r="X76" s="8" t="s">
        <v>26</v>
      </c>
      <c r="Y76" s="8">
        <v>0</v>
      </c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9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</row>
    <row r="77" spans="1:91" ht="15.75" x14ac:dyDescent="0.3">
      <c r="B77" s="7"/>
      <c r="C77" s="8">
        <f t="shared" si="23"/>
        <v>1</v>
      </c>
      <c r="D77" s="8" t="s">
        <v>21</v>
      </c>
      <c r="E77" s="8">
        <v>1</v>
      </c>
      <c r="F77" s="8"/>
      <c r="G77" s="8"/>
      <c r="H77" s="8" cm="1">
        <f t="array" ref="H77">SUM(AA20:AE20*BR20:BV20-R20*BK20:BO20)</f>
        <v>9</v>
      </c>
      <c r="I77" s="8" t="s">
        <v>25</v>
      </c>
      <c r="J77" s="8">
        <v>0</v>
      </c>
      <c r="K77" s="8"/>
      <c r="L77" s="8"/>
      <c r="M77" s="8" cm="1">
        <f t="array" ref="M77">SUM(AA20:AE20*BR20:BV20-U20*BK20:BO20)</f>
        <v>-7</v>
      </c>
      <c r="N77" s="8" t="s">
        <v>21</v>
      </c>
      <c r="O77" s="8">
        <v>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</row>
    <row r="78" spans="1:91" x14ac:dyDescent="0.3">
      <c r="B78" s="7"/>
      <c r="C78" s="8">
        <f t="shared" si="23"/>
        <v>0</v>
      </c>
      <c r="D78" s="8" t="s">
        <v>21</v>
      </c>
      <c r="E78" s="8">
        <v>1</v>
      </c>
      <c r="F78" s="8"/>
      <c r="G78" s="8"/>
      <c r="H78" s="8" cm="1">
        <f t="array" ref="H78">SUM(AA21:AE21*BR21:BV21-R21*BK21:BO21)</f>
        <v>0</v>
      </c>
      <c r="I78" s="8" t="s">
        <v>25</v>
      </c>
      <c r="J78" s="8">
        <v>0</v>
      </c>
      <c r="K78" s="8"/>
      <c r="L78" s="8"/>
      <c r="M78" s="8" cm="1">
        <f t="array" ref="M78">SUM(AA21:AE21*BR21:BV21-U21*BK21:BO21)</f>
        <v>0</v>
      </c>
      <c r="N78" s="8" t="s">
        <v>21</v>
      </c>
      <c r="O78" s="8">
        <v>0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9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</row>
    <row r="79" spans="1:91" x14ac:dyDescent="0.3">
      <c r="B79" s="7"/>
      <c r="C79" s="8">
        <f t="shared" si="23"/>
        <v>0</v>
      </c>
      <c r="D79" s="8" t="s">
        <v>21</v>
      </c>
      <c r="E79" s="8">
        <v>1</v>
      </c>
      <c r="F79" s="8"/>
      <c r="G79" s="8"/>
      <c r="H79" s="8" cm="1">
        <f t="array" ref="H79">SUM(AA22:AE22*BR22:BV22-R22*BK22:BO22)</f>
        <v>0</v>
      </c>
      <c r="I79" s="8" t="s">
        <v>25</v>
      </c>
      <c r="J79" s="8">
        <v>0</v>
      </c>
      <c r="K79" s="8"/>
      <c r="L79" s="8"/>
      <c r="M79" s="8" cm="1">
        <f t="array" ref="M79">SUM(AA22:AE22*BR22:BV22-U22*BK22:BO22)</f>
        <v>0</v>
      </c>
      <c r="N79" s="8" t="s">
        <v>21</v>
      </c>
      <c r="O79" s="8">
        <v>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</row>
    <row r="80" spans="1:91" x14ac:dyDescent="0.3">
      <c r="B80" s="7"/>
      <c r="C80" s="8">
        <f t="shared" si="23"/>
        <v>0</v>
      </c>
      <c r="D80" s="8" t="s">
        <v>21</v>
      </c>
      <c r="E80" s="8">
        <v>1</v>
      </c>
      <c r="F80" s="8"/>
      <c r="G80" s="8"/>
      <c r="H80" s="8" cm="1">
        <f t="array" ref="H80">SUM(AA23:AE23*BR23:BV23-R23*BK23:BO23)</f>
        <v>0</v>
      </c>
      <c r="I80" s="8" t="s">
        <v>25</v>
      </c>
      <c r="J80" s="8">
        <v>0</v>
      </c>
      <c r="K80" s="8"/>
      <c r="L80" s="8"/>
      <c r="M80" s="8" cm="1">
        <f t="array" ref="M80">SUM(AA23:AE23*BR23:BV23-U23*BK23:BO23)</f>
        <v>0</v>
      </c>
      <c r="N80" s="8" t="s">
        <v>21</v>
      </c>
      <c r="O80" s="8">
        <v>0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9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</row>
    <row r="81" spans="1:91" x14ac:dyDescent="0.3">
      <c r="B81" s="7"/>
      <c r="C81" s="8">
        <f t="shared" si="23"/>
        <v>1</v>
      </c>
      <c r="D81" s="8" t="s">
        <v>21</v>
      </c>
      <c r="E81" s="8">
        <v>1</v>
      </c>
      <c r="F81" s="8"/>
      <c r="G81" s="8"/>
      <c r="H81" s="8" cm="1">
        <f t="array" ref="H81">SUM(AA24:AE24*BR24:BV24-R24*BK24:BO24)</f>
        <v>1</v>
      </c>
      <c r="I81" s="8" t="s">
        <v>25</v>
      </c>
      <c r="J81" s="8">
        <v>0</v>
      </c>
      <c r="K81" s="8"/>
      <c r="L81" s="8"/>
      <c r="M81" s="8" cm="1">
        <f t="array" ref="M81">SUM(AA24:AE24*BR24:BV24-U24*BK24:BO24)</f>
        <v>-17</v>
      </c>
      <c r="N81" s="8" t="s">
        <v>21</v>
      </c>
      <c r="O81" s="8">
        <v>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9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</row>
    <row r="82" spans="1:91" x14ac:dyDescent="0.3">
      <c r="B82" s="7"/>
      <c r="C82" s="8">
        <f t="shared" si="23"/>
        <v>0</v>
      </c>
      <c r="D82" s="8" t="s">
        <v>21</v>
      </c>
      <c r="E82" s="8">
        <v>1</v>
      </c>
      <c r="F82" s="8"/>
      <c r="G82" s="8"/>
      <c r="H82" s="8" cm="1">
        <f t="array" ref="H82">SUM(AA25:AE25*BR25:BV25-R25*BK25:BO25)</f>
        <v>0</v>
      </c>
      <c r="I82" s="8" t="s">
        <v>25</v>
      </c>
      <c r="J82" s="8">
        <v>0</v>
      </c>
      <c r="K82" s="8"/>
      <c r="L82" s="8"/>
      <c r="M82" s="8" cm="1">
        <f t="array" ref="M82">SUM(AA25:AE25*BR25:BV25-U25*BK25:BO25)</f>
        <v>0</v>
      </c>
      <c r="N82" s="8" t="s">
        <v>21</v>
      </c>
      <c r="O82" s="8">
        <v>0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9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</row>
    <row r="83" spans="1:91" x14ac:dyDescent="0.3">
      <c r="B83" s="7"/>
      <c r="C83" s="8">
        <f t="shared" si="23"/>
        <v>1</v>
      </c>
      <c r="D83" s="8" t="s">
        <v>21</v>
      </c>
      <c r="E83" s="8">
        <v>1</v>
      </c>
      <c r="F83" s="8"/>
      <c r="G83" s="8"/>
      <c r="H83" s="8" cm="1">
        <f t="array" ref="H83">SUM(AA26:AE26*BR26:BV26-R26*BK26:BO26)</f>
        <v>1</v>
      </c>
      <c r="I83" s="8" t="s">
        <v>25</v>
      </c>
      <c r="J83" s="8">
        <v>0</v>
      </c>
      <c r="K83" s="8"/>
      <c r="L83" s="8"/>
      <c r="M83" s="8" cm="1">
        <f t="array" ref="M83">SUM(AA26:AE26*BR26:BV26-U26*BK26:BO26)</f>
        <v>-21</v>
      </c>
      <c r="N83" s="8" t="s">
        <v>21</v>
      </c>
      <c r="O83" s="8">
        <v>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9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</row>
    <row r="84" spans="1:91" x14ac:dyDescent="0.3">
      <c r="B84" s="7"/>
      <c r="C84" s="8">
        <f t="shared" si="23"/>
        <v>1</v>
      </c>
      <c r="D84" s="8" t="s">
        <v>21</v>
      </c>
      <c r="E84" s="8">
        <v>1</v>
      </c>
      <c r="F84" s="8"/>
      <c r="G84" s="8"/>
      <c r="H84" s="8" cm="1">
        <f t="array" ref="H84">SUM(AA27:AE27*BR27:BV27-R27*BK27:BO27)</f>
        <v>2</v>
      </c>
      <c r="I84" s="8" t="s">
        <v>25</v>
      </c>
      <c r="J84" s="8">
        <v>0</v>
      </c>
      <c r="K84" s="8"/>
      <c r="L84" s="8"/>
      <c r="M84" s="8" cm="1">
        <f t="array" ref="M84">SUM(AA27:AE27*BR27:BV27-U27*BK27:BO27)</f>
        <v>-13</v>
      </c>
      <c r="N84" s="8" t="s">
        <v>21</v>
      </c>
      <c r="O84" s="8">
        <v>0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9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</row>
    <row r="85" spans="1:91" x14ac:dyDescent="0.3">
      <c r="A85" s="8"/>
      <c r="B85" s="7"/>
      <c r="C85" s="8">
        <f t="shared" si="23"/>
        <v>1</v>
      </c>
      <c r="D85" s="8" t="s">
        <v>21</v>
      </c>
      <c r="E85" s="8">
        <v>1</v>
      </c>
      <c r="F85" s="8"/>
      <c r="G85" s="8"/>
      <c r="H85" s="8" cm="1">
        <f t="array" ref="H85">SUM(AA28:AE28*BR28:BV28-R28*BK28:BO28)</f>
        <v>2</v>
      </c>
      <c r="I85" s="8" t="s">
        <v>25</v>
      </c>
      <c r="J85" s="8">
        <v>0</v>
      </c>
      <c r="K85" s="8"/>
      <c r="L85" s="8"/>
      <c r="M85" s="8" cm="1">
        <f t="array" ref="M85">SUM(AA28:AE28*BR28:BV28-U28*BK28:BO28)</f>
        <v>-9</v>
      </c>
      <c r="N85" s="8" t="s">
        <v>21</v>
      </c>
      <c r="O85" s="8">
        <v>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9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</row>
    <row r="86" spans="1:91" x14ac:dyDescent="0.3">
      <c r="A86" s="8"/>
      <c r="B86" s="7"/>
      <c r="C86" s="8">
        <f t="shared" si="23"/>
        <v>1</v>
      </c>
      <c r="D86" s="8" t="s">
        <v>21</v>
      </c>
      <c r="E86" s="8">
        <v>1</v>
      </c>
      <c r="F86" s="8"/>
      <c r="G86" s="8"/>
      <c r="H86" s="8" cm="1">
        <f t="array" ref="H86">SUM(AA29:AE29*BR29:BV29-R29*BK29:BO29)</f>
        <v>9</v>
      </c>
      <c r="I86" s="8" t="s">
        <v>25</v>
      </c>
      <c r="J86" s="8">
        <v>0</v>
      </c>
      <c r="K86" s="8"/>
      <c r="L86" s="8"/>
      <c r="M86" s="8" cm="1">
        <f t="array" ref="M86">SUM(AA29:AE29*BR29:BV29-U29*BK29:BO29)</f>
        <v>-6</v>
      </c>
      <c r="N86" s="8" t="s">
        <v>21</v>
      </c>
      <c r="O86" s="8">
        <v>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9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</row>
    <row r="87" spans="1:91" x14ac:dyDescent="0.3">
      <c r="A87" s="14"/>
      <c r="B87" s="7"/>
      <c r="C87" s="8">
        <f>SUM(AI30:AM30,AP30:AT30,AW30:BA30,BD30:BH30)</f>
        <v>1</v>
      </c>
      <c r="D87" s="8" t="s">
        <v>21</v>
      </c>
      <c r="E87" s="8">
        <v>1</v>
      </c>
      <c r="F87" s="8"/>
      <c r="G87" s="8"/>
      <c r="H87" s="8" cm="1">
        <f t="array" ref="H87">SUM(AA30:AE30*BR30:BV30-R30*BK30:BO30)</f>
        <v>4</v>
      </c>
      <c r="I87" s="8" t="s">
        <v>25</v>
      </c>
      <c r="J87" s="8">
        <v>0</v>
      </c>
      <c r="K87" s="8"/>
      <c r="L87" s="8"/>
      <c r="M87" s="8" cm="1">
        <f t="array" ref="M87">SUM(AA30:AE30*BR30:BV30-U30*BK30:BO30)</f>
        <v>-8</v>
      </c>
      <c r="N87" s="8" t="s">
        <v>21</v>
      </c>
      <c r="O87" s="8">
        <v>0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9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</row>
    <row r="88" spans="1:91" x14ac:dyDescent="0.3">
      <c r="A88" s="44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9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</row>
    <row r="89" spans="1:91" x14ac:dyDescent="0.3">
      <c r="A89" s="44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9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</row>
    <row r="90" spans="1:91" ht="16.2" thickBot="1" x14ac:dyDescent="0.35">
      <c r="A90" s="44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</row>
    <row r="91" spans="1:91" x14ac:dyDescent="0.3">
      <c r="A91" s="44"/>
      <c r="B91" s="8"/>
      <c r="C91" s="8"/>
      <c r="D91" s="8"/>
      <c r="E91" s="11"/>
      <c r="F91" s="11"/>
      <c r="G91" s="11"/>
      <c r="H91" s="11"/>
      <c r="I91" s="11"/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</row>
    <row r="92" spans="1:91" x14ac:dyDescent="0.3">
      <c r="A92" s="44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</row>
    <row r="93" spans="1:91" x14ac:dyDescent="0.3">
      <c r="A93" s="44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</row>
    <row r="94" spans="1:91" x14ac:dyDescent="0.3">
      <c r="A94" s="4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</row>
    <row r="95" spans="1:91" x14ac:dyDescent="0.3">
      <c r="A95" s="4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</row>
    <row r="96" spans="1:91" x14ac:dyDescent="0.3">
      <c r="A96" s="44"/>
      <c r="B96" s="20"/>
      <c r="C96" s="24"/>
      <c r="D96" s="14"/>
      <c r="E96" s="14"/>
      <c r="F96" s="14"/>
      <c r="G96" s="14"/>
      <c r="H96" s="2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</row>
    <row r="97" spans="1:69" x14ac:dyDescent="0.3">
      <c r="A97" s="44"/>
      <c r="B97" s="20"/>
      <c r="C97" s="21"/>
      <c r="D97" s="14"/>
      <c r="E97" s="14"/>
      <c r="F97" s="14"/>
      <c r="G97" s="14"/>
      <c r="H97" s="2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</row>
    <row r="98" spans="1:69" x14ac:dyDescent="0.3">
      <c r="A98" s="44"/>
      <c r="B98" s="20"/>
      <c r="C98" s="24"/>
      <c r="D98" s="14"/>
      <c r="E98" s="14"/>
      <c r="F98" s="14"/>
      <c r="G98" s="14"/>
      <c r="H98" s="2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</row>
    <row r="99" spans="1:69" x14ac:dyDescent="0.3">
      <c r="A99" s="44"/>
      <c r="B99" s="20"/>
      <c r="C99" s="24"/>
      <c r="D99" s="14"/>
      <c r="E99" s="14"/>
      <c r="F99" s="14"/>
      <c r="G99" s="14"/>
      <c r="H99" s="20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</row>
    <row r="100" spans="1:69" x14ac:dyDescent="0.3">
      <c r="A100" s="44"/>
      <c r="B100" s="20"/>
      <c r="C100" s="24"/>
      <c r="D100" s="14"/>
      <c r="E100" s="14"/>
      <c r="F100" s="14"/>
      <c r="G100" s="14"/>
      <c r="H100" s="20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</row>
    <row r="101" spans="1:69" x14ac:dyDescent="0.3">
      <c r="A101" s="44"/>
      <c r="B101" s="20"/>
      <c r="C101" s="24"/>
      <c r="D101" s="14"/>
      <c r="E101" s="14"/>
      <c r="F101" s="14"/>
      <c r="G101" s="14"/>
      <c r="H101" s="20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</row>
    <row r="102" spans="1:69" x14ac:dyDescent="0.3">
      <c r="A102" s="44"/>
      <c r="B102" s="20"/>
      <c r="C102" s="24"/>
      <c r="D102" s="14"/>
      <c r="E102" s="14"/>
      <c r="F102" s="14"/>
      <c r="G102" s="14"/>
      <c r="H102" s="20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</row>
    <row r="103" spans="1:69" x14ac:dyDescent="0.3">
      <c r="A103" s="44"/>
      <c r="B103" s="20"/>
      <c r="C103" s="21"/>
      <c r="D103" s="14"/>
      <c r="E103" s="14"/>
      <c r="F103" s="14"/>
      <c r="G103" s="14"/>
      <c r="H103" s="20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</row>
    <row r="104" spans="1:69" x14ac:dyDescent="0.3">
      <c r="A104" s="44"/>
      <c r="B104" s="20"/>
      <c r="C104" s="21"/>
      <c r="D104" s="14"/>
      <c r="E104" s="14"/>
      <c r="F104" s="14"/>
      <c r="G104" s="14"/>
      <c r="H104" s="2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</row>
    <row r="105" spans="1:69" x14ac:dyDescent="0.3">
      <c r="A105" s="44"/>
      <c r="B105" s="20"/>
      <c r="C105" s="21"/>
      <c r="D105" s="14"/>
      <c r="E105" s="14"/>
      <c r="F105" s="14"/>
      <c r="G105" s="14"/>
      <c r="H105" s="2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</row>
    <row r="106" spans="1:69" x14ac:dyDescent="0.3">
      <c r="A106" s="44"/>
      <c r="B106" s="20"/>
      <c r="C106" s="21"/>
      <c r="D106" s="14"/>
      <c r="E106" s="14"/>
      <c r="F106" s="14"/>
      <c r="G106" s="14"/>
      <c r="H106" s="2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</row>
    <row r="107" spans="1:69" x14ac:dyDescent="0.3">
      <c r="A107" s="44"/>
      <c r="B107" s="20"/>
      <c r="C107" s="21"/>
      <c r="D107" s="14"/>
      <c r="E107" s="14"/>
      <c r="F107" s="14"/>
      <c r="G107" s="14"/>
      <c r="H107" s="2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</row>
    <row r="108" spans="1:69" x14ac:dyDescent="0.3">
      <c r="A108" s="44"/>
      <c r="B108" s="20"/>
      <c r="C108" s="21"/>
      <c r="D108" s="14"/>
      <c r="E108" s="14"/>
      <c r="F108" s="14"/>
      <c r="G108" s="14"/>
      <c r="H108" s="2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</row>
    <row r="109" spans="1:69" x14ac:dyDescent="0.3">
      <c r="A109" s="44"/>
      <c r="B109" s="20"/>
      <c r="C109" s="21"/>
      <c r="D109" s="14"/>
      <c r="E109" s="14"/>
      <c r="F109" s="14"/>
      <c r="G109" s="14"/>
      <c r="H109" s="2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</row>
    <row r="110" spans="1:69" x14ac:dyDescent="0.3">
      <c r="A110" s="44"/>
      <c r="B110" s="20"/>
      <c r="C110" s="21"/>
      <c r="D110" s="14"/>
      <c r="E110" s="14"/>
      <c r="F110" s="14"/>
      <c r="G110" s="14"/>
      <c r="H110" s="20"/>
      <c r="I110" s="8"/>
      <c r="J110" s="8"/>
      <c r="K110" s="8"/>
      <c r="L110" s="8"/>
      <c r="M110" s="8"/>
      <c r="N110" s="8"/>
    </row>
    <row r="111" spans="1:69" x14ac:dyDescent="0.3">
      <c r="A111" s="44"/>
      <c r="B111" s="20"/>
      <c r="C111" s="21"/>
      <c r="D111" s="14"/>
      <c r="E111" s="14"/>
      <c r="F111" s="14"/>
      <c r="G111" s="14"/>
      <c r="H111" s="20"/>
      <c r="I111" s="8"/>
      <c r="J111" s="8"/>
      <c r="K111" s="8"/>
      <c r="L111" s="8"/>
      <c r="M111" s="8"/>
      <c r="N111" s="8"/>
    </row>
    <row r="112" spans="1:69" x14ac:dyDescent="0.3">
      <c r="A112" s="44"/>
      <c r="B112" s="20"/>
      <c r="C112" s="21"/>
      <c r="D112" s="14"/>
      <c r="E112" s="14"/>
      <c r="F112" s="14"/>
      <c r="G112" s="14"/>
      <c r="H112" s="20"/>
      <c r="I112" s="8"/>
      <c r="J112" s="8"/>
      <c r="K112" s="8"/>
      <c r="L112" s="8"/>
      <c r="M112" s="8"/>
      <c r="N112" s="8"/>
    </row>
    <row r="113" spans="1:14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x14ac:dyDescent="0.3">
      <c r="A115" s="37"/>
      <c r="B115" s="8"/>
      <c r="C115" s="8"/>
      <c r="D115" s="36"/>
      <c r="E115" s="8"/>
      <c r="F115" s="37"/>
      <c r="G115" s="29"/>
      <c r="H115" s="30"/>
      <c r="I115" s="29"/>
      <c r="J115" s="30"/>
      <c r="K115" s="29"/>
      <c r="L115" s="8"/>
      <c r="M115" s="8"/>
      <c r="N115" s="8"/>
    </row>
    <row r="116" spans="1:14" x14ac:dyDescent="0.3">
      <c r="A116" s="28"/>
      <c r="B116" s="28"/>
      <c r="C116" s="28"/>
      <c r="D116" s="28"/>
      <c r="E116" s="8"/>
      <c r="F116" s="8"/>
      <c r="G116" s="28"/>
      <c r="H116" s="30"/>
      <c r="I116" s="8"/>
      <c r="J116" s="31"/>
      <c r="K116" s="31"/>
      <c r="L116" s="8"/>
      <c r="M116" s="8"/>
      <c r="N116" s="8"/>
    </row>
    <row r="117" spans="1:14" x14ac:dyDescent="0.3">
      <c r="A117" s="28"/>
      <c r="B117" s="28"/>
      <c r="C117" s="28"/>
      <c r="D117" s="2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x14ac:dyDescent="0.3">
      <c r="A118" s="28"/>
      <c r="B118" s="28"/>
      <c r="C118" s="8"/>
      <c r="D118" s="8"/>
      <c r="E118" s="8"/>
      <c r="F118" s="36"/>
      <c r="G118" s="8"/>
      <c r="H118" s="8"/>
      <c r="I118" s="8"/>
      <c r="J118" s="8"/>
      <c r="K118" s="8"/>
      <c r="L118" s="8"/>
      <c r="M118" s="8"/>
      <c r="N118" s="8"/>
    </row>
    <row r="119" spans="1:14" x14ac:dyDescent="0.3">
      <c r="A119" s="28"/>
      <c r="B119" s="2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3">
      <c r="A120" s="28"/>
      <c r="B120" s="2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5AE9ACD61DF4581E288D29AF79FA4" ma:contentTypeVersion="2" ma:contentTypeDescription="Create a new document." ma:contentTypeScope="" ma:versionID="6fff2b9b3e9c3ef2196d5eeadb3d3d87">
  <xsd:schema xmlns:xsd="http://www.w3.org/2001/XMLSchema" xmlns:xs="http://www.w3.org/2001/XMLSchema" xmlns:p="http://schemas.microsoft.com/office/2006/metadata/properties" xmlns:ns3="b79073fe-1e48-4a97-9229-baaa8603d156" targetNamespace="http://schemas.microsoft.com/office/2006/metadata/properties" ma:root="true" ma:fieldsID="5b8355e74ffe6f2b4bc219cfa7e75ee0" ns3:_="">
    <xsd:import namespace="b79073fe-1e48-4a97-9229-baaa8603d1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073fe-1e48-4a97-9229-baaa8603d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F82F3A-971A-4E00-BEE7-5E3A8CB8E8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05EF9-87DC-400D-AF3A-CEFE01235C70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b79073fe-1e48-4a97-9229-baaa8603d156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743BDCF-CD65-459D-B3C1-842DFFE4D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073fe-1e48-4a97-9229-baaa8603d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Sayfa1 Sensitivity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ersel hengrmen</dc:creator>
  <cp:lastModifiedBy>ersel hengrmen</cp:lastModifiedBy>
  <dcterms:created xsi:type="dcterms:W3CDTF">2021-01-09T17:11:28Z</dcterms:created>
  <dcterms:modified xsi:type="dcterms:W3CDTF">2021-01-13T13:45:30Z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0x010100ED75AE9ACD61DF4581E288D29AF79FA4</vt:lpwstr>
  </property>
</Properties>
</file>