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ng\OneDrive\Documents\GitHub\IE407-Term-Project\"/>
    </mc:Choice>
  </mc:AlternateContent>
  <xr:revisionPtr revIDLastSave="0" documentId="13_ncr:1_{1E349E78-3507-48C2-A4C2-BE057A279866}" xr6:coauthVersionLast="46" xr6:coauthVersionMax="46" xr10:uidLastSave="{00000000-0000-0000-0000-000000000000}"/>
  <bookViews>
    <workbookView xWindow="-108" yWindow="-108" windowWidth="23256" windowHeight="12576" activeTab="2" xr2:uid="{29C75357-6D86-4F34-87D3-5ABA805A4EC9}"/>
  </bookViews>
  <sheets>
    <sheet name="Sayfa1 Sensitivity" sheetId="2" r:id="rId1"/>
    <sheet name="Q2" sheetId="1" r:id="rId2"/>
    <sheet name="Q3" sheetId="8" r:id="rId3"/>
    <sheet name="Q4" sheetId="3" r:id="rId4"/>
    <sheet name="Q5" sheetId="4" r:id="rId5"/>
    <sheet name="Q6-115cm" sheetId="5" r:id="rId6"/>
    <sheet name="Q6-120cm" sheetId="7" r:id="rId7"/>
    <sheet name="Q7" sheetId="6" r:id="rId8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'Q2'!$AI$6:$AM$30,'Q2'!$AP$6:$AT$30,'Q2'!$AW$6:$BA$30,'Q2'!$BD$6:$BH$30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'Q2'!$C$63:$C$87</definedName>
    <definedName name="solver_lhs10" localSheetId="1" hidden="1">'Q2'!$BD$6:$BH$30</definedName>
    <definedName name="solver_lhs2" localSheetId="1" hidden="1">'Q2'!$H$63:$H$87</definedName>
    <definedName name="solver_lhs3" localSheetId="1" hidden="1">'Q2'!$M$63:$M$87</definedName>
    <definedName name="solver_lhs4" localSheetId="1" hidden="1">'Q2'!$R$63:$R$67</definedName>
    <definedName name="solver_lhs5" localSheetId="1" hidden="1">'Q2'!$W$63:$W$66</definedName>
    <definedName name="solver_lhs6" localSheetId="1" hidden="1">'Q2'!$AB$63:$AF$65</definedName>
    <definedName name="solver_lhs7" localSheetId="1" hidden="1">'Q2'!$AI$6:$AM$30</definedName>
    <definedName name="solver_lhs8" localSheetId="1" hidden="1">'Q2'!$AP$6:$AT$30</definedName>
    <definedName name="solver_lhs9" localSheetId="1" hidden="1">'Q2'!$AW$6:$BA$30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'Q2'!$B$55</definedName>
    <definedName name="solver_pre" localSheetId="1" hidden="1">0.000001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'Q2'!$E$63:$E$87</definedName>
    <definedName name="solver_rhs10" localSheetId="1" hidden="1">binary</definedName>
    <definedName name="solver_rhs2" localSheetId="1" hidden="1">'Q2'!$J$63:$J$87</definedName>
    <definedName name="solver_rhs3" localSheetId="1" hidden="1">'Q2'!$O$63:$O$87</definedName>
    <definedName name="solver_rhs4" localSheetId="1" hidden="1">'Q2'!$T$63:$T$67</definedName>
    <definedName name="solver_rhs5" localSheetId="1" hidden="1">'Q2'!$Y$63:$Y$66</definedName>
    <definedName name="solver_rhs6" localSheetId="1" hidden="1">'Q2'!$AH$63:$AL$65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8" i="8" l="1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BV107" i="8"/>
  <c r="BO107" i="8"/>
  <c r="BG107" i="8"/>
  <c r="AZ107" i="8"/>
  <c r="AS107" i="8"/>
  <c r="AL107" i="8"/>
  <c r="W107" i="8"/>
  <c r="CG102" i="8"/>
  <c r="CF102" i="8"/>
  <c r="CE102" i="8"/>
  <c r="CD102" i="8"/>
  <c r="CC102" i="8"/>
  <c r="BZ102" i="8"/>
  <c r="BY102" i="8"/>
  <c r="BX102" i="8"/>
  <c r="BW102" i="8"/>
  <c r="BV102" i="8"/>
  <c r="BS102" i="8"/>
  <c r="BR102" i="8"/>
  <c r="BQ102" i="8"/>
  <c r="BP102" i="8"/>
  <c r="BO102" i="8"/>
  <c r="AA102" i="8"/>
  <c r="Z102" i="8"/>
  <c r="Y102" i="8"/>
  <c r="X102" i="8"/>
  <c r="W102" i="8"/>
  <c r="M248" i="8" s="1" a="1"/>
  <c r="M248" i="8" s="1"/>
  <c r="CG101" i="8"/>
  <c r="CF101" i="8"/>
  <c r="CE101" i="8"/>
  <c r="CD101" i="8"/>
  <c r="CC101" i="8"/>
  <c r="BZ101" i="8"/>
  <c r="BY101" i="8"/>
  <c r="BX101" i="8"/>
  <c r="BW101" i="8"/>
  <c r="BV101" i="8"/>
  <c r="BS101" i="8"/>
  <c r="BR101" i="8"/>
  <c r="BQ101" i="8"/>
  <c r="BP101" i="8"/>
  <c r="BO101" i="8"/>
  <c r="AA101" i="8"/>
  <c r="Z101" i="8"/>
  <c r="Y101" i="8"/>
  <c r="X101" i="8"/>
  <c r="W101" i="8"/>
  <c r="H247" i="8" s="1" a="1"/>
  <c r="H247" i="8" s="1"/>
  <c r="CG100" i="8"/>
  <c r="CF100" i="8"/>
  <c r="CE100" i="8"/>
  <c r="CD100" i="8"/>
  <c r="CC100" i="8"/>
  <c r="BZ100" i="8"/>
  <c r="BY100" i="8"/>
  <c r="BX100" i="8"/>
  <c r="BW100" i="8"/>
  <c r="BV100" i="8"/>
  <c r="BS100" i="8"/>
  <c r="BR100" i="8"/>
  <c r="BQ100" i="8"/>
  <c r="BP100" i="8"/>
  <c r="BO100" i="8"/>
  <c r="AA100" i="8"/>
  <c r="Z100" i="8"/>
  <c r="Y100" i="8"/>
  <c r="X100" i="8"/>
  <c r="W100" i="8"/>
  <c r="M246" i="8" s="1" a="1"/>
  <c r="M246" i="8" s="1"/>
  <c r="CG99" i="8"/>
  <c r="CF99" i="8"/>
  <c r="CE99" i="8"/>
  <c r="CD99" i="8"/>
  <c r="CC99" i="8"/>
  <c r="BZ99" i="8"/>
  <c r="BY99" i="8"/>
  <c r="BX99" i="8"/>
  <c r="BW99" i="8"/>
  <c r="BV99" i="8"/>
  <c r="BS99" i="8"/>
  <c r="BR99" i="8"/>
  <c r="BQ99" i="8"/>
  <c r="BP99" i="8"/>
  <c r="BO99" i="8"/>
  <c r="AA99" i="8"/>
  <c r="Z99" i="8"/>
  <c r="Y99" i="8"/>
  <c r="X99" i="8"/>
  <c r="W99" i="8"/>
  <c r="M245" i="8" s="1" a="1"/>
  <c r="M245" i="8" s="1"/>
  <c r="CG98" i="8"/>
  <c r="CF98" i="8"/>
  <c r="CE98" i="8"/>
  <c r="CD98" i="8"/>
  <c r="CC98" i="8"/>
  <c r="BZ98" i="8"/>
  <c r="BY98" i="8"/>
  <c r="BX98" i="8"/>
  <c r="BW98" i="8"/>
  <c r="BV98" i="8"/>
  <c r="BS98" i="8"/>
  <c r="BR98" i="8"/>
  <c r="BQ98" i="8"/>
  <c r="BP98" i="8"/>
  <c r="BO98" i="8"/>
  <c r="AA98" i="8"/>
  <c r="Z98" i="8"/>
  <c r="Y98" i="8"/>
  <c r="X98" i="8"/>
  <c r="W98" i="8"/>
  <c r="M244" i="8" s="1" a="1"/>
  <c r="M244" i="8" s="1"/>
  <c r="CG97" i="8"/>
  <c r="CF97" i="8"/>
  <c r="CE97" i="8"/>
  <c r="CD97" i="8"/>
  <c r="CC97" i="8"/>
  <c r="BZ97" i="8"/>
  <c r="BY97" i="8"/>
  <c r="BX97" i="8"/>
  <c r="BW97" i="8"/>
  <c r="BV97" i="8"/>
  <c r="BS97" i="8"/>
  <c r="BR97" i="8"/>
  <c r="BQ97" i="8"/>
  <c r="BP97" i="8"/>
  <c r="BO97" i="8"/>
  <c r="AA97" i="8"/>
  <c r="Z97" i="8"/>
  <c r="Y97" i="8"/>
  <c r="X97" i="8"/>
  <c r="W97" i="8"/>
  <c r="M243" i="8" s="1" a="1"/>
  <c r="M243" i="8" s="1"/>
  <c r="CG96" i="8"/>
  <c r="CF96" i="8"/>
  <c r="CE96" i="8"/>
  <c r="CD96" i="8"/>
  <c r="CC96" i="8"/>
  <c r="BZ96" i="8"/>
  <c r="BY96" i="8"/>
  <c r="BX96" i="8"/>
  <c r="BW96" i="8"/>
  <c r="BV96" i="8"/>
  <c r="BS96" i="8"/>
  <c r="BR96" i="8"/>
  <c r="BQ96" i="8"/>
  <c r="BP96" i="8"/>
  <c r="BO96" i="8"/>
  <c r="AA96" i="8"/>
  <c r="Z96" i="8"/>
  <c r="Y96" i="8"/>
  <c r="X96" i="8"/>
  <c r="W96" i="8"/>
  <c r="H242" i="8" s="1" a="1"/>
  <c r="H242" i="8" s="1"/>
  <c r="CG95" i="8"/>
  <c r="CF95" i="8"/>
  <c r="CE95" i="8"/>
  <c r="CD95" i="8"/>
  <c r="CC95" i="8"/>
  <c r="BZ95" i="8"/>
  <c r="BY95" i="8"/>
  <c r="BX95" i="8"/>
  <c r="BW95" i="8"/>
  <c r="BV95" i="8"/>
  <c r="BS95" i="8"/>
  <c r="BR95" i="8"/>
  <c r="BQ95" i="8"/>
  <c r="BP95" i="8"/>
  <c r="BO95" i="8"/>
  <c r="AA95" i="8"/>
  <c r="Z95" i="8"/>
  <c r="Y95" i="8"/>
  <c r="X95" i="8"/>
  <c r="W95" i="8"/>
  <c r="M241" i="8" s="1" a="1"/>
  <c r="M241" i="8" s="1"/>
  <c r="CG94" i="8"/>
  <c r="CF94" i="8"/>
  <c r="CE94" i="8"/>
  <c r="CD94" i="8"/>
  <c r="CC94" i="8"/>
  <c r="BZ94" i="8"/>
  <c r="BY94" i="8"/>
  <c r="BX94" i="8"/>
  <c r="BW94" i="8"/>
  <c r="BV94" i="8"/>
  <c r="BS94" i="8"/>
  <c r="BR94" i="8"/>
  <c r="BQ94" i="8"/>
  <c r="BP94" i="8"/>
  <c r="BO94" i="8"/>
  <c r="AA94" i="8"/>
  <c r="Z94" i="8"/>
  <c r="Y94" i="8"/>
  <c r="X94" i="8"/>
  <c r="W94" i="8"/>
  <c r="M240" i="8" s="1" a="1"/>
  <c r="M240" i="8" s="1"/>
  <c r="CG93" i="8"/>
  <c r="CF93" i="8"/>
  <c r="CE93" i="8"/>
  <c r="CD93" i="8"/>
  <c r="CC93" i="8"/>
  <c r="BZ93" i="8"/>
  <c r="BY93" i="8"/>
  <c r="BX93" i="8"/>
  <c r="BW93" i="8"/>
  <c r="BV93" i="8"/>
  <c r="BS93" i="8"/>
  <c r="BR93" i="8"/>
  <c r="BQ93" i="8"/>
  <c r="BP93" i="8"/>
  <c r="BO93" i="8"/>
  <c r="AA93" i="8"/>
  <c r="Z93" i="8"/>
  <c r="Y93" i="8"/>
  <c r="X93" i="8"/>
  <c r="W93" i="8"/>
  <c r="H239" i="8" s="1" a="1"/>
  <c r="H239" i="8" s="1"/>
  <c r="CG92" i="8"/>
  <c r="CF92" i="8"/>
  <c r="CE92" i="8"/>
  <c r="CD92" i="8"/>
  <c r="CC92" i="8"/>
  <c r="BZ92" i="8"/>
  <c r="BY92" i="8"/>
  <c r="BX92" i="8"/>
  <c r="BW92" i="8"/>
  <c r="BV92" i="8"/>
  <c r="BS92" i="8"/>
  <c r="BR92" i="8"/>
  <c r="BQ92" i="8"/>
  <c r="BP92" i="8"/>
  <c r="BO92" i="8"/>
  <c r="AA92" i="8"/>
  <c r="Z92" i="8"/>
  <c r="Y92" i="8"/>
  <c r="X92" i="8"/>
  <c r="W92" i="8"/>
  <c r="M238" i="8" s="1" a="1"/>
  <c r="M238" i="8" s="1"/>
  <c r="CG91" i="8"/>
  <c r="CF91" i="8"/>
  <c r="CE91" i="8"/>
  <c r="CD91" i="8"/>
  <c r="CC91" i="8"/>
  <c r="BZ91" i="8"/>
  <c r="BY91" i="8"/>
  <c r="BX91" i="8"/>
  <c r="BW91" i="8"/>
  <c r="BV91" i="8"/>
  <c r="BS91" i="8"/>
  <c r="BR91" i="8"/>
  <c r="BQ91" i="8"/>
  <c r="BP91" i="8"/>
  <c r="BO91" i="8"/>
  <c r="AA91" i="8"/>
  <c r="Z91" i="8"/>
  <c r="Y91" i="8"/>
  <c r="X91" i="8"/>
  <c r="W91" i="8"/>
  <c r="M237" i="8" s="1" a="1"/>
  <c r="M237" i="8" s="1"/>
  <c r="CG90" i="8"/>
  <c r="CF90" i="8"/>
  <c r="CE90" i="8"/>
  <c r="CD90" i="8"/>
  <c r="CC90" i="8"/>
  <c r="BZ90" i="8"/>
  <c r="BY90" i="8"/>
  <c r="BX90" i="8"/>
  <c r="BW90" i="8"/>
  <c r="BV90" i="8"/>
  <c r="BS90" i="8"/>
  <c r="BR90" i="8"/>
  <c r="BQ90" i="8"/>
  <c r="BP90" i="8"/>
  <c r="BO90" i="8"/>
  <c r="AA90" i="8"/>
  <c r="Z90" i="8"/>
  <c r="Y90" i="8"/>
  <c r="X90" i="8"/>
  <c r="W90" i="8"/>
  <c r="M236" i="8" s="1" a="1"/>
  <c r="M236" i="8" s="1"/>
  <c r="CG89" i="8"/>
  <c r="CF89" i="8"/>
  <c r="CE89" i="8"/>
  <c r="CD89" i="8"/>
  <c r="CC89" i="8"/>
  <c r="BZ89" i="8"/>
  <c r="BY89" i="8"/>
  <c r="BX89" i="8"/>
  <c r="BW89" i="8"/>
  <c r="BV89" i="8"/>
  <c r="BS89" i="8"/>
  <c r="BR89" i="8"/>
  <c r="BQ89" i="8"/>
  <c r="BP89" i="8"/>
  <c r="BO89" i="8"/>
  <c r="AA89" i="8"/>
  <c r="Z89" i="8"/>
  <c r="Y89" i="8"/>
  <c r="X89" i="8"/>
  <c r="W89" i="8"/>
  <c r="M235" i="8" s="1" a="1"/>
  <c r="M235" i="8" s="1"/>
  <c r="CG88" i="8"/>
  <c r="CF88" i="8"/>
  <c r="CE88" i="8"/>
  <c r="CD88" i="8"/>
  <c r="CC88" i="8"/>
  <c r="BZ88" i="8"/>
  <c r="BY88" i="8"/>
  <c r="BX88" i="8"/>
  <c r="BW88" i="8"/>
  <c r="BV88" i="8"/>
  <c r="BS88" i="8"/>
  <c r="BR88" i="8"/>
  <c r="BQ88" i="8"/>
  <c r="BP88" i="8"/>
  <c r="BO88" i="8"/>
  <c r="AA88" i="8"/>
  <c r="Z88" i="8"/>
  <c r="Y88" i="8"/>
  <c r="X88" i="8"/>
  <c r="W88" i="8"/>
  <c r="H234" i="8" s="1" a="1"/>
  <c r="H234" i="8" s="1"/>
  <c r="CG87" i="8"/>
  <c r="CF87" i="8"/>
  <c r="CE87" i="8"/>
  <c r="CD87" i="8"/>
  <c r="CC87" i="8"/>
  <c r="BZ87" i="8"/>
  <c r="BY87" i="8"/>
  <c r="BX87" i="8"/>
  <c r="BW87" i="8"/>
  <c r="BV87" i="8"/>
  <c r="BS87" i="8"/>
  <c r="BR87" i="8"/>
  <c r="BQ87" i="8"/>
  <c r="BP87" i="8"/>
  <c r="BO87" i="8"/>
  <c r="AA87" i="8"/>
  <c r="Z87" i="8"/>
  <c r="Y87" i="8"/>
  <c r="X87" i="8"/>
  <c r="W87" i="8"/>
  <c r="M233" i="8" s="1" a="1"/>
  <c r="M233" i="8" s="1"/>
  <c r="CG86" i="8"/>
  <c r="CF86" i="8"/>
  <c r="CE86" i="8"/>
  <c r="CD86" i="8"/>
  <c r="CC86" i="8"/>
  <c r="BZ86" i="8"/>
  <c r="BY86" i="8"/>
  <c r="BX86" i="8"/>
  <c r="BW86" i="8"/>
  <c r="BV86" i="8"/>
  <c r="BS86" i="8"/>
  <c r="BR86" i="8"/>
  <c r="BQ86" i="8"/>
  <c r="BP86" i="8"/>
  <c r="BO86" i="8"/>
  <c r="AA86" i="8"/>
  <c r="Z86" i="8"/>
  <c r="Y86" i="8"/>
  <c r="X86" i="8"/>
  <c r="W86" i="8"/>
  <c r="M232" i="8" s="1" a="1"/>
  <c r="M232" i="8" s="1"/>
  <c r="CG85" i="8"/>
  <c r="CF85" i="8"/>
  <c r="CE85" i="8"/>
  <c r="CD85" i="8"/>
  <c r="CC85" i="8"/>
  <c r="BZ85" i="8"/>
  <c r="BY85" i="8"/>
  <c r="BX85" i="8"/>
  <c r="BW85" i="8"/>
  <c r="BV85" i="8"/>
  <c r="BS85" i="8"/>
  <c r="BR85" i="8"/>
  <c r="BQ85" i="8"/>
  <c r="BP85" i="8"/>
  <c r="BO85" i="8"/>
  <c r="AA85" i="8"/>
  <c r="Z85" i="8"/>
  <c r="Y85" i="8"/>
  <c r="X85" i="8"/>
  <c r="W85" i="8"/>
  <c r="H231" i="8" s="1" a="1"/>
  <c r="H231" i="8" s="1"/>
  <c r="CG84" i="8"/>
  <c r="CF84" i="8"/>
  <c r="CE84" i="8"/>
  <c r="CD84" i="8"/>
  <c r="CC84" i="8"/>
  <c r="BZ84" i="8"/>
  <c r="BY84" i="8"/>
  <c r="BX84" i="8"/>
  <c r="BW84" i="8"/>
  <c r="BV84" i="8"/>
  <c r="BS84" i="8"/>
  <c r="BR84" i="8"/>
  <c r="BQ84" i="8"/>
  <c r="BP84" i="8"/>
  <c r="BO84" i="8"/>
  <c r="AA84" i="8"/>
  <c r="Z84" i="8"/>
  <c r="Y84" i="8"/>
  <c r="X84" i="8"/>
  <c r="W84" i="8"/>
  <c r="M230" i="8" s="1" a="1"/>
  <c r="M230" i="8" s="1"/>
  <c r="CG83" i="8"/>
  <c r="CF83" i="8"/>
  <c r="CE83" i="8"/>
  <c r="CD83" i="8"/>
  <c r="CC83" i="8"/>
  <c r="BZ83" i="8"/>
  <c r="BY83" i="8"/>
  <c r="BX83" i="8"/>
  <c r="BW83" i="8"/>
  <c r="BV83" i="8"/>
  <c r="BS83" i="8"/>
  <c r="BR83" i="8"/>
  <c r="BQ83" i="8"/>
  <c r="BP83" i="8"/>
  <c r="BO83" i="8"/>
  <c r="AA83" i="8"/>
  <c r="Z83" i="8"/>
  <c r="Y83" i="8"/>
  <c r="X83" i="8"/>
  <c r="W83" i="8"/>
  <c r="M229" i="8" s="1" a="1"/>
  <c r="M229" i="8" s="1"/>
  <c r="CG82" i="8"/>
  <c r="CF82" i="8"/>
  <c r="CE82" i="8"/>
  <c r="CD82" i="8"/>
  <c r="CC82" i="8"/>
  <c r="BZ82" i="8"/>
  <c r="BY82" i="8"/>
  <c r="BX82" i="8"/>
  <c r="BW82" i="8"/>
  <c r="BV82" i="8"/>
  <c r="BS82" i="8"/>
  <c r="BR82" i="8"/>
  <c r="BQ82" i="8"/>
  <c r="BP82" i="8"/>
  <c r="BO82" i="8"/>
  <c r="AA82" i="8"/>
  <c r="Z82" i="8"/>
  <c r="Y82" i="8"/>
  <c r="X82" i="8"/>
  <c r="W82" i="8"/>
  <c r="M228" i="8" s="1" a="1"/>
  <c r="M228" i="8" s="1"/>
  <c r="CG81" i="8"/>
  <c r="CF81" i="8"/>
  <c r="CE81" i="8"/>
  <c r="CD81" i="8"/>
  <c r="CC81" i="8"/>
  <c r="BZ81" i="8"/>
  <c r="BY81" i="8"/>
  <c r="BX81" i="8"/>
  <c r="BW81" i="8"/>
  <c r="BV81" i="8"/>
  <c r="BS81" i="8"/>
  <c r="BR81" i="8"/>
  <c r="BQ81" i="8"/>
  <c r="BP81" i="8"/>
  <c r="BO81" i="8"/>
  <c r="AA81" i="8"/>
  <c r="Z81" i="8"/>
  <c r="Y81" i="8"/>
  <c r="X81" i="8"/>
  <c r="W81" i="8"/>
  <c r="M227" i="8" s="1" a="1"/>
  <c r="M227" i="8" s="1"/>
  <c r="CG80" i="8"/>
  <c r="CF80" i="8"/>
  <c r="CE80" i="8"/>
  <c r="CD80" i="8"/>
  <c r="CC80" i="8"/>
  <c r="BZ80" i="8"/>
  <c r="BY80" i="8"/>
  <c r="BX80" i="8"/>
  <c r="BW80" i="8"/>
  <c r="BV80" i="8"/>
  <c r="BS80" i="8"/>
  <c r="BR80" i="8"/>
  <c r="BQ80" i="8"/>
  <c r="BP80" i="8"/>
  <c r="BO80" i="8"/>
  <c r="AA80" i="8"/>
  <c r="Z80" i="8"/>
  <c r="Y80" i="8"/>
  <c r="X80" i="8"/>
  <c r="W80" i="8"/>
  <c r="H226" i="8" s="1" a="1"/>
  <c r="H226" i="8" s="1"/>
  <c r="CG79" i="8"/>
  <c r="CF79" i="8"/>
  <c r="CE79" i="8"/>
  <c r="CD79" i="8"/>
  <c r="CC79" i="8"/>
  <c r="BZ79" i="8"/>
  <c r="BY79" i="8"/>
  <c r="BX79" i="8"/>
  <c r="BW79" i="8"/>
  <c r="BV79" i="8"/>
  <c r="BS79" i="8"/>
  <c r="BR79" i="8"/>
  <c r="BQ79" i="8"/>
  <c r="BP79" i="8"/>
  <c r="BO79" i="8"/>
  <c r="AA79" i="8"/>
  <c r="Z79" i="8"/>
  <c r="Y79" i="8"/>
  <c r="X79" i="8"/>
  <c r="W79" i="8"/>
  <c r="M225" i="8" s="1" a="1"/>
  <c r="M225" i="8" s="1"/>
  <c r="CG78" i="8"/>
  <c r="CF78" i="8"/>
  <c r="CE78" i="8"/>
  <c r="CD78" i="8"/>
  <c r="CC78" i="8"/>
  <c r="BZ78" i="8"/>
  <c r="BY78" i="8"/>
  <c r="BX78" i="8"/>
  <c r="BW78" i="8"/>
  <c r="BV78" i="8"/>
  <c r="BS78" i="8"/>
  <c r="BR78" i="8"/>
  <c r="BQ78" i="8"/>
  <c r="BP78" i="8"/>
  <c r="BO78" i="8"/>
  <c r="AA78" i="8"/>
  <c r="Z78" i="8"/>
  <c r="Y78" i="8"/>
  <c r="X78" i="8"/>
  <c r="W78" i="8"/>
  <c r="M224" i="8" s="1" a="1"/>
  <c r="M224" i="8" s="1"/>
  <c r="CG77" i="8"/>
  <c r="CF77" i="8"/>
  <c r="CE77" i="8"/>
  <c r="CD77" i="8"/>
  <c r="CC77" i="8"/>
  <c r="BZ77" i="8"/>
  <c r="BY77" i="8"/>
  <c r="BX77" i="8"/>
  <c r="BW77" i="8"/>
  <c r="BV77" i="8"/>
  <c r="BS77" i="8"/>
  <c r="BR77" i="8"/>
  <c r="BQ77" i="8"/>
  <c r="BP77" i="8"/>
  <c r="BO77" i="8"/>
  <c r="AA77" i="8"/>
  <c r="Z77" i="8"/>
  <c r="Y77" i="8"/>
  <c r="X77" i="8"/>
  <c r="W77" i="8"/>
  <c r="H223" i="8" s="1" a="1"/>
  <c r="H223" i="8" s="1"/>
  <c r="CG76" i="8"/>
  <c r="CF76" i="8"/>
  <c r="CE76" i="8"/>
  <c r="CD76" i="8"/>
  <c r="CC76" i="8"/>
  <c r="BZ76" i="8"/>
  <c r="BY76" i="8"/>
  <c r="BX76" i="8"/>
  <c r="BW76" i="8"/>
  <c r="BV76" i="8"/>
  <c r="BS76" i="8"/>
  <c r="BR76" i="8"/>
  <c r="BQ76" i="8"/>
  <c r="BP76" i="8"/>
  <c r="BO76" i="8"/>
  <c r="AA76" i="8"/>
  <c r="Z76" i="8"/>
  <c r="Y76" i="8"/>
  <c r="X76" i="8"/>
  <c r="W76" i="8"/>
  <c r="M222" i="8" s="1" a="1"/>
  <c r="M222" i="8" s="1"/>
  <c r="CG75" i="8"/>
  <c r="CF75" i="8"/>
  <c r="CE75" i="8"/>
  <c r="CD75" i="8"/>
  <c r="CC75" i="8"/>
  <c r="BZ75" i="8"/>
  <c r="BY75" i="8"/>
  <c r="BX75" i="8"/>
  <c r="BW75" i="8"/>
  <c r="BV75" i="8"/>
  <c r="BS75" i="8"/>
  <c r="BR75" i="8"/>
  <c r="BQ75" i="8"/>
  <c r="BP75" i="8"/>
  <c r="BO75" i="8"/>
  <c r="AA75" i="8"/>
  <c r="Z75" i="8"/>
  <c r="Y75" i="8"/>
  <c r="X75" i="8"/>
  <c r="W75" i="8"/>
  <c r="M221" i="8" s="1" a="1"/>
  <c r="M221" i="8" s="1"/>
  <c r="CG74" i="8"/>
  <c r="CF74" i="8"/>
  <c r="CE74" i="8"/>
  <c r="CD74" i="8"/>
  <c r="CC74" i="8"/>
  <c r="BZ74" i="8"/>
  <c r="BY74" i="8"/>
  <c r="BX74" i="8"/>
  <c r="BW74" i="8"/>
  <c r="BV74" i="8"/>
  <c r="BS74" i="8"/>
  <c r="BR74" i="8"/>
  <c r="BQ74" i="8"/>
  <c r="BP74" i="8"/>
  <c r="BO74" i="8"/>
  <c r="AA74" i="8"/>
  <c r="Z74" i="8"/>
  <c r="Y74" i="8"/>
  <c r="X74" i="8"/>
  <c r="W74" i="8"/>
  <c r="M220" i="8" s="1" a="1"/>
  <c r="M220" i="8" s="1"/>
  <c r="CG73" i="8"/>
  <c r="CF73" i="8"/>
  <c r="CE73" i="8"/>
  <c r="CD73" i="8"/>
  <c r="CC73" i="8"/>
  <c r="BZ73" i="8"/>
  <c r="BY73" i="8"/>
  <c r="BX73" i="8"/>
  <c r="BW73" i="8"/>
  <c r="BV73" i="8"/>
  <c r="BS73" i="8"/>
  <c r="BR73" i="8"/>
  <c r="BQ73" i="8"/>
  <c r="BP73" i="8"/>
  <c r="BO73" i="8"/>
  <c r="AA73" i="8"/>
  <c r="Z73" i="8"/>
  <c r="Y73" i="8"/>
  <c r="X73" i="8"/>
  <c r="W73" i="8"/>
  <c r="M219" i="8" s="1" a="1"/>
  <c r="M219" i="8" s="1"/>
  <c r="CG72" i="8"/>
  <c r="CF72" i="8"/>
  <c r="CE72" i="8"/>
  <c r="CD72" i="8"/>
  <c r="CC72" i="8"/>
  <c r="BZ72" i="8"/>
  <c r="BY72" i="8"/>
  <c r="BX72" i="8"/>
  <c r="BW72" i="8"/>
  <c r="BV72" i="8"/>
  <c r="BS72" i="8"/>
  <c r="BR72" i="8"/>
  <c r="BQ72" i="8"/>
  <c r="BP72" i="8"/>
  <c r="BO72" i="8"/>
  <c r="AA72" i="8"/>
  <c r="Z72" i="8"/>
  <c r="Y72" i="8"/>
  <c r="X72" i="8"/>
  <c r="W72" i="8"/>
  <c r="H218" i="8" s="1" a="1"/>
  <c r="H218" i="8" s="1"/>
  <c r="CG71" i="8"/>
  <c r="CF71" i="8"/>
  <c r="CE71" i="8"/>
  <c r="CD71" i="8"/>
  <c r="CC71" i="8"/>
  <c r="BZ71" i="8"/>
  <c r="BY71" i="8"/>
  <c r="BX71" i="8"/>
  <c r="BW71" i="8"/>
  <c r="BV71" i="8"/>
  <c r="BS71" i="8"/>
  <c r="BR71" i="8"/>
  <c r="BQ71" i="8"/>
  <c r="BP71" i="8"/>
  <c r="BO71" i="8"/>
  <c r="AA71" i="8"/>
  <c r="Z71" i="8"/>
  <c r="Y71" i="8"/>
  <c r="X71" i="8"/>
  <c r="W71" i="8"/>
  <c r="M217" i="8" s="1" a="1"/>
  <c r="M217" i="8" s="1"/>
  <c r="CG70" i="8"/>
  <c r="CF70" i="8"/>
  <c r="CE70" i="8"/>
  <c r="CD70" i="8"/>
  <c r="CC70" i="8"/>
  <c r="BZ70" i="8"/>
  <c r="BY70" i="8"/>
  <c r="BX70" i="8"/>
  <c r="BW70" i="8"/>
  <c r="BV70" i="8"/>
  <c r="BS70" i="8"/>
  <c r="BR70" i="8"/>
  <c r="BQ70" i="8"/>
  <c r="BP70" i="8"/>
  <c r="BO70" i="8"/>
  <c r="AA70" i="8"/>
  <c r="Z70" i="8"/>
  <c r="Y70" i="8"/>
  <c r="X70" i="8"/>
  <c r="W70" i="8"/>
  <c r="M216" i="8" s="1" a="1"/>
  <c r="M216" i="8" s="1"/>
  <c r="CG69" i="8"/>
  <c r="CF69" i="8"/>
  <c r="CE69" i="8"/>
  <c r="CD69" i="8"/>
  <c r="CC69" i="8"/>
  <c r="BZ69" i="8"/>
  <c r="BY69" i="8"/>
  <c r="BX69" i="8"/>
  <c r="BW69" i="8"/>
  <c r="BV69" i="8"/>
  <c r="BS69" i="8"/>
  <c r="BR69" i="8"/>
  <c r="BQ69" i="8"/>
  <c r="BP69" i="8"/>
  <c r="BO69" i="8"/>
  <c r="AA69" i="8"/>
  <c r="Z69" i="8"/>
  <c r="Y69" i="8"/>
  <c r="X69" i="8"/>
  <c r="W69" i="8"/>
  <c r="H215" i="8" s="1" a="1"/>
  <c r="H215" i="8" s="1"/>
  <c r="CG68" i="8"/>
  <c r="CF68" i="8"/>
  <c r="CE68" i="8"/>
  <c r="CD68" i="8"/>
  <c r="CC68" i="8"/>
  <c r="BZ68" i="8"/>
  <c r="BY68" i="8"/>
  <c r="BX68" i="8"/>
  <c r="BW68" i="8"/>
  <c r="BV68" i="8"/>
  <c r="BS68" i="8"/>
  <c r="BR68" i="8"/>
  <c r="BQ68" i="8"/>
  <c r="BP68" i="8"/>
  <c r="BO68" i="8"/>
  <c r="AA68" i="8"/>
  <c r="Z68" i="8"/>
  <c r="Y68" i="8"/>
  <c r="X68" i="8"/>
  <c r="W68" i="8"/>
  <c r="M214" i="8" s="1" a="1"/>
  <c r="M214" i="8" s="1"/>
  <c r="CG67" i="8"/>
  <c r="CF67" i="8"/>
  <c r="CE67" i="8"/>
  <c r="CD67" i="8"/>
  <c r="CC67" i="8"/>
  <c r="BZ67" i="8"/>
  <c r="BY67" i="8"/>
  <c r="BX67" i="8"/>
  <c r="BW67" i="8"/>
  <c r="BV67" i="8"/>
  <c r="BS67" i="8"/>
  <c r="BR67" i="8"/>
  <c r="BQ67" i="8"/>
  <c r="BP67" i="8"/>
  <c r="BO67" i="8"/>
  <c r="AA67" i="8"/>
  <c r="Z67" i="8"/>
  <c r="Y67" i="8"/>
  <c r="X67" i="8"/>
  <c r="W67" i="8"/>
  <c r="M213" i="8" s="1" a="1"/>
  <c r="M213" i="8" s="1"/>
  <c r="CG66" i="8"/>
  <c r="CF66" i="8"/>
  <c r="CE66" i="8"/>
  <c r="CD66" i="8"/>
  <c r="CC66" i="8"/>
  <c r="BZ66" i="8"/>
  <c r="BY66" i="8"/>
  <c r="BX66" i="8"/>
  <c r="BW66" i="8"/>
  <c r="BV66" i="8"/>
  <c r="BS66" i="8"/>
  <c r="BR66" i="8"/>
  <c r="BQ66" i="8"/>
  <c r="BP66" i="8"/>
  <c r="BO66" i="8"/>
  <c r="AA66" i="8"/>
  <c r="Z66" i="8"/>
  <c r="Y66" i="8"/>
  <c r="X66" i="8"/>
  <c r="W66" i="8"/>
  <c r="M212" i="8" s="1" a="1"/>
  <c r="M212" i="8" s="1"/>
  <c r="CG65" i="8"/>
  <c r="CF65" i="8"/>
  <c r="CE65" i="8"/>
  <c r="CD65" i="8"/>
  <c r="CC65" i="8"/>
  <c r="BZ65" i="8"/>
  <c r="BY65" i="8"/>
  <c r="BX65" i="8"/>
  <c r="BW65" i="8"/>
  <c r="BV65" i="8"/>
  <c r="BS65" i="8"/>
  <c r="BR65" i="8"/>
  <c r="BQ65" i="8"/>
  <c r="BP65" i="8"/>
  <c r="BO65" i="8"/>
  <c r="AA65" i="8"/>
  <c r="Z65" i="8"/>
  <c r="Y65" i="8"/>
  <c r="X65" i="8"/>
  <c r="W65" i="8"/>
  <c r="M211" i="8" s="1" a="1"/>
  <c r="M211" i="8" s="1"/>
  <c r="CG64" i="8"/>
  <c r="CF64" i="8"/>
  <c r="CE64" i="8"/>
  <c r="CD64" i="8"/>
  <c r="CC64" i="8"/>
  <c r="BZ64" i="8"/>
  <c r="BY64" i="8"/>
  <c r="BX64" i="8"/>
  <c r="BW64" i="8"/>
  <c r="BV64" i="8"/>
  <c r="BS64" i="8"/>
  <c r="BR64" i="8"/>
  <c r="BQ64" i="8"/>
  <c r="BP64" i="8"/>
  <c r="BO64" i="8"/>
  <c r="AA64" i="8"/>
  <c r="Z64" i="8"/>
  <c r="Y64" i="8"/>
  <c r="X64" i="8"/>
  <c r="W64" i="8"/>
  <c r="H210" i="8" s="1" a="1"/>
  <c r="H210" i="8" s="1"/>
  <c r="CG63" i="8"/>
  <c r="CF63" i="8"/>
  <c r="CE63" i="8"/>
  <c r="CD63" i="8"/>
  <c r="CC63" i="8"/>
  <c r="BZ63" i="8"/>
  <c r="BY63" i="8"/>
  <c r="BX63" i="8"/>
  <c r="BW63" i="8"/>
  <c r="BV63" i="8"/>
  <c r="BS63" i="8"/>
  <c r="BR63" i="8"/>
  <c r="BQ63" i="8"/>
  <c r="BP63" i="8"/>
  <c r="BO63" i="8"/>
  <c r="AA63" i="8"/>
  <c r="Z63" i="8"/>
  <c r="Y63" i="8"/>
  <c r="X63" i="8"/>
  <c r="W63" i="8"/>
  <c r="M209" i="8" s="1" a="1"/>
  <c r="M209" i="8" s="1"/>
  <c r="CG62" i="8"/>
  <c r="CF62" i="8"/>
  <c r="CE62" i="8"/>
  <c r="CD62" i="8"/>
  <c r="CC62" i="8"/>
  <c r="BZ62" i="8"/>
  <c r="BY62" i="8"/>
  <c r="BX62" i="8"/>
  <c r="BW62" i="8"/>
  <c r="BV62" i="8"/>
  <c r="BS62" i="8"/>
  <c r="BR62" i="8"/>
  <c r="BQ62" i="8"/>
  <c r="BP62" i="8"/>
  <c r="BO62" i="8"/>
  <c r="AA62" i="8"/>
  <c r="Z62" i="8"/>
  <c r="Y62" i="8"/>
  <c r="X62" i="8"/>
  <c r="W62" i="8"/>
  <c r="M208" i="8" s="1" a="1"/>
  <c r="M208" i="8" s="1"/>
  <c r="CG61" i="8"/>
  <c r="CF61" i="8"/>
  <c r="CE61" i="8"/>
  <c r="CD61" i="8"/>
  <c r="CC61" i="8"/>
  <c r="BZ61" i="8"/>
  <c r="BY61" i="8"/>
  <c r="BX61" i="8"/>
  <c r="BW61" i="8"/>
  <c r="BV61" i="8"/>
  <c r="BS61" i="8"/>
  <c r="BR61" i="8"/>
  <c r="BQ61" i="8"/>
  <c r="BP61" i="8"/>
  <c r="BO61" i="8"/>
  <c r="AA61" i="8"/>
  <c r="Z61" i="8"/>
  <c r="Y61" i="8"/>
  <c r="X61" i="8"/>
  <c r="W61" i="8"/>
  <c r="H207" i="8" s="1" a="1"/>
  <c r="H207" i="8" s="1"/>
  <c r="CG60" i="8"/>
  <c r="CF60" i="8"/>
  <c r="CE60" i="8"/>
  <c r="CD60" i="8"/>
  <c r="CC60" i="8"/>
  <c r="BZ60" i="8"/>
  <c r="BY60" i="8"/>
  <c r="BX60" i="8"/>
  <c r="BW60" i="8"/>
  <c r="BV60" i="8"/>
  <c r="BS60" i="8"/>
  <c r="BR60" i="8"/>
  <c r="BQ60" i="8"/>
  <c r="BP60" i="8"/>
  <c r="BO60" i="8"/>
  <c r="AA60" i="8"/>
  <c r="Z60" i="8"/>
  <c r="Y60" i="8"/>
  <c r="X60" i="8"/>
  <c r="W60" i="8"/>
  <c r="M206" i="8" s="1" a="1"/>
  <c r="M206" i="8" s="1"/>
  <c r="CG59" i="8"/>
  <c r="CF59" i="8"/>
  <c r="CE59" i="8"/>
  <c r="CD59" i="8"/>
  <c r="CC59" i="8"/>
  <c r="BZ59" i="8"/>
  <c r="BY59" i="8"/>
  <c r="BX59" i="8"/>
  <c r="BW59" i="8"/>
  <c r="BV59" i="8"/>
  <c r="BS59" i="8"/>
  <c r="BR59" i="8"/>
  <c r="BQ59" i="8"/>
  <c r="BP59" i="8"/>
  <c r="BO59" i="8"/>
  <c r="AA59" i="8"/>
  <c r="Z59" i="8"/>
  <c r="Y59" i="8"/>
  <c r="X59" i="8"/>
  <c r="W59" i="8"/>
  <c r="M205" i="8" s="1" a="1"/>
  <c r="M205" i="8" s="1"/>
  <c r="CG58" i="8"/>
  <c r="CF58" i="8"/>
  <c r="CE58" i="8"/>
  <c r="CD58" i="8"/>
  <c r="CC58" i="8"/>
  <c r="BZ58" i="8"/>
  <c r="BY58" i="8"/>
  <c r="BX58" i="8"/>
  <c r="BW58" i="8"/>
  <c r="BV58" i="8"/>
  <c r="BS58" i="8"/>
  <c r="BR58" i="8"/>
  <c r="BQ58" i="8"/>
  <c r="BP58" i="8"/>
  <c r="BO58" i="8"/>
  <c r="AA58" i="8"/>
  <c r="Z58" i="8"/>
  <c r="Y58" i="8"/>
  <c r="X58" i="8"/>
  <c r="W58" i="8"/>
  <c r="M204" i="8" s="1" a="1"/>
  <c r="M204" i="8" s="1"/>
  <c r="CG57" i="8"/>
  <c r="CF57" i="8"/>
  <c r="CE57" i="8"/>
  <c r="CD57" i="8"/>
  <c r="CC57" i="8"/>
  <c r="BZ57" i="8"/>
  <c r="BY57" i="8"/>
  <c r="BX57" i="8"/>
  <c r="BW57" i="8"/>
  <c r="BV57" i="8"/>
  <c r="BS57" i="8"/>
  <c r="BR57" i="8"/>
  <c r="BQ57" i="8"/>
  <c r="BP57" i="8"/>
  <c r="BO57" i="8"/>
  <c r="AA57" i="8"/>
  <c r="Z57" i="8"/>
  <c r="Y57" i="8"/>
  <c r="X57" i="8"/>
  <c r="W57" i="8"/>
  <c r="M203" i="8" s="1" a="1"/>
  <c r="M203" i="8" s="1"/>
  <c r="CG56" i="8"/>
  <c r="CF56" i="8"/>
  <c r="CE56" i="8"/>
  <c r="CD56" i="8"/>
  <c r="CC56" i="8"/>
  <c r="BZ56" i="8"/>
  <c r="BY56" i="8"/>
  <c r="BX56" i="8"/>
  <c r="BW56" i="8"/>
  <c r="BV56" i="8"/>
  <c r="BS56" i="8"/>
  <c r="BR56" i="8"/>
  <c r="BQ56" i="8"/>
  <c r="BP56" i="8"/>
  <c r="BO56" i="8"/>
  <c r="AA56" i="8"/>
  <c r="Z56" i="8"/>
  <c r="Y56" i="8"/>
  <c r="X56" i="8"/>
  <c r="W56" i="8"/>
  <c r="H202" i="8" s="1" a="1"/>
  <c r="H202" i="8" s="1"/>
  <c r="CG55" i="8"/>
  <c r="CF55" i="8"/>
  <c r="CE55" i="8"/>
  <c r="CD55" i="8"/>
  <c r="CC55" i="8"/>
  <c r="BZ55" i="8"/>
  <c r="BY55" i="8"/>
  <c r="BX55" i="8"/>
  <c r="BW55" i="8"/>
  <c r="BV55" i="8"/>
  <c r="BS55" i="8"/>
  <c r="BR55" i="8"/>
  <c r="BQ55" i="8"/>
  <c r="BP55" i="8"/>
  <c r="BO55" i="8"/>
  <c r="AA55" i="8"/>
  <c r="Z55" i="8"/>
  <c r="Y55" i="8"/>
  <c r="X55" i="8"/>
  <c r="W55" i="8"/>
  <c r="M201" i="8" s="1" a="1"/>
  <c r="M201" i="8" s="1"/>
  <c r="CG54" i="8"/>
  <c r="CF54" i="8"/>
  <c r="CE54" i="8"/>
  <c r="CD54" i="8"/>
  <c r="CC54" i="8"/>
  <c r="BZ54" i="8"/>
  <c r="BY54" i="8"/>
  <c r="BX54" i="8"/>
  <c r="BW54" i="8"/>
  <c r="BV54" i="8"/>
  <c r="BS54" i="8"/>
  <c r="BR54" i="8"/>
  <c r="BQ54" i="8"/>
  <c r="BP54" i="8"/>
  <c r="BO54" i="8"/>
  <c r="AA54" i="8"/>
  <c r="Z54" i="8"/>
  <c r="Y54" i="8"/>
  <c r="X54" i="8"/>
  <c r="W54" i="8"/>
  <c r="M200" i="8" s="1" a="1"/>
  <c r="M200" i="8" s="1"/>
  <c r="CG53" i="8"/>
  <c r="CF53" i="8"/>
  <c r="CE53" i="8"/>
  <c r="CD53" i="8"/>
  <c r="CC53" i="8"/>
  <c r="BZ53" i="8"/>
  <c r="BY53" i="8"/>
  <c r="BX53" i="8"/>
  <c r="BW53" i="8"/>
  <c r="BV53" i="8"/>
  <c r="BS53" i="8"/>
  <c r="BR53" i="8"/>
  <c r="BQ53" i="8"/>
  <c r="BP53" i="8"/>
  <c r="BO53" i="8"/>
  <c r="AA53" i="8"/>
  <c r="Z53" i="8"/>
  <c r="Y53" i="8"/>
  <c r="X53" i="8"/>
  <c r="W53" i="8"/>
  <c r="H199" i="8" s="1" a="1"/>
  <c r="H199" i="8" s="1"/>
  <c r="CG52" i="8"/>
  <c r="CF52" i="8"/>
  <c r="CE52" i="8"/>
  <c r="CD52" i="8"/>
  <c r="CC52" i="8"/>
  <c r="BZ52" i="8"/>
  <c r="BY52" i="8"/>
  <c r="BX52" i="8"/>
  <c r="BW52" i="8"/>
  <c r="BV52" i="8"/>
  <c r="BS52" i="8"/>
  <c r="BR52" i="8"/>
  <c r="BQ52" i="8"/>
  <c r="BP52" i="8"/>
  <c r="BO52" i="8"/>
  <c r="AA52" i="8"/>
  <c r="Z52" i="8"/>
  <c r="Y52" i="8"/>
  <c r="X52" i="8"/>
  <c r="W52" i="8"/>
  <c r="M198" i="8" s="1" a="1"/>
  <c r="M198" i="8" s="1"/>
  <c r="CG51" i="8"/>
  <c r="CF51" i="8"/>
  <c r="CE51" i="8"/>
  <c r="CD51" i="8"/>
  <c r="CC51" i="8"/>
  <c r="BZ51" i="8"/>
  <c r="BY51" i="8"/>
  <c r="BX51" i="8"/>
  <c r="BW51" i="8"/>
  <c r="BV51" i="8"/>
  <c r="BS51" i="8"/>
  <c r="BR51" i="8"/>
  <c r="BQ51" i="8"/>
  <c r="BP51" i="8"/>
  <c r="BO51" i="8"/>
  <c r="AA51" i="8"/>
  <c r="Z51" i="8"/>
  <c r="Y51" i="8"/>
  <c r="X51" i="8"/>
  <c r="W51" i="8"/>
  <c r="M197" i="8" s="1" a="1"/>
  <c r="M197" i="8" s="1"/>
  <c r="CG50" i="8"/>
  <c r="CF50" i="8"/>
  <c r="CE50" i="8"/>
  <c r="CD50" i="8"/>
  <c r="CC50" i="8"/>
  <c r="BZ50" i="8"/>
  <c r="BY50" i="8"/>
  <c r="BX50" i="8"/>
  <c r="BW50" i="8"/>
  <c r="BV50" i="8"/>
  <c r="BS50" i="8"/>
  <c r="BR50" i="8"/>
  <c r="BQ50" i="8"/>
  <c r="BP50" i="8"/>
  <c r="BO50" i="8"/>
  <c r="AA50" i="8"/>
  <c r="Z50" i="8"/>
  <c r="Y50" i="8"/>
  <c r="X50" i="8"/>
  <c r="W50" i="8"/>
  <c r="M196" i="8" s="1" a="1"/>
  <c r="M196" i="8" s="1"/>
  <c r="CG49" i="8"/>
  <c r="CF49" i="8"/>
  <c r="CE49" i="8"/>
  <c r="CD49" i="8"/>
  <c r="CC49" i="8"/>
  <c r="BZ49" i="8"/>
  <c r="BY49" i="8"/>
  <c r="BX49" i="8"/>
  <c r="BW49" i="8"/>
  <c r="BV49" i="8"/>
  <c r="BS49" i="8"/>
  <c r="BR49" i="8"/>
  <c r="BQ49" i="8"/>
  <c r="BP49" i="8"/>
  <c r="BO49" i="8"/>
  <c r="AA49" i="8"/>
  <c r="Z49" i="8"/>
  <c r="Y49" i="8"/>
  <c r="X49" i="8"/>
  <c r="W49" i="8"/>
  <c r="M195" i="8" s="1" a="1"/>
  <c r="M195" i="8" s="1"/>
  <c r="CG48" i="8"/>
  <c r="CF48" i="8"/>
  <c r="CE48" i="8"/>
  <c r="CD48" i="8"/>
  <c r="CC48" i="8"/>
  <c r="BZ48" i="8"/>
  <c r="BY48" i="8"/>
  <c r="BX48" i="8"/>
  <c r="BW48" i="8"/>
  <c r="BV48" i="8"/>
  <c r="BS48" i="8"/>
  <c r="BR48" i="8"/>
  <c r="BQ48" i="8"/>
  <c r="BP48" i="8"/>
  <c r="BO48" i="8"/>
  <c r="AA48" i="8"/>
  <c r="Z48" i="8"/>
  <c r="Y48" i="8"/>
  <c r="X48" i="8"/>
  <c r="W48" i="8"/>
  <c r="H194" i="8" s="1" a="1"/>
  <c r="H194" i="8" s="1"/>
  <c r="CG47" i="8"/>
  <c r="CF47" i="8"/>
  <c r="CE47" i="8"/>
  <c r="CD47" i="8"/>
  <c r="CC47" i="8"/>
  <c r="BZ47" i="8"/>
  <c r="BY47" i="8"/>
  <c r="BX47" i="8"/>
  <c r="BW47" i="8"/>
  <c r="BV47" i="8"/>
  <c r="BS47" i="8"/>
  <c r="BR47" i="8"/>
  <c r="BQ47" i="8"/>
  <c r="BP47" i="8"/>
  <c r="BO47" i="8"/>
  <c r="AA47" i="8"/>
  <c r="Z47" i="8"/>
  <c r="Y47" i="8"/>
  <c r="X47" i="8"/>
  <c r="W47" i="8"/>
  <c r="M193" i="8" s="1" a="1"/>
  <c r="M193" i="8" s="1"/>
  <c r="CG46" i="8"/>
  <c r="CF46" i="8"/>
  <c r="CE46" i="8"/>
  <c r="CD46" i="8"/>
  <c r="CC46" i="8"/>
  <c r="BZ46" i="8"/>
  <c r="BY46" i="8"/>
  <c r="BX46" i="8"/>
  <c r="BW46" i="8"/>
  <c r="BV46" i="8"/>
  <c r="BS46" i="8"/>
  <c r="BR46" i="8"/>
  <c r="BQ46" i="8"/>
  <c r="BP46" i="8"/>
  <c r="BO46" i="8"/>
  <c r="AA46" i="8"/>
  <c r="Z46" i="8"/>
  <c r="Y46" i="8"/>
  <c r="X46" i="8"/>
  <c r="W46" i="8"/>
  <c r="M192" i="8" s="1" a="1"/>
  <c r="M192" i="8" s="1"/>
  <c r="CG45" i="8"/>
  <c r="CF45" i="8"/>
  <c r="CE45" i="8"/>
  <c r="CD45" i="8"/>
  <c r="CC45" i="8"/>
  <c r="BZ45" i="8"/>
  <c r="BY45" i="8"/>
  <c r="BX45" i="8"/>
  <c r="BW45" i="8"/>
  <c r="BV45" i="8"/>
  <c r="BS45" i="8"/>
  <c r="BR45" i="8"/>
  <c r="BQ45" i="8"/>
  <c r="BP45" i="8"/>
  <c r="BO45" i="8"/>
  <c r="AA45" i="8"/>
  <c r="Z45" i="8"/>
  <c r="Y45" i="8"/>
  <c r="X45" i="8"/>
  <c r="W45" i="8"/>
  <c r="H191" i="8" s="1" a="1"/>
  <c r="H191" i="8" s="1"/>
  <c r="CG44" i="8"/>
  <c r="CF44" i="8"/>
  <c r="CE44" i="8"/>
  <c r="CD44" i="8"/>
  <c r="CC44" i="8"/>
  <c r="BZ44" i="8"/>
  <c r="BY44" i="8"/>
  <c r="BX44" i="8"/>
  <c r="BW44" i="8"/>
  <c r="BV44" i="8"/>
  <c r="BS44" i="8"/>
  <c r="BR44" i="8"/>
  <c r="BQ44" i="8"/>
  <c r="BP44" i="8"/>
  <c r="BO44" i="8"/>
  <c r="AA44" i="8"/>
  <c r="Z44" i="8"/>
  <c r="Y44" i="8"/>
  <c r="X44" i="8"/>
  <c r="W44" i="8"/>
  <c r="M190" i="8" s="1" a="1"/>
  <c r="M190" i="8" s="1"/>
  <c r="CG43" i="8"/>
  <c r="CF43" i="8"/>
  <c r="CE43" i="8"/>
  <c r="CD43" i="8"/>
  <c r="CC43" i="8"/>
  <c r="BZ43" i="8"/>
  <c r="BY43" i="8"/>
  <c r="BX43" i="8"/>
  <c r="BW43" i="8"/>
  <c r="BV43" i="8"/>
  <c r="BS43" i="8"/>
  <c r="BR43" i="8"/>
  <c r="BQ43" i="8"/>
  <c r="BP43" i="8"/>
  <c r="BO43" i="8"/>
  <c r="AA43" i="8"/>
  <c r="Z43" i="8"/>
  <c r="Y43" i="8"/>
  <c r="X43" i="8"/>
  <c r="W43" i="8"/>
  <c r="M189" i="8" s="1" a="1"/>
  <c r="M189" i="8" s="1"/>
  <c r="CG42" i="8"/>
  <c r="CF42" i="8"/>
  <c r="CE42" i="8"/>
  <c r="CD42" i="8"/>
  <c r="CC42" i="8"/>
  <c r="BZ42" i="8"/>
  <c r="BY42" i="8"/>
  <c r="BX42" i="8"/>
  <c r="BW42" i="8"/>
  <c r="BV42" i="8"/>
  <c r="BS42" i="8"/>
  <c r="BR42" i="8"/>
  <c r="BQ42" i="8"/>
  <c r="BP42" i="8"/>
  <c r="BO42" i="8"/>
  <c r="AA42" i="8"/>
  <c r="Z42" i="8"/>
  <c r="Y42" i="8"/>
  <c r="X42" i="8"/>
  <c r="W42" i="8"/>
  <c r="M188" i="8" s="1" a="1"/>
  <c r="M188" i="8" s="1"/>
  <c r="CG41" i="8"/>
  <c r="CF41" i="8"/>
  <c r="CE41" i="8"/>
  <c r="CD41" i="8"/>
  <c r="CC41" i="8"/>
  <c r="BZ41" i="8"/>
  <c r="BY41" i="8"/>
  <c r="BX41" i="8"/>
  <c r="BW41" i="8"/>
  <c r="BV41" i="8"/>
  <c r="BS41" i="8"/>
  <c r="BR41" i="8"/>
  <c r="BQ41" i="8"/>
  <c r="BP41" i="8"/>
  <c r="BO41" i="8"/>
  <c r="AA41" i="8"/>
  <c r="Z41" i="8"/>
  <c r="Y41" i="8"/>
  <c r="X41" i="8"/>
  <c r="W41" i="8"/>
  <c r="M187" i="8" s="1" a="1"/>
  <c r="M187" i="8" s="1"/>
  <c r="CG40" i="8"/>
  <c r="CF40" i="8"/>
  <c r="CE40" i="8"/>
  <c r="CD40" i="8"/>
  <c r="CC40" i="8"/>
  <c r="BZ40" i="8"/>
  <c r="BY40" i="8"/>
  <c r="BX40" i="8"/>
  <c r="BW40" i="8"/>
  <c r="BV40" i="8"/>
  <c r="BS40" i="8"/>
  <c r="BR40" i="8"/>
  <c r="BQ40" i="8"/>
  <c r="BP40" i="8"/>
  <c r="BO40" i="8"/>
  <c r="AA40" i="8"/>
  <c r="Z40" i="8"/>
  <c r="Y40" i="8"/>
  <c r="X40" i="8"/>
  <c r="W40" i="8"/>
  <c r="H186" i="8" s="1" a="1"/>
  <c r="H186" i="8" s="1"/>
  <c r="CG39" i="8"/>
  <c r="CF39" i="8"/>
  <c r="CE39" i="8"/>
  <c r="CD39" i="8"/>
  <c r="CC39" i="8"/>
  <c r="BZ39" i="8"/>
  <c r="BY39" i="8"/>
  <c r="BX39" i="8"/>
  <c r="BW39" i="8"/>
  <c r="BV39" i="8"/>
  <c r="BS39" i="8"/>
  <c r="BR39" i="8"/>
  <c r="BQ39" i="8"/>
  <c r="BP39" i="8"/>
  <c r="BO39" i="8"/>
  <c r="AA39" i="8"/>
  <c r="Z39" i="8"/>
  <c r="Y39" i="8"/>
  <c r="X39" i="8"/>
  <c r="W39" i="8"/>
  <c r="M185" i="8" s="1" a="1"/>
  <c r="M185" i="8" s="1"/>
  <c r="CG38" i="8"/>
  <c r="CF38" i="8"/>
  <c r="CE38" i="8"/>
  <c r="CD38" i="8"/>
  <c r="CC38" i="8"/>
  <c r="BZ38" i="8"/>
  <c r="BY38" i="8"/>
  <c r="BX38" i="8"/>
  <c r="BW38" i="8"/>
  <c r="BV38" i="8"/>
  <c r="BS38" i="8"/>
  <c r="BR38" i="8"/>
  <c r="BQ38" i="8"/>
  <c r="BP38" i="8"/>
  <c r="BO38" i="8"/>
  <c r="AA38" i="8"/>
  <c r="Z38" i="8"/>
  <c r="Y38" i="8"/>
  <c r="X38" i="8"/>
  <c r="W38" i="8"/>
  <c r="M184" i="8" s="1" a="1"/>
  <c r="M184" i="8" s="1"/>
  <c r="CG37" i="8"/>
  <c r="CF37" i="8"/>
  <c r="CE37" i="8"/>
  <c r="CD37" i="8"/>
  <c r="CC37" i="8"/>
  <c r="BZ37" i="8"/>
  <c r="BY37" i="8"/>
  <c r="BX37" i="8"/>
  <c r="BW37" i="8"/>
  <c r="BV37" i="8"/>
  <c r="BS37" i="8"/>
  <c r="BR37" i="8"/>
  <c r="BQ37" i="8"/>
  <c r="BP37" i="8"/>
  <c r="BO37" i="8"/>
  <c r="AA37" i="8"/>
  <c r="Z37" i="8"/>
  <c r="Y37" i="8"/>
  <c r="X37" i="8"/>
  <c r="W37" i="8"/>
  <c r="H183" i="8" s="1" a="1"/>
  <c r="H183" i="8" s="1"/>
  <c r="CG36" i="8"/>
  <c r="CF36" i="8"/>
  <c r="CE36" i="8"/>
  <c r="CD36" i="8"/>
  <c r="CC36" i="8"/>
  <c r="BZ36" i="8"/>
  <c r="BY36" i="8"/>
  <c r="BX36" i="8"/>
  <c r="BW36" i="8"/>
  <c r="BV36" i="8"/>
  <c r="BS36" i="8"/>
  <c r="BR36" i="8"/>
  <c r="BQ36" i="8"/>
  <c r="BP36" i="8"/>
  <c r="BO36" i="8"/>
  <c r="AA36" i="8"/>
  <c r="Z36" i="8"/>
  <c r="Y36" i="8"/>
  <c r="X36" i="8"/>
  <c r="W36" i="8"/>
  <c r="M182" i="8" s="1" a="1"/>
  <c r="M182" i="8" s="1"/>
  <c r="CG35" i="8"/>
  <c r="CF35" i="8"/>
  <c r="CE35" i="8"/>
  <c r="CD35" i="8"/>
  <c r="CC35" i="8"/>
  <c r="BZ35" i="8"/>
  <c r="BY35" i="8"/>
  <c r="BX35" i="8"/>
  <c r="BW35" i="8"/>
  <c r="BV35" i="8"/>
  <c r="BS35" i="8"/>
  <c r="BR35" i="8"/>
  <c r="BQ35" i="8"/>
  <c r="BP35" i="8"/>
  <c r="BO35" i="8"/>
  <c r="AA35" i="8"/>
  <c r="Z35" i="8"/>
  <c r="Y35" i="8"/>
  <c r="X35" i="8"/>
  <c r="W35" i="8"/>
  <c r="M181" i="8" s="1" a="1"/>
  <c r="M181" i="8" s="1"/>
  <c r="CG34" i="8"/>
  <c r="CF34" i="8"/>
  <c r="CE34" i="8"/>
  <c r="CD34" i="8"/>
  <c r="CC34" i="8"/>
  <c r="BZ34" i="8"/>
  <c r="BY34" i="8"/>
  <c r="BX34" i="8"/>
  <c r="BW34" i="8"/>
  <c r="BV34" i="8"/>
  <c r="BS34" i="8"/>
  <c r="BR34" i="8"/>
  <c r="BQ34" i="8"/>
  <c r="BP34" i="8"/>
  <c r="BO34" i="8"/>
  <c r="AA34" i="8"/>
  <c r="Z34" i="8"/>
  <c r="Y34" i="8"/>
  <c r="X34" i="8"/>
  <c r="W34" i="8"/>
  <c r="M180" i="8" s="1" a="1"/>
  <c r="M180" i="8" s="1"/>
  <c r="CG33" i="8"/>
  <c r="CF33" i="8"/>
  <c r="CE33" i="8"/>
  <c r="CD33" i="8"/>
  <c r="CC33" i="8"/>
  <c r="BZ33" i="8"/>
  <c r="BY33" i="8"/>
  <c r="BX33" i="8"/>
  <c r="BW33" i="8"/>
  <c r="BV33" i="8"/>
  <c r="BS33" i="8"/>
  <c r="BR33" i="8"/>
  <c r="BQ33" i="8"/>
  <c r="BP33" i="8"/>
  <c r="BO33" i="8"/>
  <c r="AA33" i="8"/>
  <c r="Z33" i="8"/>
  <c r="Y33" i="8"/>
  <c r="X33" i="8"/>
  <c r="W33" i="8"/>
  <c r="M179" i="8" s="1" a="1"/>
  <c r="M179" i="8" s="1"/>
  <c r="CG32" i="8"/>
  <c r="CF32" i="8"/>
  <c r="CE32" i="8"/>
  <c r="CD32" i="8"/>
  <c r="CC32" i="8"/>
  <c r="BZ32" i="8"/>
  <c r="BY32" i="8"/>
  <c r="BX32" i="8"/>
  <c r="BW32" i="8"/>
  <c r="BV32" i="8"/>
  <c r="BS32" i="8"/>
  <c r="BR32" i="8"/>
  <c r="BQ32" i="8"/>
  <c r="BP32" i="8"/>
  <c r="BO32" i="8"/>
  <c r="AA32" i="8"/>
  <c r="Z32" i="8"/>
  <c r="Y32" i="8"/>
  <c r="X32" i="8"/>
  <c r="W32" i="8"/>
  <c r="H178" i="8" s="1" a="1"/>
  <c r="H178" i="8" s="1"/>
  <c r="CG31" i="8"/>
  <c r="CF31" i="8"/>
  <c r="CE31" i="8"/>
  <c r="CD31" i="8"/>
  <c r="CC31" i="8"/>
  <c r="BZ31" i="8"/>
  <c r="BY31" i="8"/>
  <c r="BX31" i="8"/>
  <c r="BW31" i="8"/>
  <c r="BV31" i="8"/>
  <c r="BS31" i="8"/>
  <c r="BR31" i="8"/>
  <c r="BQ31" i="8"/>
  <c r="BP31" i="8"/>
  <c r="BO31" i="8"/>
  <c r="AA31" i="8"/>
  <c r="Z31" i="8"/>
  <c r="Y31" i="8"/>
  <c r="X31" i="8"/>
  <c r="W31" i="8"/>
  <c r="M177" i="8" s="1" a="1"/>
  <c r="M177" i="8" s="1"/>
  <c r="CG30" i="8"/>
  <c r="CF30" i="8"/>
  <c r="CE30" i="8"/>
  <c r="CD30" i="8"/>
  <c r="CC30" i="8"/>
  <c r="BZ30" i="8"/>
  <c r="BY30" i="8"/>
  <c r="BX30" i="8"/>
  <c r="BW30" i="8"/>
  <c r="BV30" i="8"/>
  <c r="BS30" i="8"/>
  <c r="BR30" i="8"/>
  <c r="BQ30" i="8"/>
  <c r="BP30" i="8"/>
  <c r="BO30" i="8"/>
  <c r="AA30" i="8"/>
  <c r="Z30" i="8"/>
  <c r="Y30" i="8"/>
  <c r="X30" i="8"/>
  <c r="W30" i="8"/>
  <c r="M176" i="8" s="1" a="1"/>
  <c r="M176" i="8" s="1"/>
  <c r="CG29" i="8"/>
  <c r="CF29" i="8"/>
  <c r="CE29" i="8"/>
  <c r="CD29" i="8"/>
  <c r="CC29" i="8"/>
  <c r="BZ29" i="8"/>
  <c r="BY29" i="8"/>
  <c r="BX29" i="8"/>
  <c r="BW29" i="8"/>
  <c r="BV29" i="8"/>
  <c r="BS29" i="8"/>
  <c r="BR29" i="8"/>
  <c r="BQ29" i="8"/>
  <c r="BP29" i="8"/>
  <c r="BO29" i="8"/>
  <c r="AA29" i="8"/>
  <c r="Z29" i="8"/>
  <c r="Y29" i="8"/>
  <c r="X29" i="8"/>
  <c r="W29" i="8"/>
  <c r="H175" i="8" s="1" a="1"/>
  <c r="H175" i="8" s="1"/>
  <c r="CG28" i="8"/>
  <c r="CF28" i="8"/>
  <c r="CE28" i="8"/>
  <c r="CD28" i="8"/>
  <c r="CC28" i="8"/>
  <c r="BZ28" i="8"/>
  <c r="BY28" i="8"/>
  <c r="BX28" i="8"/>
  <c r="BW28" i="8"/>
  <c r="BV28" i="8"/>
  <c r="BS28" i="8"/>
  <c r="BR28" i="8"/>
  <c r="BQ28" i="8"/>
  <c r="BP28" i="8"/>
  <c r="BO28" i="8"/>
  <c r="AA28" i="8"/>
  <c r="Z28" i="8"/>
  <c r="Y28" i="8"/>
  <c r="X28" i="8"/>
  <c r="W28" i="8"/>
  <c r="M174" i="8" s="1" a="1"/>
  <c r="M174" i="8" s="1"/>
  <c r="CG27" i="8"/>
  <c r="CF27" i="8"/>
  <c r="CE27" i="8"/>
  <c r="CD27" i="8"/>
  <c r="CC27" i="8"/>
  <c r="BZ27" i="8"/>
  <c r="BY27" i="8"/>
  <c r="BX27" i="8"/>
  <c r="BW27" i="8"/>
  <c r="BV27" i="8"/>
  <c r="BS27" i="8"/>
  <c r="BR27" i="8"/>
  <c r="BQ27" i="8"/>
  <c r="BP27" i="8"/>
  <c r="BO27" i="8"/>
  <c r="AA27" i="8"/>
  <c r="Z27" i="8"/>
  <c r="Y27" i="8"/>
  <c r="X27" i="8"/>
  <c r="W27" i="8"/>
  <c r="M173" i="8" s="1" a="1"/>
  <c r="M173" i="8" s="1"/>
  <c r="CG26" i="8"/>
  <c r="CF26" i="8"/>
  <c r="CE26" i="8"/>
  <c r="CD26" i="8"/>
  <c r="CC26" i="8"/>
  <c r="BZ26" i="8"/>
  <c r="BY26" i="8"/>
  <c r="BX26" i="8"/>
  <c r="BW26" i="8"/>
  <c r="BV26" i="8"/>
  <c r="BS26" i="8"/>
  <c r="BR26" i="8"/>
  <c r="BQ26" i="8"/>
  <c r="BP26" i="8"/>
  <c r="BO26" i="8"/>
  <c r="AA26" i="8"/>
  <c r="Z26" i="8"/>
  <c r="Y26" i="8"/>
  <c r="X26" i="8"/>
  <c r="W26" i="8"/>
  <c r="M172" i="8" s="1" a="1"/>
  <c r="M172" i="8" s="1"/>
  <c r="CG25" i="8"/>
  <c r="CF25" i="8"/>
  <c r="CE25" i="8"/>
  <c r="CD25" i="8"/>
  <c r="CC25" i="8"/>
  <c r="BZ25" i="8"/>
  <c r="BY25" i="8"/>
  <c r="BX25" i="8"/>
  <c r="BW25" i="8"/>
  <c r="BV25" i="8"/>
  <c r="BS25" i="8"/>
  <c r="BR25" i="8"/>
  <c r="BQ25" i="8"/>
  <c r="BP25" i="8"/>
  <c r="BO25" i="8"/>
  <c r="AA25" i="8"/>
  <c r="Z25" i="8"/>
  <c r="Y25" i="8"/>
  <c r="X25" i="8"/>
  <c r="W25" i="8"/>
  <c r="M171" i="8" s="1" a="1"/>
  <c r="M171" i="8" s="1"/>
  <c r="CG24" i="8"/>
  <c r="CF24" i="8"/>
  <c r="CE24" i="8"/>
  <c r="CD24" i="8"/>
  <c r="CC24" i="8"/>
  <c r="BZ24" i="8"/>
  <c r="BY24" i="8"/>
  <c r="BX24" i="8"/>
  <c r="BW24" i="8"/>
  <c r="BV24" i="8"/>
  <c r="BS24" i="8"/>
  <c r="BR24" i="8"/>
  <c r="BQ24" i="8"/>
  <c r="BP24" i="8"/>
  <c r="BO24" i="8"/>
  <c r="AA24" i="8"/>
  <c r="Z24" i="8"/>
  <c r="Y24" i="8"/>
  <c r="X24" i="8"/>
  <c r="W24" i="8"/>
  <c r="H170" i="8" s="1" a="1"/>
  <c r="H170" i="8" s="1"/>
  <c r="CG23" i="8"/>
  <c r="CF23" i="8"/>
  <c r="CE23" i="8"/>
  <c r="CD23" i="8"/>
  <c r="CC23" i="8"/>
  <c r="BZ23" i="8"/>
  <c r="BY23" i="8"/>
  <c r="BX23" i="8"/>
  <c r="BW23" i="8"/>
  <c r="BV23" i="8"/>
  <c r="BS23" i="8"/>
  <c r="BR23" i="8"/>
  <c r="BQ23" i="8"/>
  <c r="BP23" i="8"/>
  <c r="BO23" i="8"/>
  <c r="AA23" i="8"/>
  <c r="Z23" i="8"/>
  <c r="Y23" i="8"/>
  <c r="X23" i="8"/>
  <c r="W23" i="8"/>
  <c r="M169" i="8" s="1" a="1"/>
  <c r="M169" i="8" s="1"/>
  <c r="CG22" i="8"/>
  <c r="CF22" i="8"/>
  <c r="CE22" i="8"/>
  <c r="CD22" i="8"/>
  <c r="CC22" i="8"/>
  <c r="BZ22" i="8"/>
  <c r="BY22" i="8"/>
  <c r="BX22" i="8"/>
  <c r="BW22" i="8"/>
  <c r="BV22" i="8"/>
  <c r="BS22" i="8"/>
  <c r="BR22" i="8"/>
  <c r="BQ22" i="8"/>
  <c r="BP22" i="8"/>
  <c r="BO22" i="8"/>
  <c r="AA22" i="8"/>
  <c r="Z22" i="8"/>
  <c r="Y22" i="8"/>
  <c r="X22" i="8"/>
  <c r="W22" i="8"/>
  <c r="M168" i="8" s="1" a="1"/>
  <c r="M168" i="8" s="1"/>
  <c r="CG21" i="8"/>
  <c r="CF21" i="8"/>
  <c r="CE21" i="8"/>
  <c r="CD21" i="8"/>
  <c r="CC21" i="8"/>
  <c r="BZ21" i="8"/>
  <c r="BY21" i="8"/>
  <c r="BX21" i="8"/>
  <c r="BW21" i="8"/>
  <c r="BV21" i="8"/>
  <c r="BS21" i="8"/>
  <c r="BR21" i="8"/>
  <c r="BQ21" i="8"/>
  <c r="BP21" i="8"/>
  <c r="BO21" i="8"/>
  <c r="AA21" i="8"/>
  <c r="Z21" i="8"/>
  <c r="Y21" i="8"/>
  <c r="X21" i="8"/>
  <c r="W21" i="8"/>
  <c r="H167" i="8" s="1" a="1"/>
  <c r="H167" i="8" s="1"/>
  <c r="CG20" i="8"/>
  <c r="CF20" i="8"/>
  <c r="CE20" i="8"/>
  <c r="CD20" i="8"/>
  <c r="CC20" i="8"/>
  <c r="BZ20" i="8"/>
  <c r="BY20" i="8"/>
  <c r="BX20" i="8"/>
  <c r="BW20" i="8"/>
  <c r="BV20" i="8"/>
  <c r="BS20" i="8"/>
  <c r="BR20" i="8"/>
  <c r="BQ20" i="8"/>
  <c r="BP20" i="8"/>
  <c r="BO20" i="8"/>
  <c r="AA20" i="8"/>
  <c r="Z20" i="8"/>
  <c r="Y20" i="8"/>
  <c r="X20" i="8"/>
  <c r="W20" i="8"/>
  <c r="M166" i="8" s="1" a="1"/>
  <c r="M166" i="8" s="1"/>
  <c r="CG19" i="8"/>
  <c r="CF19" i="8"/>
  <c r="CE19" i="8"/>
  <c r="CD19" i="8"/>
  <c r="CC19" i="8"/>
  <c r="BZ19" i="8"/>
  <c r="BY19" i="8"/>
  <c r="BX19" i="8"/>
  <c r="BW19" i="8"/>
  <c r="BV19" i="8"/>
  <c r="BS19" i="8"/>
  <c r="BR19" i="8"/>
  <c r="BQ19" i="8"/>
  <c r="BP19" i="8"/>
  <c r="BO19" i="8"/>
  <c r="AA19" i="8"/>
  <c r="Z19" i="8"/>
  <c r="Y19" i="8"/>
  <c r="X19" i="8"/>
  <c r="W19" i="8"/>
  <c r="M165" i="8" s="1" a="1"/>
  <c r="M165" i="8" s="1"/>
  <c r="CG18" i="8"/>
  <c r="CF18" i="8"/>
  <c r="CE18" i="8"/>
  <c r="CD18" i="8"/>
  <c r="CC18" i="8"/>
  <c r="BZ18" i="8"/>
  <c r="BY18" i="8"/>
  <c r="BX18" i="8"/>
  <c r="BW18" i="8"/>
  <c r="BV18" i="8"/>
  <c r="BS18" i="8"/>
  <c r="BR18" i="8"/>
  <c r="BQ18" i="8"/>
  <c r="BP18" i="8"/>
  <c r="BO18" i="8"/>
  <c r="AA18" i="8"/>
  <c r="Z18" i="8"/>
  <c r="Y18" i="8"/>
  <c r="X18" i="8"/>
  <c r="W18" i="8"/>
  <c r="M164" i="8" s="1" a="1"/>
  <c r="M164" i="8" s="1"/>
  <c r="CG17" i="8"/>
  <c r="CF17" i="8"/>
  <c r="CE17" i="8"/>
  <c r="CD17" i="8"/>
  <c r="CC17" i="8"/>
  <c r="BZ17" i="8"/>
  <c r="BY17" i="8"/>
  <c r="BX17" i="8"/>
  <c r="BW17" i="8"/>
  <c r="BV17" i="8"/>
  <c r="BS17" i="8"/>
  <c r="BR17" i="8"/>
  <c r="BQ17" i="8"/>
  <c r="BP17" i="8"/>
  <c r="BO17" i="8"/>
  <c r="AA17" i="8"/>
  <c r="Z17" i="8"/>
  <c r="Y17" i="8"/>
  <c r="X17" i="8"/>
  <c r="W17" i="8"/>
  <c r="M163" i="8" s="1" a="1"/>
  <c r="M163" i="8" s="1"/>
  <c r="CG16" i="8"/>
  <c r="CF16" i="8"/>
  <c r="CE16" i="8"/>
  <c r="CD16" i="8"/>
  <c r="CC16" i="8"/>
  <c r="BZ16" i="8"/>
  <c r="BY16" i="8"/>
  <c r="BX16" i="8"/>
  <c r="BW16" i="8"/>
  <c r="BV16" i="8"/>
  <c r="BS16" i="8"/>
  <c r="BR16" i="8"/>
  <c r="BQ16" i="8"/>
  <c r="BP16" i="8"/>
  <c r="BO16" i="8"/>
  <c r="AA16" i="8"/>
  <c r="Z16" i="8"/>
  <c r="Y16" i="8"/>
  <c r="X16" i="8"/>
  <c r="W16" i="8"/>
  <c r="H162" i="8" s="1" a="1"/>
  <c r="H162" i="8" s="1"/>
  <c r="CG15" i="8"/>
  <c r="CF15" i="8"/>
  <c r="CE15" i="8"/>
  <c r="CD15" i="8"/>
  <c r="CC15" i="8"/>
  <c r="BZ15" i="8"/>
  <c r="BY15" i="8"/>
  <c r="BX15" i="8"/>
  <c r="BW15" i="8"/>
  <c r="BV15" i="8"/>
  <c r="BS15" i="8"/>
  <c r="BR15" i="8"/>
  <c r="BQ15" i="8"/>
  <c r="BP15" i="8"/>
  <c r="BO15" i="8"/>
  <c r="AA15" i="8"/>
  <c r="Z15" i="8"/>
  <c r="Y15" i="8"/>
  <c r="X15" i="8"/>
  <c r="W15" i="8"/>
  <c r="M161" i="8" s="1" a="1"/>
  <c r="M161" i="8" s="1"/>
  <c r="CG14" i="8"/>
  <c r="CF14" i="8"/>
  <c r="CE14" i="8"/>
  <c r="CD14" i="8"/>
  <c r="CC14" i="8"/>
  <c r="BZ14" i="8"/>
  <c r="BY14" i="8"/>
  <c r="BX14" i="8"/>
  <c r="BW14" i="8"/>
  <c r="BV14" i="8"/>
  <c r="BS14" i="8"/>
  <c r="BR14" i="8"/>
  <c r="BQ14" i="8"/>
  <c r="BP14" i="8"/>
  <c r="BO14" i="8"/>
  <c r="AA14" i="8"/>
  <c r="Z14" i="8"/>
  <c r="Y14" i="8"/>
  <c r="X14" i="8"/>
  <c r="W14" i="8"/>
  <c r="M160" i="8" s="1" a="1"/>
  <c r="M160" i="8" s="1"/>
  <c r="CG13" i="8"/>
  <c r="CF13" i="8"/>
  <c r="CE13" i="8"/>
  <c r="CD13" i="8"/>
  <c r="CC13" i="8"/>
  <c r="BZ13" i="8"/>
  <c r="BY13" i="8"/>
  <c r="BX13" i="8"/>
  <c r="BW13" i="8"/>
  <c r="BV13" i="8"/>
  <c r="BS13" i="8"/>
  <c r="BR13" i="8"/>
  <c r="BQ13" i="8"/>
  <c r="BP13" i="8"/>
  <c r="BO13" i="8"/>
  <c r="AA13" i="8"/>
  <c r="Z13" i="8"/>
  <c r="Y13" i="8"/>
  <c r="X13" i="8"/>
  <c r="W13" i="8"/>
  <c r="M159" i="8" s="1" a="1"/>
  <c r="M159" i="8" s="1"/>
  <c r="CG12" i="8"/>
  <c r="CF12" i="8"/>
  <c r="CE12" i="8"/>
  <c r="CD12" i="8"/>
  <c r="CC12" i="8"/>
  <c r="BZ12" i="8"/>
  <c r="BY12" i="8"/>
  <c r="BX12" i="8"/>
  <c r="BW12" i="8"/>
  <c r="BV12" i="8"/>
  <c r="BS12" i="8"/>
  <c r="BR12" i="8"/>
  <c r="BQ12" i="8"/>
  <c r="BP12" i="8"/>
  <c r="BO12" i="8"/>
  <c r="AA12" i="8"/>
  <c r="Z12" i="8"/>
  <c r="Y12" i="8"/>
  <c r="X12" i="8"/>
  <c r="W12" i="8"/>
  <c r="M158" i="8" s="1" a="1"/>
  <c r="M158" i="8" s="1"/>
  <c r="CG11" i="8"/>
  <c r="CF11" i="8"/>
  <c r="CE11" i="8"/>
  <c r="CD11" i="8"/>
  <c r="CC11" i="8"/>
  <c r="BZ11" i="8"/>
  <c r="BY11" i="8"/>
  <c r="BX11" i="8"/>
  <c r="BW11" i="8"/>
  <c r="BV11" i="8"/>
  <c r="BS11" i="8"/>
  <c r="BR11" i="8"/>
  <c r="BQ11" i="8"/>
  <c r="BP11" i="8"/>
  <c r="BO11" i="8"/>
  <c r="AA11" i="8"/>
  <c r="Z11" i="8"/>
  <c r="Y11" i="8"/>
  <c r="X11" i="8"/>
  <c r="W11" i="8"/>
  <c r="M157" i="8" s="1" a="1"/>
  <c r="M157" i="8" s="1"/>
  <c r="CG10" i="8"/>
  <c r="CF10" i="8"/>
  <c r="CE10" i="8"/>
  <c r="CD10" i="8"/>
  <c r="CC10" i="8"/>
  <c r="BZ10" i="8"/>
  <c r="BY10" i="8"/>
  <c r="BX10" i="8"/>
  <c r="BW10" i="8"/>
  <c r="BV10" i="8"/>
  <c r="BS10" i="8"/>
  <c r="BR10" i="8"/>
  <c r="BQ10" i="8"/>
  <c r="BP10" i="8"/>
  <c r="BO10" i="8"/>
  <c r="AA10" i="8"/>
  <c r="Z10" i="8"/>
  <c r="Y10" i="8"/>
  <c r="X10" i="8"/>
  <c r="W10" i="8"/>
  <c r="M156" i="8" s="1" a="1"/>
  <c r="M156" i="8" s="1"/>
  <c r="CG9" i="8"/>
  <c r="CF9" i="8"/>
  <c r="CE9" i="8"/>
  <c r="CD9" i="8"/>
  <c r="CC9" i="8"/>
  <c r="BZ9" i="8"/>
  <c r="BY9" i="8"/>
  <c r="BX9" i="8"/>
  <c r="BW9" i="8"/>
  <c r="BV9" i="8"/>
  <c r="BS9" i="8"/>
  <c r="BR9" i="8"/>
  <c r="BQ9" i="8"/>
  <c r="BP9" i="8"/>
  <c r="BO9" i="8"/>
  <c r="AA9" i="8"/>
  <c r="Z9" i="8"/>
  <c r="Y9" i="8"/>
  <c r="X9" i="8"/>
  <c r="W9" i="8"/>
  <c r="M155" i="8" s="1" a="1"/>
  <c r="M155" i="8" s="1"/>
  <c r="CG8" i="8"/>
  <c r="CF8" i="8"/>
  <c r="CE8" i="8"/>
  <c r="CD8" i="8"/>
  <c r="CC8" i="8"/>
  <c r="BZ8" i="8"/>
  <c r="BY8" i="8"/>
  <c r="BX8" i="8"/>
  <c r="BW8" i="8"/>
  <c r="BV8" i="8"/>
  <c r="BS8" i="8"/>
  <c r="BR8" i="8"/>
  <c r="BQ8" i="8"/>
  <c r="BP8" i="8"/>
  <c r="BO8" i="8"/>
  <c r="AA8" i="8"/>
  <c r="Z8" i="8"/>
  <c r="Y8" i="8"/>
  <c r="X8" i="8"/>
  <c r="W8" i="8"/>
  <c r="M154" i="8" s="1" a="1"/>
  <c r="M154" i="8" s="1"/>
  <c r="CG7" i="8"/>
  <c r="CF7" i="8"/>
  <c r="CE7" i="8"/>
  <c r="CD7" i="8"/>
  <c r="CC7" i="8"/>
  <c r="BZ7" i="8"/>
  <c r="BY7" i="8"/>
  <c r="BX7" i="8"/>
  <c r="BW7" i="8"/>
  <c r="BV7" i="8"/>
  <c r="BS7" i="8"/>
  <c r="BR7" i="8"/>
  <c r="BQ7" i="8"/>
  <c r="BP7" i="8"/>
  <c r="BO7" i="8"/>
  <c r="AA7" i="8"/>
  <c r="Z7" i="8"/>
  <c r="Y7" i="8"/>
  <c r="X7" i="8"/>
  <c r="W7" i="8"/>
  <c r="H153" i="8" s="1" a="1"/>
  <c r="H153" i="8" s="1"/>
  <c r="CG6" i="8"/>
  <c r="CF6" i="8"/>
  <c r="CE6" i="8"/>
  <c r="CD6" i="8"/>
  <c r="CC6" i="8"/>
  <c r="BZ6" i="8"/>
  <c r="BY6" i="8"/>
  <c r="BX6" i="8"/>
  <c r="BW6" i="8"/>
  <c r="BV6" i="8"/>
  <c r="BS6" i="8"/>
  <c r="BR6" i="8"/>
  <c r="BQ6" i="8"/>
  <c r="BP6" i="8"/>
  <c r="BO6" i="8"/>
  <c r="AA6" i="8"/>
  <c r="Z6" i="8"/>
  <c r="Y6" i="8"/>
  <c r="X6" i="8"/>
  <c r="W6" i="8"/>
  <c r="M152" i="8" s="1" a="1"/>
  <c r="M152" i="8" s="1"/>
  <c r="CG5" i="8"/>
  <c r="CF5" i="8"/>
  <c r="CE5" i="8"/>
  <c r="CD5" i="8"/>
  <c r="CC5" i="8"/>
  <c r="BZ5" i="8"/>
  <c r="BY5" i="8"/>
  <c r="BX5" i="8"/>
  <c r="BW5" i="8"/>
  <c r="BV5" i="8"/>
  <c r="BS5" i="8"/>
  <c r="BR5" i="8"/>
  <c r="BQ5" i="8"/>
  <c r="BP5" i="8"/>
  <c r="BO5" i="8"/>
  <c r="AA5" i="8"/>
  <c r="Z5" i="8"/>
  <c r="Y5" i="8"/>
  <c r="X5" i="8"/>
  <c r="W5" i="8"/>
  <c r="M151" i="8" s="1" a="1"/>
  <c r="M151" i="8" s="1"/>
  <c r="CG4" i="8"/>
  <c r="CF4" i="8"/>
  <c r="CE4" i="8"/>
  <c r="CD4" i="8"/>
  <c r="CC4" i="8"/>
  <c r="BZ4" i="8"/>
  <c r="BY4" i="8"/>
  <c r="BX4" i="8"/>
  <c r="BW4" i="8"/>
  <c r="BV4" i="8"/>
  <c r="BS4" i="8"/>
  <c r="BR4" i="8"/>
  <c r="BQ4" i="8"/>
  <c r="BP4" i="8"/>
  <c r="BO4" i="8"/>
  <c r="AA4" i="8"/>
  <c r="Z4" i="8"/>
  <c r="Y4" i="8"/>
  <c r="X4" i="8"/>
  <c r="W4" i="8"/>
  <c r="M150" i="8" s="1" a="1"/>
  <c r="M150" i="8" s="1"/>
  <c r="CG3" i="8"/>
  <c r="CF3" i="8"/>
  <c r="CE3" i="8"/>
  <c r="CD3" i="8"/>
  <c r="CC3" i="8"/>
  <c r="AH113" i="8" s="1" a="1"/>
  <c r="AH113" i="8" s="1"/>
  <c r="BZ3" i="8"/>
  <c r="BY3" i="8"/>
  <c r="BX3" i="8"/>
  <c r="BW3" i="8"/>
  <c r="BV3" i="8"/>
  <c r="BS3" i="8"/>
  <c r="BR3" i="8"/>
  <c r="BQ3" i="8"/>
  <c r="BP3" i="8"/>
  <c r="BO3" i="8"/>
  <c r="AA3" i="8"/>
  <c r="Z3" i="8"/>
  <c r="Y3" i="8"/>
  <c r="X3" i="8"/>
  <c r="W3" i="8"/>
  <c r="H149" i="8" s="1" a="1"/>
  <c r="H149" i="8" s="1"/>
  <c r="AC160" i="8" a="1"/>
  <c r="AC159" i="8" a="1"/>
  <c r="AC158" i="8" a="1"/>
  <c r="AC157" i="8" a="1"/>
  <c r="AC156" i="8" a="1"/>
  <c r="AC155" i="8" a="1"/>
  <c r="AC154" i="8" a="1"/>
  <c r="AC153" i="8" a="1"/>
  <c r="AD152" i="8" a="1"/>
  <c r="AE151" i="8" a="1"/>
  <c r="AF150" i="8" a="1"/>
  <c r="AB150" i="8" a="1"/>
  <c r="AC149" i="8" a="1"/>
  <c r="R151" i="8" a="1"/>
  <c r="W150" i="8"/>
  <c r="AF160" i="8" a="1"/>
  <c r="AB160" i="8" a="1"/>
  <c r="AF159" i="8" a="1"/>
  <c r="AB159" i="8" a="1"/>
  <c r="AF158" i="8" a="1"/>
  <c r="AB158" i="8" a="1"/>
  <c r="AF157" i="8" a="1"/>
  <c r="AB157" i="8" a="1"/>
  <c r="AF156" i="8" a="1"/>
  <c r="AB156" i="8" a="1"/>
  <c r="AF155" i="8" a="1"/>
  <c r="AB155" i="8" a="1"/>
  <c r="AF154" i="8" a="1"/>
  <c r="AB154" i="8" a="1"/>
  <c r="AF153" i="8" a="1"/>
  <c r="AB153" i="8" a="1"/>
  <c r="AC152" i="8" a="1"/>
  <c r="AD151" i="8" a="1"/>
  <c r="AE150" i="8" a="1"/>
  <c r="AF149" i="8" a="1"/>
  <c r="AB149" i="8" a="1"/>
  <c r="W161" i="8"/>
  <c r="W160" i="8"/>
  <c r="W159" i="8"/>
  <c r="W158" i="8"/>
  <c r="W157" i="8"/>
  <c r="W156" i="8"/>
  <c r="W155" i="8"/>
  <c r="W154" i="8"/>
  <c r="W153" i="8"/>
  <c r="R150" i="8" a="1"/>
  <c r="W149" i="8"/>
  <c r="AE160" i="8" a="1"/>
  <c r="AE159" i="8" a="1"/>
  <c r="AE158" i="8" a="1"/>
  <c r="AE157" i="8" a="1"/>
  <c r="AE156" i="8" a="1"/>
  <c r="AE155" i="8" a="1"/>
  <c r="AE154" i="8" a="1"/>
  <c r="AE153" i="8" a="1"/>
  <c r="AF152" i="8" a="1"/>
  <c r="AB152" i="8" a="1"/>
  <c r="AC151" i="8" a="1"/>
  <c r="AD150" i="8" a="1"/>
  <c r="AE149" i="8" a="1"/>
  <c r="R153" i="8" a="1"/>
  <c r="W152" i="8"/>
  <c r="R149" i="8" a="1"/>
  <c r="AD160" i="8" a="1"/>
  <c r="AD159" i="8" a="1"/>
  <c r="AD158" i="8" a="1"/>
  <c r="AD157" i="8" a="1"/>
  <c r="AD156" i="8" a="1"/>
  <c r="AD155" i="8" a="1"/>
  <c r="AD154" i="8" a="1"/>
  <c r="AD153" i="8" a="1"/>
  <c r="AE152" i="8" a="1"/>
  <c r="AF151" i="8" a="1"/>
  <c r="AB151" i="8" a="1"/>
  <c r="AC150" i="8" a="1"/>
  <c r="AD149" i="8" a="1"/>
  <c r="R152" i="8" a="1"/>
  <c r="W151" i="8"/>
  <c r="R152" i="8" l="1"/>
  <c r="AD149" i="8"/>
  <c r="AC150" i="8"/>
  <c r="AB151" i="8"/>
  <c r="AF151" i="8"/>
  <c r="AE152" i="8"/>
  <c r="AD153" i="8"/>
  <c r="AD154" i="8"/>
  <c r="AD155" i="8"/>
  <c r="AD156" i="8"/>
  <c r="AD157" i="8"/>
  <c r="AD158" i="8"/>
  <c r="AD159" i="8"/>
  <c r="AD160" i="8"/>
  <c r="R149" i="8"/>
  <c r="R153" i="8"/>
  <c r="AE149" i="8"/>
  <c r="AD150" i="8"/>
  <c r="AC151" i="8"/>
  <c r="AB152" i="8"/>
  <c r="AF152" i="8"/>
  <c r="AE153" i="8"/>
  <c r="AE154" i="8"/>
  <c r="AE155" i="8"/>
  <c r="AE156" i="8"/>
  <c r="AE157" i="8"/>
  <c r="AE158" i="8"/>
  <c r="AE159" i="8"/>
  <c r="AE160" i="8"/>
  <c r="R150" i="8"/>
  <c r="AB149" i="8"/>
  <c r="AF149" i="8"/>
  <c r="AE150" i="8"/>
  <c r="AD151" i="8"/>
  <c r="AC152" i="8"/>
  <c r="AB153" i="8"/>
  <c r="AF153" i="8"/>
  <c r="AB154" i="8"/>
  <c r="AF154" i="8"/>
  <c r="AB155" i="8"/>
  <c r="AF155" i="8"/>
  <c r="AB156" i="8"/>
  <c r="AF156" i="8"/>
  <c r="AB157" i="8"/>
  <c r="AF157" i="8"/>
  <c r="AB158" i="8"/>
  <c r="AF158" i="8"/>
  <c r="AB159" i="8"/>
  <c r="AF159" i="8"/>
  <c r="AB160" i="8"/>
  <c r="AF160" i="8"/>
  <c r="R151" i="8"/>
  <c r="AC149" i="8"/>
  <c r="AB150" i="8"/>
  <c r="AF150" i="8"/>
  <c r="AE151" i="8"/>
  <c r="AD152" i="8"/>
  <c r="AC153" i="8"/>
  <c r="AC154" i="8"/>
  <c r="AC155" i="8"/>
  <c r="AC156" i="8"/>
  <c r="AC157" i="8"/>
  <c r="AC158" i="8"/>
  <c r="AC159" i="8"/>
  <c r="AC160" i="8"/>
  <c r="M149" i="8" a="1"/>
  <c r="M149" i="8" s="1"/>
  <c r="H150" i="8" a="1"/>
  <c r="H150" i="8" s="1"/>
  <c r="M153" i="8" a="1"/>
  <c r="M153" i="8" s="1"/>
  <c r="H154" i="8" a="1"/>
  <c r="H154" i="8" s="1"/>
  <c r="H155" i="8" a="1"/>
  <c r="H155" i="8" s="1"/>
  <c r="H156" i="8" a="1"/>
  <c r="H156" i="8" s="1"/>
  <c r="H157" i="8" a="1"/>
  <c r="H157" i="8" s="1"/>
  <c r="H158" i="8" a="1"/>
  <c r="H158" i="8" s="1"/>
  <c r="H159" i="8" a="1"/>
  <c r="H159" i="8" s="1"/>
  <c r="H160" i="8" a="1"/>
  <c r="H160" i="8" s="1"/>
  <c r="H161" i="8" a="1"/>
  <c r="H161" i="8" s="1"/>
  <c r="M162" i="8" a="1"/>
  <c r="M162" i="8" s="1"/>
  <c r="H164" i="8" a="1"/>
  <c r="H164" i="8" s="1"/>
  <c r="M170" i="8" a="1"/>
  <c r="M170" i="8" s="1"/>
  <c r="H172" i="8" a="1"/>
  <c r="H172" i="8" s="1"/>
  <c r="M178" i="8" a="1"/>
  <c r="M178" i="8" s="1"/>
  <c r="H180" i="8" a="1"/>
  <c r="H180" i="8" s="1"/>
  <c r="M186" i="8" a="1"/>
  <c r="M186" i="8" s="1"/>
  <c r="H188" i="8" a="1"/>
  <c r="H188" i="8" s="1"/>
  <c r="M194" i="8" a="1"/>
  <c r="M194" i="8" s="1"/>
  <c r="H196" i="8" a="1"/>
  <c r="H196" i="8" s="1"/>
  <c r="M202" i="8" a="1"/>
  <c r="M202" i="8" s="1"/>
  <c r="H204" i="8" a="1"/>
  <c r="H204" i="8" s="1"/>
  <c r="M210" i="8" a="1"/>
  <c r="M210" i="8" s="1"/>
  <c r="H212" i="8" a="1"/>
  <c r="H212" i="8" s="1"/>
  <c r="M218" i="8" a="1"/>
  <c r="M218" i="8" s="1"/>
  <c r="H220" i="8" a="1"/>
  <c r="H220" i="8" s="1"/>
  <c r="M226" i="8" a="1"/>
  <c r="M226" i="8" s="1"/>
  <c r="H228" i="8" a="1"/>
  <c r="H228" i="8" s="1"/>
  <c r="M234" i="8" a="1"/>
  <c r="M234" i="8" s="1"/>
  <c r="H236" i="8" a="1"/>
  <c r="H236" i="8" s="1"/>
  <c r="M242" i="8" a="1"/>
  <c r="M242" i="8" s="1"/>
  <c r="H244" i="8" a="1"/>
  <c r="H244" i="8" s="1"/>
  <c r="M167" i="8" a="1"/>
  <c r="M167" i="8" s="1"/>
  <c r="H169" i="8" a="1"/>
  <c r="H169" i="8" s="1"/>
  <c r="M175" i="8" a="1"/>
  <c r="M175" i="8" s="1"/>
  <c r="H177" i="8" a="1"/>
  <c r="H177" i="8" s="1"/>
  <c r="M183" i="8" a="1"/>
  <c r="M183" i="8" s="1"/>
  <c r="H185" i="8" a="1"/>
  <c r="H185" i="8" s="1"/>
  <c r="M191" i="8" a="1"/>
  <c r="M191" i="8" s="1"/>
  <c r="H193" i="8" a="1"/>
  <c r="H193" i="8" s="1"/>
  <c r="M199" i="8" a="1"/>
  <c r="M199" i="8" s="1"/>
  <c r="H201" i="8" a="1"/>
  <c r="H201" i="8" s="1"/>
  <c r="M207" i="8" a="1"/>
  <c r="M207" i="8" s="1"/>
  <c r="H209" i="8" a="1"/>
  <c r="H209" i="8" s="1"/>
  <c r="M215" i="8" a="1"/>
  <c r="M215" i="8" s="1"/>
  <c r="H217" i="8" a="1"/>
  <c r="H217" i="8" s="1"/>
  <c r="M223" i="8" a="1"/>
  <c r="M223" i="8" s="1"/>
  <c r="H225" i="8" a="1"/>
  <c r="H225" i="8" s="1"/>
  <c r="M231" i="8" a="1"/>
  <c r="M231" i="8" s="1"/>
  <c r="H233" i="8" a="1"/>
  <c r="H233" i="8" s="1"/>
  <c r="M239" i="8" a="1"/>
  <c r="M239" i="8" s="1"/>
  <c r="H241" i="8" a="1"/>
  <c r="H241" i="8" s="1"/>
  <c r="M247" i="8" a="1"/>
  <c r="M247" i="8" s="1"/>
  <c r="H151" i="8" a="1"/>
  <c r="H151" i="8" s="1"/>
  <c r="H166" i="8" a="1"/>
  <c r="H166" i="8" s="1"/>
  <c r="H174" i="8" a="1"/>
  <c r="H174" i="8" s="1"/>
  <c r="H182" i="8" a="1"/>
  <c r="H182" i="8" s="1"/>
  <c r="H190" i="8" a="1"/>
  <c r="H190" i="8" s="1"/>
  <c r="H198" i="8" a="1"/>
  <c r="H198" i="8" s="1"/>
  <c r="H206" i="8" a="1"/>
  <c r="H206" i="8" s="1"/>
  <c r="H214" i="8" a="1"/>
  <c r="H214" i="8" s="1"/>
  <c r="H222" i="8" a="1"/>
  <c r="H222" i="8" s="1"/>
  <c r="H230" i="8" a="1"/>
  <c r="H230" i="8" s="1"/>
  <c r="H238" i="8" a="1"/>
  <c r="H238" i="8" s="1"/>
  <c r="H246" i="8" a="1"/>
  <c r="H246" i="8" s="1"/>
  <c r="H163" i="8" a="1"/>
  <c r="H163" i="8" s="1"/>
  <c r="H171" i="8" a="1"/>
  <c r="H171" i="8" s="1"/>
  <c r="H179" i="8" a="1"/>
  <c r="H179" i="8" s="1"/>
  <c r="H187" i="8" a="1"/>
  <c r="H187" i="8" s="1"/>
  <c r="H195" i="8" a="1"/>
  <c r="H195" i="8" s="1"/>
  <c r="H203" i="8" a="1"/>
  <c r="H203" i="8" s="1"/>
  <c r="H211" i="8" a="1"/>
  <c r="H211" i="8" s="1"/>
  <c r="H219" i="8" a="1"/>
  <c r="H219" i="8" s="1"/>
  <c r="H227" i="8" a="1"/>
  <c r="H227" i="8" s="1"/>
  <c r="H235" i="8" a="1"/>
  <c r="H235" i="8" s="1"/>
  <c r="H243" i="8" a="1"/>
  <c r="H243" i="8" s="1"/>
  <c r="H152" i="8" a="1"/>
  <c r="H152" i="8" s="1"/>
  <c r="H168" i="8" a="1"/>
  <c r="H168" i="8" s="1"/>
  <c r="H176" i="8" a="1"/>
  <c r="H176" i="8" s="1"/>
  <c r="H184" i="8" a="1"/>
  <c r="H184" i="8" s="1"/>
  <c r="H192" i="8" a="1"/>
  <c r="H192" i="8" s="1"/>
  <c r="H200" i="8" a="1"/>
  <c r="H200" i="8" s="1"/>
  <c r="H208" i="8" a="1"/>
  <c r="H208" i="8" s="1"/>
  <c r="H216" i="8" a="1"/>
  <c r="H216" i="8" s="1"/>
  <c r="H224" i="8" a="1"/>
  <c r="H224" i="8" s="1"/>
  <c r="H232" i="8" a="1"/>
  <c r="H232" i="8" s="1"/>
  <c r="H240" i="8" a="1"/>
  <c r="H240" i="8" s="1"/>
  <c r="H248" i="8" a="1"/>
  <c r="H248" i="8" s="1"/>
  <c r="H165" i="8" a="1"/>
  <c r="H165" i="8" s="1"/>
  <c r="H173" i="8" a="1"/>
  <c r="H173" i="8" s="1"/>
  <c r="H181" i="8" a="1"/>
  <c r="H181" i="8" s="1"/>
  <c r="H189" i="8" a="1"/>
  <c r="H189" i="8" s="1"/>
  <c r="H197" i="8" a="1"/>
  <c r="H197" i="8" s="1"/>
  <c r="H205" i="8" a="1"/>
  <c r="H205" i="8" s="1"/>
  <c r="H213" i="8" a="1"/>
  <c r="H213" i="8" s="1"/>
  <c r="H221" i="8" a="1"/>
  <c r="H221" i="8" s="1"/>
  <c r="H229" i="8" a="1"/>
  <c r="H229" i="8" s="1"/>
  <c r="H237" i="8" a="1"/>
  <c r="H237" i="8" s="1"/>
  <c r="H245" i="8" a="1"/>
  <c r="H245" i="8" s="1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BR35" i="7"/>
  <c r="BK35" i="7"/>
  <c r="BD35" i="7"/>
  <c r="AW35" i="7"/>
  <c r="AP35" i="7"/>
  <c r="AI35" i="7"/>
  <c r="AA35" i="7"/>
  <c r="CC30" i="7"/>
  <c r="CB30" i="7"/>
  <c r="CA30" i="7"/>
  <c r="BZ30" i="7"/>
  <c r="BY30" i="7"/>
  <c r="BV30" i="7"/>
  <c r="BU30" i="7"/>
  <c r="BT30" i="7"/>
  <c r="BS30" i="7"/>
  <c r="BR30" i="7"/>
  <c r="BO30" i="7"/>
  <c r="BN30" i="7"/>
  <c r="BM30" i="7"/>
  <c r="BL30" i="7"/>
  <c r="BK30" i="7"/>
  <c r="AE30" i="7"/>
  <c r="AD30" i="7"/>
  <c r="AC30" i="7"/>
  <c r="AB30" i="7"/>
  <c r="AA30" i="7"/>
  <c r="M87" i="7" s="1" a="1"/>
  <c r="M87" i="7" s="1"/>
  <c r="CC29" i="7"/>
  <c r="CB29" i="7"/>
  <c r="CA29" i="7"/>
  <c r="BZ29" i="7"/>
  <c r="BY29" i="7"/>
  <c r="BV29" i="7"/>
  <c r="BU29" i="7"/>
  <c r="BT29" i="7"/>
  <c r="BS29" i="7"/>
  <c r="BR29" i="7"/>
  <c r="BO29" i="7"/>
  <c r="BN29" i="7"/>
  <c r="BM29" i="7"/>
  <c r="BL29" i="7"/>
  <c r="BK29" i="7"/>
  <c r="AE29" i="7"/>
  <c r="AD29" i="7"/>
  <c r="AC29" i="7"/>
  <c r="AB29" i="7"/>
  <c r="AA29" i="7"/>
  <c r="H86" i="7" s="1" a="1"/>
  <c r="H86" i="7" s="1"/>
  <c r="CC28" i="7"/>
  <c r="CB28" i="7"/>
  <c r="CA28" i="7"/>
  <c r="BZ28" i="7"/>
  <c r="BY28" i="7"/>
  <c r="BV28" i="7"/>
  <c r="BU28" i="7"/>
  <c r="BT28" i="7"/>
  <c r="BS28" i="7"/>
  <c r="BR28" i="7"/>
  <c r="BO28" i="7"/>
  <c r="BN28" i="7"/>
  <c r="BM28" i="7"/>
  <c r="BL28" i="7"/>
  <c r="BK28" i="7"/>
  <c r="AE28" i="7"/>
  <c r="AD28" i="7"/>
  <c r="AC28" i="7"/>
  <c r="AB28" i="7"/>
  <c r="AA28" i="7"/>
  <c r="M85" i="7" s="1" a="1"/>
  <c r="M85" i="7" s="1"/>
  <c r="CC27" i="7"/>
  <c r="CB27" i="7"/>
  <c r="CA27" i="7"/>
  <c r="BZ27" i="7"/>
  <c r="BY27" i="7"/>
  <c r="BV27" i="7"/>
  <c r="BU27" i="7"/>
  <c r="BT27" i="7"/>
  <c r="BS27" i="7"/>
  <c r="BR27" i="7"/>
  <c r="BO27" i="7"/>
  <c r="BN27" i="7"/>
  <c r="BM27" i="7"/>
  <c r="BL27" i="7"/>
  <c r="BK27" i="7"/>
  <c r="AE27" i="7"/>
  <c r="AD27" i="7"/>
  <c r="AC27" i="7"/>
  <c r="AB27" i="7"/>
  <c r="AA27" i="7"/>
  <c r="M84" i="7" s="1" a="1"/>
  <c r="M84" i="7" s="1"/>
  <c r="CC26" i="7"/>
  <c r="CB26" i="7"/>
  <c r="CA26" i="7"/>
  <c r="BZ26" i="7"/>
  <c r="BY26" i="7"/>
  <c r="BV26" i="7"/>
  <c r="BU26" i="7"/>
  <c r="BT26" i="7"/>
  <c r="H83" i="7" s="1" a="1"/>
  <c r="H83" i="7" s="1"/>
  <c r="BS26" i="7"/>
  <c r="BR26" i="7"/>
  <c r="BO26" i="7"/>
  <c r="BN26" i="7"/>
  <c r="BM26" i="7"/>
  <c r="BL26" i="7"/>
  <c r="BK26" i="7"/>
  <c r="AE26" i="7"/>
  <c r="AD26" i="7"/>
  <c r="AC26" i="7"/>
  <c r="AB26" i="7"/>
  <c r="AA26" i="7"/>
  <c r="M83" i="7" s="1" a="1"/>
  <c r="M83" i="7" s="1"/>
  <c r="CC25" i="7"/>
  <c r="CB25" i="7"/>
  <c r="CA25" i="7"/>
  <c r="BZ25" i="7"/>
  <c r="BY25" i="7"/>
  <c r="BV25" i="7"/>
  <c r="BU25" i="7"/>
  <c r="BT25" i="7"/>
  <c r="BS25" i="7"/>
  <c r="BR25" i="7"/>
  <c r="BO25" i="7"/>
  <c r="BN25" i="7"/>
  <c r="BM25" i="7"/>
  <c r="BL25" i="7"/>
  <c r="BK25" i="7"/>
  <c r="AE25" i="7"/>
  <c r="AD25" i="7"/>
  <c r="AC25" i="7"/>
  <c r="AB25" i="7"/>
  <c r="AA25" i="7"/>
  <c r="M82" i="7" s="1" a="1"/>
  <c r="M82" i="7" s="1"/>
  <c r="CC24" i="7"/>
  <c r="CB24" i="7"/>
  <c r="CA24" i="7"/>
  <c r="BZ24" i="7"/>
  <c r="BY24" i="7"/>
  <c r="BV24" i="7"/>
  <c r="BU24" i="7"/>
  <c r="BT24" i="7"/>
  <c r="M81" i="7" s="1" a="1"/>
  <c r="M81" i="7" s="1"/>
  <c r="BS24" i="7"/>
  <c r="BR24" i="7"/>
  <c r="BO24" i="7"/>
  <c r="BN24" i="7"/>
  <c r="BM24" i="7"/>
  <c r="BL24" i="7"/>
  <c r="BK24" i="7"/>
  <c r="AE24" i="7"/>
  <c r="AD24" i="7"/>
  <c r="AC24" i="7"/>
  <c r="AB24" i="7"/>
  <c r="AA24" i="7"/>
  <c r="H81" i="7" s="1" a="1"/>
  <c r="H81" i="7" s="1"/>
  <c r="CC23" i="7"/>
  <c r="CB23" i="7"/>
  <c r="CA23" i="7"/>
  <c r="BZ23" i="7"/>
  <c r="BY23" i="7"/>
  <c r="BV23" i="7"/>
  <c r="BU23" i="7"/>
  <c r="BT23" i="7"/>
  <c r="BS23" i="7"/>
  <c r="BR23" i="7"/>
  <c r="BO23" i="7"/>
  <c r="BN23" i="7"/>
  <c r="BM23" i="7"/>
  <c r="BL23" i="7"/>
  <c r="BK23" i="7"/>
  <c r="AE23" i="7"/>
  <c r="AD23" i="7"/>
  <c r="AC23" i="7"/>
  <c r="AB23" i="7"/>
  <c r="AA23" i="7"/>
  <c r="H80" i="7" s="1" a="1"/>
  <c r="H80" i="7" s="1"/>
  <c r="CC22" i="7"/>
  <c r="CB22" i="7"/>
  <c r="CA22" i="7"/>
  <c r="BZ22" i="7"/>
  <c r="BY22" i="7"/>
  <c r="BV22" i="7"/>
  <c r="BU22" i="7"/>
  <c r="BT22" i="7"/>
  <c r="BS22" i="7"/>
  <c r="BR22" i="7"/>
  <c r="BO22" i="7"/>
  <c r="BN22" i="7"/>
  <c r="BM22" i="7"/>
  <c r="BL22" i="7"/>
  <c r="BK22" i="7"/>
  <c r="AE22" i="7"/>
  <c r="AD22" i="7"/>
  <c r="AC22" i="7"/>
  <c r="AB22" i="7"/>
  <c r="AA22" i="7"/>
  <c r="M79" i="7" s="1" a="1"/>
  <c r="M79" i="7" s="1"/>
  <c r="CC21" i="7"/>
  <c r="CB21" i="7"/>
  <c r="CA21" i="7"/>
  <c r="BZ21" i="7"/>
  <c r="BY21" i="7"/>
  <c r="BV21" i="7"/>
  <c r="BU21" i="7"/>
  <c r="BT21" i="7"/>
  <c r="BS21" i="7"/>
  <c r="BR21" i="7"/>
  <c r="BO21" i="7"/>
  <c r="BN21" i="7"/>
  <c r="BM21" i="7"/>
  <c r="BL21" i="7"/>
  <c r="BK21" i="7"/>
  <c r="AE21" i="7"/>
  <c r="AD21" i="7"/>
  <c r="AC21" i="7"/>
  <c r="AB21" i="7"/>
  <c r="AA21" i="7"/>
  <c r="H78" i="7" s="1" a="1"/>
  <c r="H78" i="7" s="1"/>
  <c r="CC20" i="7"/>
  <c r="CB20" i="7"/>
  <c r="CA20" i="7"/>
  <c r="BZ20" i="7"/>
  <c r="BY20" i="7"/>
  <c r="BV20" i="7"/>
  <c r="BU20" i="7"/>
  <c r="BT20" i="7"/>
  <c r="BS20" i="7"/>
  <c r="BR20" i="7"/>
  <c r="BO20" i="7"/>
  <c r="BN20" i="7"/>
  <c r="BM20" i="7"/>
  <c r="BL20" i="7"/>
  <c r="BK20" i="7"/>
  <c r="AE20" i="7"/>
  <c r="AD20" i="7"/>
  <c r="AC20" i="7"/>
  <c r="AB20" i="7"/>
  <c r="AA20" i="7"/>
  <c r="M77" i="7" s="1" a="1"/>
  <c r="M77" i="7" s="1"/>
  <c r="CC19" i="7"/>
  <c r="CB19" i="7"/>
  <c r="CA19" i="7"/>
  <c r="BZ19" i="7"/>
  <c r="BY19" i="7"/>
  <c r="BV19" i="7"/>
  <c r="BU19" i="7"/>
  <c r="BT19" i="7"/>
  <c r="BS19" i="7"/>
  <c r="BR19" i="7"/>
  <c r="BO19" i="7"/>
  <c r="BN19" i="7"/>
  <c r="BM19" i="7"/>
  <c r="BL19" i="7"/>
  <c r="BK19" i="7"/>
  <c r="AE19" i="7"/>
  <c r="AD19" i="7"/>
  <c r="AC19" i="7"/>
  <c r="AB19" i="7"/>
  <c r="AA19" i="7"/>
  <c r="M76" i="7" s="1" a="1"/>
  <c r="M76" i="7" s="1"/>
  <c r="CC18" i="7"/>
  <c r="CB18" i="7"/>
  <c r="CA18" i="7"/>
  <c r="BZ18" i="7"/>
  <c r="BY18" i="7"/>
  <c r="BV18" i="7"/>
  <c r="BU18" i="7"/>
  <c r="BT18" i="7"/>
  <c r="H75" i="7" s="1" a="1"/>
  <c r="H75" i="7" s="1"/>
  <c r="BS18" i="7"/>
  <c r="BR18" i="7"/>
  <c r="BO18" i="7"/>
  <c r="BN18" i="7"/>
  <c r="BM18" i="7"/>
  <c r="BL18" i="7"/>
  <c r="BK18" i="7"/>
  <c r="AE18" i="7"/>
  <c r="AD18" i="7"/>
  <c r="AC18" i="7"/>
  <c r="AB18" i="7"/>
  <c r="AA18" i="7"/>
  <c r="M75" i="7" s="1" a="1"/>
  <c r="M75" i="7" s="1"/>
  <c r="CC17" i="7"/>
  <c r="CB17" i="7"/>
  <c r="CA17" i="7"/>
  <c r="BZ17" i="7"/>
  <c r="BY17" i="7"/>
  <c r="BV17" i="7"/>
  <c r="BU17" i="7"/>
  <c r="BT17" i="7"/>
  <c r="BS17" i="7"/>
  <c r="BR17" i="7"/>
  <c r="BO17" i="7"/>
  <c r="BN17" i="7"/>
  <c r="BM17" i="7"/>
  <c r="BL17" i="7"/>
  <c r="BK17" i="7"/>
  <c r="AE17" i="7"/>
  <c r="AD17" i="7"/>
  <c r="AC17" i="7"/>
  <c r="AB17" i="7"/>
  <c r="AA17" i="7"/>
  <c r="M74" i="7" s="1" a="1"/>
  <c r="M74" i="7" s="1"/>
  <c r="CC16" i="7"/>
  <c r="CB16" i="7"/>
  <c r="CA16" i="7"/>
  <c r="BZ16" i="7"/>
  <c r="BY16" i="7"/>
  <c r="BV16" i="7"/>
  <c r="BU16" i="7"/>
  <c r="BT16" i="7"/>
  <c r="M73" i="7" s="1" a="1"/>
  <c r="M73" i="7" s="1"/>
  <c r="BS16" i="7"/>
  <c r="BR16" i="7"/>
  <c r="BO16" i="7"/>
  <c r="BN16" i="7"/>
  <c r="BM16" i="7"/>
  <c r="BL16" i="7"/>
  <c r="BK16" i="7"/>
  <c r="AE16" i="7"/>
  <c r="AD16" i="7"/>
  <c r="AC16" i="7"/>
  <c r="AB16" i="7"/>
  <c r="AA16" i="7"/>
  <c r="H73" i="7" s="1" a="1"/>
  <c r="H73" i="7" s="1"/>
  <c r="CC15" i="7"/>
  <c r="CB15" i="7"/>
  <c r="CA15" i="7"/>
  <c r="BZ15" i="7"/>
  <c r="BY15" i="7"/>
  <c r="BV15" i="7"/>
  <c r="BU15" i="7"/>
  <c r="BT15" i="7"/>
  <c r="BS15" i="7"/>
  <c r="BR15" i="7"/>
  <c r="BO15" i="7"/>
  <c r="BN15" i="7"/>
  <c r="BM15" i="7"/>
  <c r="BL15" i="7"/>
  <c r="BK15" i="7"/>
  <c r="AE15" i="7"/>
  <c r="AD15" i="7"/>
  <c r="AC15" i="7"/>
  <c r="AB15" i="7"/>
  <c r="AA15" i="7"/>
  <c r="M72" i="7" s="1" a="1"/>
  <c r="M72" i="7" s="1"/>
  <c r="CC14" i="7"/>
  <c r="CB14" i="7"/>
  <c r="CA14" i="7"/>
  <c r="BZ14" i="7"/>
  <c r="BY14" i="7"/>
  <c r="BV14" i="7"/>
  <c r="BU14" i="7"/>
  <c r="BT14" i="7"/>
  <c r="BS14" i="7"/>
  <c r="BR14" i="7"/>
  <c r="BO14" i="7"/>
  <c r="BN14" i="7"/>
  <c r="BM14" i="7"/>
  <c r="BL14" i="7"/>
  <c r="BK14" i="7"/>
  <c r="AE14" i="7"/>
  <c r="AD14" i="7"/>
  <c r="AC14" i="7"/>
  <c r="AB14" i="7"/>
  <c r="AA14" i="7"/>
  <c r="M71" i="7" s="1" a="1"/>
  <c r="M71" i="7" s="1"/>
  <c r="CC13" i="7"/>
  <c r="CB13" i="7"/>
  <c r="CA13" i="7"/>
  <c r="BZ13" i="7"/>
  <c r="BY13" i="7"/>
  <c r="BV13" i="7"/>
  <c r="BU13" i="7"/>
  <c r="BT13" i="7"/>
  <c r="BS13" i="7"/>
  <c r="BR13" i="7"/>
  <c r="BO13" i="7"/>
  <c r="BN13" i="7"/>
  <c r="BM13" i="7"/>
  <c r="BL13" i="7"/>
  <c r="BK13" i="7"/>
  <c r="AE13" i="7"/>
  <c r="AD13" i="7"/>
  <c r="AC13" i="7"/>
  <c r="AB13" i="7"/>
  <c r="AA13" i="7"/>
  <c r="H70" i="7" s="1" a="1"/>
  <c r="H70" i="7" s="1"/>
  <c r="CC12" i="7"/>
  <c r="CB12" i="7"/>
  <c r="CA12" i="7"/>
  <c r="BZ12" i="7"/>
  <c r="BY12" i="7"/>
  <c r="BV12" i="7"/>
  <c r="BU12" i="7"/>
  <c r="BT12" i="7"/>
  <c r="BS12" i="7"/>
  <c r="BR12" i="7"/>
  <c r="BO12" i="7"/>
  <c r="BN12" i="7"/>
  <c r="BM12" i="7"/>
  <c r="BL12" i="7"/>
  <c r="BK12" i="7"/>
  <c r="AE12" i="7"/>
  <c r="AD12" i="7"/>
  <c r="AC12" i="7"/>
  <c r="AB12" i="7"/>
  <c r="AA12" i="7"/>
  <c r="M69" i="7" s="1" a="1"/>
  <c r="M69" i="7" s="1"/>
  <c r="CC11" i="7"/>
  <c r="CB11" i="7"/>
  <c r="CA11" i="7"/>
  <c r="BZ11" i="7"/>
  <c r="BY11" i="7"/>
  <c r="BV11" i="7"/>
  <c r="BU11" i="7"/>
  <c r="BT11" i="7"/>
  <c r="BS11" i="7"/>
  <c r="BR11" i="7"/>
  <c r="BO11" i="7"/>
  <c r="BN11" i="7"/>
  <c r="BM11" i="7"/>
  <c r="BL11" i="7"/>
  <c r="BK11" i="7"/>
  <c r="AE11" i="7"/>
  <c r="AD11" i="7"/>
  <c r="AC11" i="7"/>
  <c r="AB11" i="7"/>
  <c r="AA11" i="7"/>
  <c r="M68" i="7" s="1" a="1"/>
  <c r="M68" i="7" s="1"/>
  <c r="CC10" i="7"/>
  <c r="CB10" i="7"/>
  <c r="CA10" i="7"/>
  <c r="BZ10" i="7"/>
  <c r="BY10" i="7"/>
  <c r="BV10" i="7"/>
  <c r="BU10" i="7"/>
  <c r="BT10" i="7"/>
  <c r="M67" i="7" s="1" a="1"/>
  <c r="M67" i="7" s="1"/>
  <c r="BS10" i="7"/>
  <c r="BR10" i="7"/>
  <c r="BO10" i="7"/>
  <c r="BN10" i="7"/>
  <c r="BM10" i="7"/>
  <c r="BL10" i="7"/>
  <c r="BK10" i="7"/>
  <c r="AE10" i="7"/>
  <c r="AD10" i="7"/>
  <c r="AC10" i="7"/>
  <c r="AB10" i="7"/>
  <c r="AA10" i="7"/>
  <c r="H67" i="7" s="1" a="1"/>
  <c r="H67" i="7" s="1"/>
  <c r="CC9" i="7"/>
  <c r="CB9" i="7"/>
  <c r="CA9" i="7"/>
  <c r="BZ9" i="7"/>
  <c r="BY9" i="7"/>
  <c r="BV9" i="7"/>
  <c r="BU9" i="7"/>
  <c r="BT9" i="7"/>
  <c r="BS9" i="7"/>
  <c r="BR9" i="7"/>
  <c r="BO9" i="7"/>
  <c r="BN9" i="7"/>
  <c r="BM9" i="7"/>
  <c r="BL9" i="7"/>
  <c r="BK9" i="7"/>
  <c r="AE9" i="7"/>
  <c r="AD9" i="7"/>
  <c r="AC9" i="7"/>
  <c r="AB9" i="7"/>
  <c r="AA9" i="7"/>
  <c r="H66" i="7" s="1" a="1"/>
  <c r="H66" i="7" s="1"/>
  <c r="CC8" i="7"/>
  <c r="CB8" i="7"/>
  <c r="CA8" i="7"/>
  <c r="BZ8" i="7"/>
  <c r="BY8" i="7"/>
  <c r="BV8" i="7"/>
  <c r="BU8" i="7"/>
  <c r="BT8" i="7"/>
  <c r="BS8" i="7"/>
  <c r="BR8" i="7"/>
  <c r="BO8" i="7"/>
  <c r="BN8" i="7"/>
  <c r="BM8" i="7"/>
  <c r="BL8" i="7"/>
  <c r="BK8" i="7"/>
  <c r="AE8" i="7"/>
  <c r="AD8" i="7"/>
  <c r="AC8" i="7"/>
  <c r="AB8" i="7"/>
  <c r="AA8" i="7"/>
  <c r="M65" i="7" s="1" a="1"/>
  <c r="M65" i="7" s="1"/>
  <c r="CC7" i="7"/>
  <c r="CB7" i="7"/>
  <c r="CA7" i="7"/>
  <c r="BZ7" i="7"/>
  <c r="BY7" i="7"/>
  <c r="BV7" i="7"/>
  <c r="BU7" i="7"/>
  <c r="BT7" i="7"/>
  <c r="BS7" i="7"/>
  <c r="BR7" i="7"/>
  <c r="BO7" i="7"/>
  <c r="BN7" i="7"/>
  <c r="BM7" i="7"/>
  <c r="BL7" i="7"/>
  <c r="BK7" i="7"/>
  <c r="AE7" i="7"/>
  <c r="AD7" i="7"/>
  <c r="AC7" i="7"/>
  <c r="AB7" i="7"/>
  <c r="AA7" i="7"/>
  <c r="M64" i="7" s="1" a="1"/>
  <c r="M64" i="7" s="1"/>
  <c r="CC6" i="7"/>
  <c r="CB6" i="7"/>
  <c r="CA6" i="7"/>
  <c r="BZ6" i="7"/>
  <c r="BY6" i="7"/>
  <c r="BV6" i="7"/>
  <c r="BU6" i="7"/>
  <c r="BT6" i="7"/>
  <c r="BS6" i="7"/>
  <c r="BR6" i="7"/>
  <c r="BO6" i="7"/>
  <c r="BN6" i="7"/>
  <c r="BM6" i="7"/>
  <c r="BL6" i="7"/>
  <c r="BK6" i="7"/>
  <c r="M63" i="7" s="1" a="1"/>
  <c r="M63" i="7" s="1"/>
  <c r="AE6" i="7"/>
  <c r="AD6" i="7"/>
  <c r="AC6" i="7"/>
  <c r="AB6" i="7"/>
  <c r="AA6" i="7"/>
  <c r="H63" i="7" s="1" a="1"/>
  <c r="H63" i="7" s="1"/>
  <c r="R67" i="7" a="1"/>
  <c r="BL42" i="7" a="1"/>
  <c r="BM42" i="7" a="1"/>
  <c r="BL53" i="7" a="1"/>
  <c r="BO59" i="7" a="1"/>
  <c r="W66" i="7"/>
  <c r="BM55" i="7" a="1"/>
  <c r="BK61" i="7" a="1"/>
  <c r="BK46" i="7" a="1"/>
  <c r="BN56" i="7" a="1"/>
  <c r="BK42" i="7" a="1"/>
  <c r="BN53" i="7" a="1"/>
  <c r="BK54" i="7" a="1"/>
  <c r="BO42" i="7" a="1"/>
  <c r="BN57" i="7" a="1"/>
  <c r="AD65" i="7" a="1"/>
  <c r="AD64" i="7" a="1"/>
  <c r="BO56" i="7" a="1"/>
  <c r="BM62" i="7" a="1"/>
  <c r="BM63" i="7" a="1"/>
  <c r="AE63" i="7" a="1"/>
  <c r="BM60" i="7" a="1"/>
  <c r="R63" i="7" a="1"/>
  <c r="BK40" i="7" a="1"/>
  <c r="BN43" i="7" a="1"/>
  <c r="BO52" i="7" a="1"/>
  <c r="BN59" i="7" a="1"/>
  <c r="BM57" i="7" a="1"/>
  <c r="BO39" i="7" a="1"/>
  <c r="AF64" i="7" a="1"/>
  <c r="BL44" i="7" a="1"/>
  <c r="BL51" i="7" a="1"/>
  <c r="BN61" i="7" a="1"/>
  <c r="BM52" i="7" a="1"/>
  <c r="BO43" i="7" a="1"/>
  <c r="BK57" i="7" a="1"/>
  <c r="BN48" i="7" a="1"/>
  <c r="BO54" i="7" a="1"/>
  <c r="BN39" i="7" a="1"/>
  <c r="AC65" i="7" a="1"/>
  <c r="AC64" i="7" a="1"/>
  <c r="BN52" i="7" a="1"/>
  <c r="AE64" i="7" a="1"/>
  <c r="BM51" i="7" a="1"/>
  <c r="BO63" i="7" a="1"/>
  <c r="BK48" i="7" a="1"/>
  <c r="BN60" i="7" a="1"/>
  <c r="BK53" i="7" a="1"/>
  <c r="BK51" i="7" a="1"/>
  <c r="BK39" i="7" a="1"/>
  <c r="W63" i="7"/>
  <c r="BL61" i="7" a="1"/>
  <c r="BO51" i="7" a="1"/>
  <c r="BK58" i="7" a="1"/>
  <c r="BK43" i="7" a="1"/>
  <c r="AE65" i="7" a="1"/>
  <c r="BK50" i="7" a="1"/>
  <c r="BM61" i="7" a="1"/>
  <c r="R66" i="7" a="1"/>
  <c r="BO62" i="7" a="1"/>
  <c r="BN62" i="7" a="1"/>
  <c r="BN41" i="7" a="1"/>
  <c r="BL52" i="7" a="1"/>
  <c r="BL59" i="7" a="1"/>
  <c r="BN44" i="7" a="1"/>
  <c r="BL49" i="7" a="1"/>
  <c r="AD63" i="7" a="1"/>
  <c r="BK60" i="7" a="1"/>
  <c r="BO41" i="7" a="1"/>
  <c r="R65" i="7" a="1"/>
  <c r="BM53" i="7" a="1"/>
  <c r="BO49" i="7" a="1"/>
  <c r="BK52" i="7" a="1"/>
  <c r="BL39" i="7" a="1"/>
  <c r="BL45" i="7" a="1"/>
  <c r="BM58" i="7" a="1"/>
  <c r="BM47" i="7" a="1"/>
  <c r="BK55" i="7" a="1"/>
  <c r="BO44" i="7" a="1"/>
  <c r="BO57" i="7" a="1"/>
  <c r="BK41" i="7" a="1"/>
  <c r="AB64" i="7" a="1"/>
  <c r="BL63" i="7" a="1"/>
  <c r="BL50" i="7" a="1"/>
  <c r="BN46" i="7" a="1"/>
  <c r="BK56" i="7" a="1"/>
  <c r="BN49" i="7" a="1"/>
  <c r="W64" i="7"/>
  <c r="BK59" i="7" a="1"/>
  <c r="BN55" i="7" a="1"/>
  <c r="BL41" i="7" a="1"/>
  <c r="BM45" i="7" a="1"/>
  <c r="BM48" i="7" a="1"/>
  <c r="BM43" i="7" a="1"/>
  <c r="BM41" i="7" a="1"/>
  <c r="BN47" i="7" a="1"/>
  <c r="BL56" i="7" a="1"/>
  <c r="BM54" i="7" a="1"/>
  <c r="BM50" i="7" a="1"/>
  <c r="BL58" i="7" a="1"/>
  <c r="BO47" i="7" a="1"/>
  <c r="BN58" i="7" a="1"/>
  <c r="W65" i="7"/>
  <c r="BO60" i="7" a="1"/>
  <c r="BM46" i="7" a="1"/>
  <c r="AF63" i="7" a="1"/>
  <c r="BN51" i="7" a="1"/>
  <c r="BL46" i="7" a="1"/>
  <c r="BN50" i="7" a="1"/>
  <c r="BK49" i="7" a="1"/>
  <c r="BL43" i="7" a="1"/>
  <c r="BL57" i="7" a="1"/>
  <c r="BO46" i="7" a="1"/>
  <c r="BN54" i="7" a="1"/>
  <c r="BK47" i="7" a="1"/>
  <c r="AB65" i="7" a="1"/>
  <c r="BO48" i="7" a="1"/>
  <c r="AB63" i="7" a="1"/>
  <c r="AC63" i="7" a="1"/>
  <c r="BL54" i="7" a="1"/>
  <c r="BO55" i="7" a="1"/>
  <c r="BK45" i="7" a="1"/>
  <c r="BN42" i="7" a="1"/>
  <c r="BL55" i="7" a="1"/>
  <c r="BL48" i="7" a="1"/>
  <c r="BN40" i="7" a="1"/>
  <c r="BM59" i="7" a="1"/>
  <c r="BM49" i="7" a="1"/>
  <c r="BL40" i="7" a="1"/>
  <c r="BL47" i="7" a="1"/>
  <c r="R64" i="7" a="1"/>
  <c r="BN63" i="7" a="1"/>
  <c r="BM56" i="7" a="1"/>
  <c r="BO61" i="7" a="1"/>
  <c r="BO50" i="7" a="1"/>
  <c r="BK63" i="7" a="1"/>
  <c r="BO45" i="7" a="1"/>
  <c r="BM40" i="7" a="1"/>
  <c r="BM44" i="7" a="1"/>
  <c r="BO53" i="7" a="1"/>
  <c r="BO58" i="7" a="1"/>
  <c r="BL60" i="7" a="1"/>
  <c r="BM39" i="7" a="1"/>
  <c r="AF65" i="7" a="1"/>
  <c r="BN45" i="7" a="1"/>
  <c r="BO40" i="7" a="1"/>
  <c r="BK62" i="7" a="1"/>
  <c r="BK44" i="7" a="1"/>
  <c r="BL62" i="7" a="1"/>
  <c r="BL40" i="7" l="1"/>
  <c r="BL48" i="7"/>
  <c r="BL50" i="7"/>
  <c r="BL52" i="7"/>
  <c r="BL54" i="7"/>
  <c r="BL56" i="7"/>
  <c r="BL58" i="7"/>
  <c r="BL60" i="7"/>
  <c r="BL62" i="7"/>
  <c r="BM42" i="7"/>
  <c r="BM48" i="7"/>
  <c r="BM52" i="7"/>
  <c r="BM56" i="7"/>
  <c r="BM58" i="7"/>
  <c r="BM62" i="7"/>
  <c r="BN42" i="7"/>
  <c r="BN44" i="7"/>
  <c r="BN46" i="7"/>
  <c r="BN54" i="7"/>
  <c r="BN56" i="7"/>
  <c r="BN58" i="7"/>
  <c r="BN60" i="7"/>
  <c r="BM44" i="7"/>
  <c r="BM50" i="7"/>
  <c r="BM54" i="7"/>
  <c r="BM60" i="7"/>
  <c r="BK39" i="7"/>
  <c r="BO40" i="7"/>
  <c r="BK41" i="7"/>
  <c r="BK43" i="7"/>
  <c r="BO44" i="7"/>
  <c r="BO46" i="7"/>
  <c r="BK47" i="7"/>
  <c r="BO48" i="7"/>
  <c r="BK49" i="7"/>
  <c r="BO50" i="7"/>
  <c r="BK51" i="7"/>
  <c r="BO52" i="7"/>
  <c r="BK53" i="7"/>
  <c r="BK55" i="7"/>
  <c r="BK57" i="7"/>
  <c r="BO58" i="7"/>
  <c r="BK59" i="7"/>
  <c r="BO60" i="7"/>
  <c r="BO62" i="7"/>
  <c r="BL42" i="7"/>
  <c r="BL46" i="7"/>
  <c r="BM40" i="7"/>
  <c r="BL57" i="7"/>
  <c r="BL59" i="7"/>
  <c r="BL61" i="7"/>
  <c r="BL63" i="7"/>
  <c r="BL44" i="7"/>
  <c r="BM39" i="7"/>
  <c r="BM43" i="7"/>
  <c r="BM45" i="7"/>
  <c r="BM47" i="7"/>
  <c r="BM49" i="7"/>
  <c r="BM51" i="7"/>
  <c r="BM53" i="7"/>
  <c r="BM55" i="7"/>
  <c r="BM59" i="7"/>
  <c r="BM61" i="7"/>
  <c r="BM63" i="7"/>
  <c r="BL41" i="7"/>
  <c r="BL43" i="7"/>
  <c r="BN39" i="7"/>
  <c r="BN41" i="7"/>
  <c r="BN45" i="7"/>
  <c r="BN47" i="7"/>
  <c r="BN49" i="7"/>
  <c r="BN51" i="7"/>
  <c r="BN53" i="7"/>
  <c r="BN55" i="7"/>
  <c r="BN57" i="7"/>
  <c r="BN61" i="7"/>
  <c r="BN63" i="7"/>
  <c r="BL45" i="7"/>
  <c r="BO39" i="7"/>
  <c r="BK40" i="7"/>
  <c r="BO41" i="7"/>
  <c r="BO43" i="7"/>
  <c r="BK44" i="7"/>
  <c r="BK46" i="7"/>
  <c r="BO47" i="7"/>
  <c r="BK48" i="7"/>
  <c r="BO49" i="7"/>
  <c r="BK50" i="7"/>
  <c r="BO51" i="7"/>
  <c r="BK52" i="7"/>
  <c r="BO53" i="7"/>
  <c r="BO55" i="7"/>
  <c r="BO57" i="7"/>
  <c r="BK58" i="7"/>
  <c r="BO59" i="7"/>
  <c r="BK60" i="7"/>
  <c r="BK62" i="7"/>
  <c r="BK42" i="7"/>
  <c r="BN50" i="7"/>
  <c r="BO61" i="7"/>
  <c r="R65" i="7"/>
  <c r="BN43" i="7"/>
  <c r="BK56" i="7"/>
  <c r="AE65" i="7"/>
  <c r="AD63" i="7"/>
  <c r="R66" i="7"/>
  <c r="R67" i="7"/>
  <c r="BL49" i="7"/>
  <c r="BM57" i="7"/>
  <c r="BO63" i="7"/>
  <c r="BK45" i="7"/>
  <c r="R63" i="7"/>
  <c r="AB64" i="7"/>
  <c r="AF64" i="7"/>
  <c r="AB65" i="7"/>
  <c r="AF65" i="7"/>
  <c r="BN52" i="7"/>
  <c r="BO45" i="7"/>
  <c r="AE64" i="7"/>
  <c r="AE63" i="7"/>
  <c r="BN40" i="7"/>
  <c r="BN48" i="7"/>
  <c r="BL53" i="7"/>
  <c r="BN59" i="7"/>
  <c r="BK63" i="7"/>
  <c r="BO54" i="7"/>
  <c r="BN62" i="7"/>
  <c r="AC64" i="7"/>
  <c r="AC65" i="7"/>
  <c r="BO42" i="7"/>
  <c r="BL51" i="7"/>
  <c r="AC63" i="7"/>
  <c r="BM41" i="7"/>
  <c r="BK54" i="7"/>
  <c r="AB63" i="7"/>
  <c r="AF63" i="7"/>
  <c r="BM46" i="7"/>
  <c r="BL55" i="7"/>
  <c r="BK61" i="7"/>
  <c r="R64" i="7"/>
  <c r="BL39" i="7"/>
  <c r="BL47" i="7"/>
  <c r="BO56" i="7"/>
  <c r="AD64" i="7"/>
  <c r="AD65" i="7"/>
  <c r="M86" i="7" a="1"/>
  <c r="M86" i="7" s="1"/>
  <c r="H69" i="7" a="1"/>
  <c r="H69" i="7" s="1"/>
  <c r="H77" i="7" a="1"/>
  <c r="H77" i="7" s="1"/>
  <c r="H85" i="7" a="1"/>
  <c r="H85" i="7" s="1"/>
  <c r="M66" i="7" a="1"/>
  <c r="M66" i="7" s="1"/>
  <c r="H72" i="7" a="1"/>
  <c r="H72" i="7" s="1"/>
  <c r="H74" i="7" a="1"/>
  <c r="H74" i="7" s="1"/>
  <c r="M80" i="7" a="1"/>
  <c r="M80" i="7" s="1"/>
  <c r="H82" i="7" a="1"/>
  <c r="H82" i="7" s="1"/>
  <c r="B55" i="7" a="1"/>
  <c r="B55" i="7" s="1"/>
  <c r="H64" i="7" a="1"/>
  <c r="H64" i="7" s="1"/>
  <c r="H65" i="7" a="1"/>
  <c r="H65" i="7" s="1"/>
  <c r="H71" i="7" a="1"/>
  <c r="H71" i="7" s="1"/>
  <c r="H79" i="7" a="1"/>
  <c r="H79" i="7" s="1"/>
  <c r="H87" i="7" a="1"/>
  <c r="H87" i="7" s="1"/>
  <c r="M70" i="7" a="1"/>
  <c r="M70" i="7" s="1"/>
  <c r="H68" i="7" a="1"/>
  <c r="H68" i="7" s="1"/>
  <c r="H76" i="7" a="1"/>
  <c r="H76" i="7" s="1"/>
  <c r="H84" i="7" a="1"/>
  <c r="H84" i="7" s="1"/>
  <c r="M78" i="7" a="1"/>
  <c r="M78" i="7" s="1"/>
  <c r="BP58" i="7" l="1"/>
  <c r="BP48" i="7"/>
  <c r="BP45" i="7"/>
  <c r="BP62" i="7"/>
  <c r="BP60" i="7"/>
  <c r="BP50" i="7"/>
  <c r="BP40" i="7"/>
  <c r="BP55" i="7"/>
  <c r="BP56" i="7"/>
  <c r="BO64" i="7"/>
  <c r="BP53" i="7"/>
  <c r="BP54" i="7"/>
  <c r="BM64" i="7"/>
  <c r="BP43" i="7"/>
  <c r="BL64" i="7"/>
  <c r="BP63" i="7"/>
  <c r="BP51" i="7"/>
  <c r="BP41" i="7"/>
  <c r="BP46" i="7"/>
  <c r="BP61" i="7"/>
  <c r="BP44" i="7"/>
  <c r="BN64" i="7"/>
  <c r="BP59" i="7"/>
  <c r="BP49" i="7"/>
  <c r="BK64" i="7"/>
  <c r="BP39" i="7"/>
  <c r="BP42" i="7"/>
  <c r="BP52" i="7"/>
  <c r="BP57" i="7"/>
  <c r="BP47" i="7"/>
  <c r="BP64" i="7" l="1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BR35" i="6"/>
  <c r="BK35" i="6"/>
  <c r="BD35" i="6"/>
  <c r="AW35" i="6"/>
  <c r="AP35" i="6"/>
  <c r="AI35" i="6"/>
  <c r="AA35" i="6"/>
  <c r="CC30" i="6"/>
  <c r="CB30" i="6"/>
  <c r="CA30" i="6"/>
  <c r="BZ30" i="6"/>
  <c r="BY30" i="6"/>
  <c r="BV30" i="6"/>
  <c r="BU30" i="6"/>
  <c r="BT30" i="6"/>
  <c r="BS30" i="6"/>
  <c r="BR30" i="6"/>
  <c r="BO30" i="6"/>
  <c r="BN30" i="6"/>
  <c r="BM30" i="6"/>
  <c r="BL30" i="6"/>
  <c r="BK30" i="6"/>
  <c r="AE30" i="6"/>
  <c r="AD30" i="6"/>
  <c r="AC30" i="6"/>
  <c r="AB30" i="6"/>
  <c r="AA30" i="6"/>
  <c r="M87" i="6" s="1" a="1"/>
  <c r="M87" i="6" s="1"/>
  <c r="CC29" i="6"/>
  <c r="CB29" i="6"/>
  <c r="CA29" i="6"/>
  <c r="BZ29" i="6"/>
  <c r="BY29" i="6"/>
  <c r="BV29" i="6"/>
  <c r="BU29" i="6"/>
  <c r="BT29" i="6"/>
  <c r="BS29" i="6"/>
  <c r="BR29" i="6"/>
  <c r="BO29" i="6"/>
  <c r="BN29" i="6"/>
  <c r="BM29" i="6"/>
  <c r="BL29" i="6"/>
  <c r="BK29" i="6"/>
  <c r="AE29" i="6"/>
  <c r="AD29" i="6"/>
  <c r="AC29" i="6"/>
  <c r="AB29" i="6"/>
  <c r="AA29" i="6"/>
  <c r="H86" i="6" s="1" a="1"/>
  <c r="H86" i="6" s="1"/>
  <c r="CC28" i="6"/>
  <c r="CB28" i="6"/>
  <c r="CA28" i="6"/>
  <c r="BZ28" i="6"/>
  <c r="BY28" i="6"/>
  <c r="BV28" i="6"/>
  <c r="BU28" i="6"/>
  <c r="BT28" i="6"/>
  <c r="BS28" i="6"/>
  <c r="BR28" i="6"/>
  <c r="BO28" i="6"/>
  <c r="BN28" i="6"/>
  <c r="BM28" i="6"/>
  <c r="BL28" i="6"/>
  <c r="BK28" i="6"/>
  <c r="AE28" i="6"/>
  <c r="AD28" i="6"/>
  <c r="AC28" i="6"/>
  <c r="AB28" i="6"/>
  <c r="AA28" i="6"/>
  <c r="M85" i="6" s="1" a="1"/>
  <c r="M85" i="6" s="1"/>
  <c r="CC27" i="6"/>
  <c r="CB27" i="6"/>
  <c r="CA27" i="6"/>
  <c r="BZ27" i="6"/>
  <c r="BY27" i="6"/>
  <c r="BV27" i="6"/>
  <c r="BU27" i="6"/>
  <c r="BT27" i="6"/>
  <c r="BS27" i="6"/>
  <c r="BR27" i="6"/>
  <c r="BO27" i="6"/>
  <c r="BN27" i="6"/>
  <c r="BM27" i="6"/>
  <c r="BL27" i="6"/>
  <c r="BK27" i="6"/>
  <c r="AE27" i="6"/>
  <c r="AD27" i="6"/>
  <c r="AC27" i="6"/>
  <c r="AB27" i="6"/>
  <c r="AA27" i="6"/>
  <c r="M84" i="6" s="1" a="1"/>
  <c r="M84" i="6" s="1"/>
  <c r="CC26" i="6"/>
  <c r="CB26" i="6"/>
  <c r="CA26" i="6"/>
  <c r="BZ26" i="6"/>
  <c r="BY26" i="6"/>
  <c r="BV26" i="6"/>
  <c r="BU26" i="6"/>
  <c r="BT26" i="6"/>
  <c r="BS26" i="6"/>
  <c r="H83" i="6" s="1" a="1"/>
  <c r="H83" i="6" s="1"/>
  <c r="BR26" i="6"/>
  <c r="BO26" i="6"/>
  <c r="BN26" i="6"/>
  <c r="BM26" i="6"/>
  <c r="BL26" i="6"/>
  <c r="BK26" i="6"/>
  <c r="AE26" i="6"/>
  <c r="AD26" i="6"/>
  <c r="AC26" i="6"/>
  <c r="AB26" i="6"/>
  <c r="AA26" i="6"/>
  <c r="M83" i="6" s="1" a="1"/>
  <c r="M83" i="6" s="1"/>
  <c r="CC25" i="6"/>
  <c r="CB25" i="6"/>
  <c r="CA25" i="6"/>
  <c r="BZ25" i="6"/>
  <c r="BY25" i="6"/>
  <c r="BV25" i="6"/>
  <c r="BU25" i="6"/>
  <c r="BT25" i="6"/>
  <c r="BS25" i="6"/>
  <c r="BR25" i="6"/>
  <c r="BO25" i="6"/>
  <c r="BN25" i="6"/>
  <c r="BM25" i="6"/>
  <c r="BL25" i="6"/>
  <c r="BK25" i="6"/>
  <c r="AE25" i="6"/>
  <c r="AD25" i="6"/>
  <c r="AC25" i="6"/>
  <c r="AB25" i="6"/>
  <c r="AA25" i="6"/>
  <c r="M82" i="6" s="1" a="1"/>
  <c r="M82" i="6" s="1"/>
  <c r="CC24" i="6"/>
  <c r="CB24" i="6"/>
  <c r="CA24" i="6"/>
  <c r="BZ24" i="6"/>
  <c r="BY24" i="6"/>
  <c r="BV24" i="6"/>
  <c r="BU24" i="6"/>
  <c r="BT24" i="6"/>
  <c r="BS24" i="6"/>
  <c r="M81" i="6" s="1" a="1"/>
  <c r="M81" i="6" s="1"/>
  <c r="BR24" i="6"/>
  <c r="BO24" i="6"/>
  <c r="BN24" i="6"/>
  <c r="BM24" i="6"/>
  <c r="BL24" i="6"/>
  <c r="BK24" i="6"/>
  <c r="AE24" i="6"/>
  <c r="AD24" i="6"/>
  <c r="AC24" i="6"/>
  <c r="AB24" i="6"/>
  <c r="AA24" i="6"/>
  <c r="H81" i="6" s="1" a="1"/>
  <c r="H81" i="6" s="1"/>
  <c r="CC23" i="6"/>
  <c r="CB23" i="6"/>
  <c r="CA23" i="6"/>
  <c r="BZ23" i="6"/>
  <c r="BY23" i="6"/>
  <c r="BV23" i="6"/>
  <c r="BU23" i="6"/>
  <c r="BT23" i="6"/>
  <c r="BS23" i="6"/>
  <c r="BR23" i="6"/>
  <c r="BO23" i="6"/>
  <c r="BN23" i="6"/>
  <c r="BM23" i="6"/>
  <c r="BL23" i="6"/>
  <c r="BK23" i="6"/>
  <c r="AE23" i="6"/>
  <c r="AD23" i="6"/>
  <c r="AC23" i="6"/>
  <c r="AB23" i="6"/>
  <c r="AA23" i="6"/>
  <c r="M80" i="6" s="1" a="1"/>
  <c r="M80" i="6" s="1"/>
  <c r="CC22" i="6"/>
  <c r="CB22" i="6"/>
  <c r="CA22" i="6"/>
  <c r="BZ22" i="6"/>
  <c r="BY22" i="6"/>
  <c r="BV22" i="6"/>
  <c r="BU22" i="6"/>
  <c r="BT22" i="6"/>
  <c r="BS22" i="6"/>
  <c r="BR22" i="6"/>
  <c r="BO22" i="6"/>
  <c r="BN22" i="6"/>
  <c r="BM22" i="6"/>
  <c r="BL22" i="6"/>
  <c r="BK22" i="6"/>
  <c r="AE22" i="6"/>
  <c r="AD22" i="6"/>
  <c r="AC22" i="6"/>
  <c r="AB22" i="6"/>
  <c r="AA22" i="6"/>
  <c r="M79" i="6" s="1" a="1"/>
  <c r="M79" i="6" s="1"/>
  <c r="CC21" i="6"/>
  <c r="CB21" i="6"/>
  <c r="CA21" i="6"/>
  <c r="BZ21" i="6"/>
  <c r="BY21" i="6"/>
  <c r="BV21" i="6"/>
  <c r="BU21" i="6"/>
  <c r="BT21" i="6"/>
  <c r="BS21" i="6"/>
  <c r="BR21" i="6"/>
  <c r="BO21" i="6"/>
  <c r="BN21" i="6"/>
  <c r="BM21" i="6"/>
  <c r="BL21" i="6"/>
  <c r="BK21" i="6"/>
  <c r="AE21" i="6"/>
  <c r="AD21" i="6"/>
  <c r="AC21" i="6"/>
  <c r="AB21" i="6"/>
  <c r="AA21" i="6"/>
  <c r="H78" i="6" s="1" a="1"/>
  <c r="H78" i="6" s="1"/>
  <c r="CC20" i="6"/>
  <c r="CB20" i="6"/>
  <c r="CA20" i="6"/>
  <c r="BZ20" i="6"/>
  <c r="BY20" i="6"/>
  <c r="BV20" i="6"/>
  <c r="BU20" i="6"/>
  <c r="BT20" i="6"/>
  <c r="BS20" i="6"/>
  <c r="BR20" i="6"/>
  <c r="BO20" i="6"/>
  <c r="BN20" i="6"/>
  <c r="BM20" i="6"/>
  <c r="BL20" i="6"/>
  <c r="BK20" i="6"/>
  <c r="AE20" i="6"/>
  <c r="AD20" i="6"/>
  <c r="AC20" i="6"/>
  <c r="AB20" i="6"/>
  <c r="AA20" i="6"/>
  <c r="M77" i="6" s="1" a="1"/>
  <c r="M77" i="6" s="1"/>
  <c r="CC19" i="6"/>
  <c r="CB19" i="6"/>
  <c r="CA19" i="6"/>
  <c r="BZ19" i="6"/>
  <c r="BY19" i="6"/>
  <c r="BV19" i="6"/>
  <c r="BU19" i="6"/>
  <c r="BT19" i="6"/>
  <c r="BS19" i="6"/>
  <c r="BR19" i="6"/>
  <c r="BO19" i="6"/>
  <c r="BN19" i="6"/>
  <c r="BM19" i="6"/>
  <c r="BL19" i="6"/>
  <c r="BK19" i="6"/>
  <c r="AE19" i="6"/>
  <c r="AD19" i="6"/>
  <c r="AC19" i="6"/>
  <c r="AB19" i="6"/>
  <c r="AA19" i="6"/>
  <c r="M76" i="6" s="1" a="1"/>
  <c r="M76" i="6" s="1"/>
  <c r="CC18" i="6"/>
  <c r="CB18" i="6"/>
  <c r="CA18" i="6"/>
  <c r="BZ18" i="6"/>
  <c r="BY18" i="6"/>
  <c r="BV18" i="6"/>
  <c r="BU18" i="6"/>
  <c r="BT18" i="6"/>
  <c r="BS18" i="6"/>
  <c r="BR18" i="6"/>
  <c r="BO18" i="6"/>
  <c r="BN18" i="6"/>
  <c r="BM18" i="6"/>
  <c r="BL18" i="6"/>
  <c r="BK18" i="6"/>
  <c r="AE18" i="6"/>
  <c r="AD18" i="6"/>
  <c r="AC18" i="6"/>
  <c r="AB18" i="6"/>
  <c r="AA18" i="6"/>
  <c r="M75" i="6" s="1" a="1"/>
  <c r="M75" i="6" s="1"/>
  <c r="CC17" i="6"/>
  <c r="CB17" i="6"/>
  <c r="CA17" i="6"/>
  <c r="BZ17" i="6"/>
  <c r="BY17" i="6"/>
  <c r="BV17" i="6"/>
  <c r="BU17" i="6"/>
  <c r="BT17" i="6"/>
  <c r="BS17" i="6"/>
  <c r="BR17" i="6"/>
  <c r="BO17" i="6"/>
  <c r="BN17" i="6"/>
  <c r="BM17" i="6"/>
  <c r="BL17" i="6"/>
  <c r="BK17" i="6"/>
  <c r="AE17" i="6"/>
  <c r="AD17" i="6"/>
  <c r="AC17" i="6"/>
  <c r="AB17" i="6"/>
  <c r="AA17" i="6"/>
  <c r="M74" i="6" s="1" a="1"/>
  <c r="M74" i="6" s="1"/>
  <c r="CC16" i="6"/>
  <c r="CB16" i="6"/>
  <c r="CA16" i="6"/>
  <c r="BZ16" i="6"/>
  <c r="BY16" i="6"/>
  <c r="BV16" i="6"/>
  <c r="BU16" i="6"/>
  <c r="BT16" i="6"/>
  <c r="BS16" i="6"/>
  <c r="M73" i="6" s="1" a="1"/>
  <c r="M73" i="6" s="1"/>
  <c r="BR16" i="6"/>
  <c r="BO16" i="6"/>
  <c r="BN16" i="6"/>
  <c r="BM16" i="6"/>
  <c r="BL16" i="6"/>
  <c r="BK16" i="6"/>
  <c r="AE16" i="6"/>
  <c r="AD16" i="6"/>
  <c r="AC16" i="6"/>
  <c r="AB16" i="6"/>
  <c r="AA16" i="6"/>
  <c r="H73" i="6" s="1" a="1"/>
  <c r="H73" i="6" s="1"/>
  <c r="CC15" i="6"/>
  <c r="CB15" i="6"/>
  <c r="CA15" i="6"/>
  <c r="BZ15" i="6"/>
  <c r="BY15" i="6"/>
  <c r="BV15" i="6"/>
  <c r="BU15" i="6"/>
  <c r="BT15" i="6"/>
  <c r="BS15" i="6"/>
  <c r="BR15" i="6"/>
  <c r="BO15" i="6"/>
  <c r="BN15" i="6"/>
  <c r="BM15" i="6"/>
  <c r="BL15" i="6"/>
  <c r="BK15" i="6"/>
  <c r="AE15" i="6"/>
  <c r="AD15" i="6"/>
  <c r="AC15" i="6"/>
  <c r="AB15" i="6"/>
  <c r="AA15" i="6"/>
  <c r="H72" i="6" s="1" a="1"/>
  <c r="H72" i="6" s="1"/>
  <c r="CC14" i="6"/>
  <c r="CB14" i="6"/>
  <c r="CA14" i="6"/>
  <c r="BZ14" i="6"/>
  <c r="BY14" i="6"/>
  <c r="BV14" i="6"/>
  <c r="BU14" i="6"/>
  <c r="BT14" i="6"/>
  <c r="BS14" i="6"/>
  <c r="BR14" i="6"/>
  <c r="BO14" i="6"/>
  <c r="BN14" i="6"/>
  <c r="BM14" i="6"/>
  <c r="BL14" i="6"/>
  <c r="BK14" i="6"/>
  <c r="AE14" i="6"/>
  <c r="AD14" i="6"/>
  <c r="AC14" i="6"/>
  <c r="AB14" i="6"/>
  <c r="AA14" i="6"/>
  <c r="M71" i="6" s="1" a="1"/>
  <c r="M71" i="6" s="1"/>
  <c r="CC13" i="6"/>
  <c r="CB13" i="6"/>
  <c r="CA13" i="6"/>
  <c r="BZ13" i="6"/>
  <c r="BY13" i="6"/>
  <c r="BV13" i="6"/>
  <c r="BU13" i="6"/>
  <c r="BT13" i="6"/>
  <c r="BS13" i="6"/>
  <c r="BR13" i="6"/>
  <c r="BO13" i="6"/>
  <c r="BN13" i="6"/>
  <c r="BM13" i="6"/>
  <c r="BL13" i="6"/>
  <c r="BK13" i="6"/>
  <c r="AE13" i="6"/>
  <c r="AD13" i="6"/>
  <c r="AC13" i="6"/>
  <c r="AB13" i="6"/>
  <c r="AA13" i="6"/>
  <c r="M70" i="6" s="1" a="1"/>
  <c r="M70" i="6" s="1"/>
  <c r="CC12" i="6"/>
  <c r="CB12" i="6"/>
  <c r="CA12" i="6"/>
  <c r="BZ12" i="6"/>
  <c r="BY12" i="6"/>
  <c r="BV12" i="6"/>
  <c r="BU12" i="6"/>
  <c r="BT12" i="6"/>
  <c r="BS12" i="6"/>
  <c r="H69" i="6" s="1" a="1"/>
  <c r="H69" i="6" s="1"/>
  <c r="BR12" i="6"/>
  <c r="BO12" i="6"/>
  <c r="BN12" i="6"/>
  <c r="BM12" i="6"/>
  <c r="BL12" i="6"/>
  <c r="BK12" i="6"/>
  <c r="AE12" i="6"/>
  <c r="AD12" i="6"/>
  <c r="AC12" i="6"/>
  <c r="AB12" i="6"/>
  <c r="AA12" i="6"/>
  <c r="M69" i="6" s="1" a="1"/>
  <c r="M69" i="6" s="1"/>
  <c r="CC11" i="6"/>
  <c r="CB11" i="6"/>
  <c r="CA11" i="6"/>
  <c r="BZ11" i="6"/>
  <c r="BY11" i="6"/>
  <c r="BV11" i="6"/>
  <c r="BU11" i="6"/>
  <c r="BT11" i="6"/>
  <c r="BS11" i="6"/>
  <c r="BR11" i="6"/>
  <c r="BO11" i="6"/>
  <c r="BN11" i="6"/>
  <c r="BM11" i="6"/>
  <c r="BL11" i="6"/>
  <c r="BK11" i="6"/>
  <c r="AE11" i="6"/>
  <c r="AD11" i="6"/>
  <c r="AC11" i="6"/>
  <c r="AB11" i="6"/>
  <c r="AA11" i="6"/>
  <c r="M68" i="6" s="1" a="1"/>
  <c r="M68" i="6" s="1"/>
  <c r="CC10" i="6"/>
  <c r="CB10" i="6"/>
  <c r="CA10" i="6"/>
  <c r="BZ10" i="6"/>
  <c r="BY10" i="6"/>
  <c r="BV10" i="6"/>
  <c r="BU10" i="6"/>
  <c r="BT10" i="6"/>
  <c r="BS10" i="6"/>
  <c r="BR10" i="6"/>
  <c r="BO10" i="6"/>
  <c r="BN10" i="6"/>
  <c r="BM10" i="6"/>
  <c r="BL10" i="6"/>
  <c r="BK10" i="6"/>
  <c r="AE10" i="6"/>
  <c r="AD10" i="6"/>
  <c r="AC10" i="6"/>
  <c r="AB10" i="6"/>
  <c r="AA10" i="6"/>
  <c r="M67" i="6" s="1" a="1"/>
  <c r="M67" i="6" s="1"/>
  <c r="CC9" i="6"/>
  <c r="CB9" i="6"/>
  <c r="CA9" i="6"/>
  <c r="BZ9" i="6"/>
  <c r="BY9" i="6"/>
  <c r="BV9" i="6"/>
  <c r="BU9" i="6"/>
  <c r="BT9" i="6"/>
  <c r="BS9" i="6"/>
  <c r="BR9" i="6"/>
  <c r="BO9" i="6"/>
  <c r="BN9" i="6"/>
  <c r="BM9" i="6"/>
  <c r="BL9" i="6"/>
  <c r="BK9" i="6"/>
  <c r="AE9" i="6"/>
  <c r="AD9" i="6"/>
  <c r="AC9" i="6"/>
  <c r="AB9" i="6"/>
  <c r="AA9" i="6"/>
  <c r="M66" i="6" s="1" a="1"/>
  <c r="M66" i="6" s="1"/>
  <c r="CC8" i="6"/>
  <c r="CB8" i="6"/>
  <c r="CA8" i="6"/>
  <c r="BZ8" i="6"/>
  <c r="BY8" i="6"/>
  <c r="BV8" i="6"/>
  <c r="BU8" i="6"/>
  <c r="BT8" i="6"/>
  <c r="BS8" i="6"/>
  <c r="BR8" i="6"/>
  <c r="BO8" i="6"/>
  <c r="BN8" i="6"/>
  <c r="BM8" i="6"/>
  <c r="BL8" i="6"/>
  <c r="BK8" i="6"/>
  <c r="AE8" i="6"/>
  <c r="AD8" i="6"/>
  <c r="AC8" i="6"/>
  <c r="AB8" i="6"/>
  <c r="AA8" i="6"/>
  <c r="M65" i="6" s="1" a="1"/>
  <c r="M65" i="6" s="1"/>
  <c r="CC7" i="6"/>
  <c r="CB7" i="6"/>
  <c r="CA7" i="6"/>
  <c r="BZ7" i="6"/>
  <c r="BY7" i="6"/>
  <c r="BV7" i="6"/>
  <c r="BU7" i="6"/>
  <c r="BT7" i="6"/>
  <c r="BS7" i="6"/>
  <c r="BR7" i="6"/>
  <c r="BO7" i="6"/>
  <c r="BN7" i="6"/>
  <c r="BM7" i="6"/>
  <c r="BL7" i="6"/>
  <c r="BK7" i="6"/>
  <c r="AE7" i="6"/>
  <c r="AD7" i="6"/>
  <c r="AC7" i="6"/>
  <c r="AB7" i="6"/>
  <c r="AA7" i="6"/>
  <c r="M64" i="6" s="1" a="1"/>
  <c r="M64" i="6" s="1"/>
  <c r="CC6" i="6"/>
  <c r="CB6" i="6"/>
  <c r="CA6" i="6"/>
  <c r="BZ6" i="6"/>
  <c r="BY6" i="6"/>
  <c r="B55" i="6" s="1" a="1"/>
  <c r="B55" i="6" s="1"/>
  <c r="BV6" i="6"/>
  <c r="BU6" i="6"/>
  <c r="BT6" i="6"/>
  <c r="BS6" i="6"/>
  <c r="H63" i="6" s="1" a="1"/>
  <c r="H63" i="6" s="1"/>
  <c r="BR6" i="6"/>
  <c r="BO6" i="6"/>
  <c r="BN6" i="6"/>
  <c r="BM6" i="6"/>
  <c r="BL6" i="6"/>
  <c r="BK6" i="6"/>
  <c r="AE6" i="6"/>
  <c r="AD6" i="6"/>
  <c r="AC6" i="6"/>
  <c r="AB6" i="6"/>
  <c r="AA6" i="6"/>
  <c r="M63" i="6" s="1" a="1"/>
  <c r="M63" i="6" s="1"/>
  <c r="AC63" i="6" a="1"/>
  <c r="AD65" i="6" a="1"/>
  <c r="R67" i="6" a="1"/>
  <c r="AF63" i="6" a="1"/>
  <c r="W76" i="6" a="1"/>
  <c r="W75" i="6" a="1"/>
  <c r="AC65" i="6" a="1"/>
  <c r="AF65" i="6" a="1"/>
  <c r="W63" i="6"/>
  <c r="W74" i="6" a="1"/>
  <c r="AB63" i="6" a="1"/>
  <c r="R65" i="6" a="1"/>
  <c r="W72" i="6" a="1"/>
  <c r="AE65" i="6" a="1"/>
  <c r="AE63" i="6" a="1"/>
  <c r="R64" i="6" a="1"/>
  <c r="W73" i="6" a="1"/>
  <c r="R63" i="6" a="1"/>
  <c r="W66" i="6"/>
  <c r="W64" i="6"/>
  <c r="R66" i="6" a="1"/>
  <c r="W65" i="6"/>
  <c r="AD63" i="6" a="1"/>
  <c r="AB65" i="6" a="1"/>
  <c r="AC63" i="6" l="1"/>
  <c r="AB65" i="6"/>
  <c r="AF65" i="6"/>
  <c r="W74" i="6"/>
  <c r="W73" i="6"/>
  <c r="W75" i="6"/>
  <c r="AD63" i="6"/>
  <c r="AC65" i="6"/>
  <c r="W72" i="6"/>
  <c r="R63" i="6"/>
  <c r="R66" i="6"/>
  <c r="AE63" i="6"/>
  <c r="AD65" i="6"/>
  <c r="R67" i="6"/>
  <c r="R64" i="6"/>
  <c r="R65" i="6"/>
  <c r="AB63" i="6"/>
  <c r="AF63" i="6"/>
  <c r="AE65" i="6"/>
  <c r="W76" i="6"/>
  <c r="M72" i="6" a="1"/>
  <c r="M72" i="6" s="1"/>
  <c r="M78" i="6" a="1"/>
  <c r="M78" i="6" s="1"/>
  <c r="H80" i="6" a="1"/>
  <c r="H80" i="6" s="1"/>
  <c r="M86" i="6" a="1"/>
  <c r="M86" i="6" s="1"/>
  <c r="H64" i="6" a="1"/>
  <c r="H64" i="6" s="1"/>
  <c r="H65" i="6" a="1"/>
  <c r="H65" i="6" s="1"/>
  <c r="H71" i="6" a="1"/>
  <c r="H71" i="6" s="1"/>
  <c r="H77" i="6" a="1"/>
  <c r="H77" i="6" s="1"/>
  <c r="H85" i="6" a="1"/>
  <c r="H85" i="6" s="1"/>
  <c r="H68" i="6" a="1"/>
  <c r="H68" i="6" s="1"/>
  <c r="H76" i="6" a="1"/>
  <c r="H76" i="6" s="1"/>
  <c r="H82" i="6" a="1"/>
  <c r="H82" i="6" s="1"/>
  <c r="H66" i="6" a="1"/>
  <c r="H66" i="6" s="1"/>
  <c r="H67" i="6" a="1"/>
  <c r="H67" i="6" s="1"/>
  <c r="H75" i="6" a="1"/>
  <c r="H75" i="6" s="1"/>
  <c r="H79" i="6" a="1"/>
  <c r="H79" i="6" s="1"/>
  <c r="H87" i="6" a="1"/>
  <c r="H87" i="6" s="1"/>
  <c r="H70" i="6" a="1"/>
  <c r="H70" i="6" s="1"/>
  <c r="H74" i="6" a="1"/>
  <c r="H74" i="6" s="1"/>
  <c r="H84" i="6" a="1"/>
  <c r="H84" i="6" s="1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BR35" i="5"/>
  <c r="BK35" i="5"/>
  <c r="BD35" i="5"/>
  <c r="AW35" i="5"/>
  <c r="AP35" i="5"/>
  <c r="AI35" i="5"/>
  <c r="AA35" i="5"/>
  <c r="CC30" i="5"/>
  <c r="CB30" i="5"/>
  <c r="CA30" i="5"/>
  <c r="BZ30" i="5"/>
  <c r="BY30" i="5"/>
  <c r="BV30" i="5"/>
  <c r="BU30" i="5"/>
  <c r="BT30" i="5"/>
  <c r="BS30" i="5"/>
  <c r="BR30" i="5"/>
  <c r="BO30" i="5"/>
  <c r="BN30" i="5"/>
  <c r="BM30" i="5"/>
  <c r="BL30" i="5"/>
  <c r="BK30" i="5"/>
  <c r="AE30" i="5"/>
  <c r="AD30" i="5"/>
  <c r="AC30" i="5"/>
  <c r="AB30" i="5"/>
  <c r="AA30" i="5"/>
  <c r="CC29" i="5"/>
  <c r="CB29" i="5"/>
  <c r="CA29" i="5"/>
  <c r="BZ29" i="5"/>
  <c r="BY29" i="5"/>
  <c r="BV29" i="5"/>
  <c r="BU29" i="5"/>
  <c r="BT29" i="5"/>
  <c r="BS29" i="5"/>
  <c r="BR29" i="5"/>
  <c r="BO29" i="5"/>
  <c r="BN29" i="5"/>
  <c r="BM29" i="5"/>
  <c r="BL29" i="5"/>
  <c r="BK29" i="5"/>
  <c r="AE29" i="5"/>
  <c r="AD29" i="5"/>
  <c r="AC29" i="5"/>
  <c r="AB29" i="5"/>
  <c r="M86" i="5" s="1" a="1"/>
  <c r="M86" i="5" s="1"/>
  <c r="AA29" i="5"/>
  <c r="CC28" i="5"/>
  <c r="CB28" i="5"/>
  <c r="CA28" i="5"/>
  <c r="BZ28" i="5"/>
  <c r="BY28" i="5"/>
  <c r="BV28" i="5"/>
  <c r="BU28" i="5"/>
  <c r="BT28" i="5"/>
  <c r="BS28" i="5"/>
  <c r="BR28" i="5"/>
  <c r="BO28" i="5"/>
  <c r="BN28" i="5"/>
  <c r="BM28" i="5"/>
  <c r="BL28" i="5"/>
  <c r="BK28" i="5"/>
  <c r="AE28" i="5"/>
  <c r="AD28" i="5"/>
  <c r="AC28" i="5"/>
  <c r="AB28" i="5"/>
  <c r="AA28" i="5"/>
  <c r="CC27" i="5"/>
  <c r="CB27" i="5"/>
  <c r="CA27" i="5"/>
  <c r="BZ27" i="5"/>
  <c r="BY27" i="5"/>
  <c r="BV27" i="5"/>
  <c r="BU27" i="5"/>
  <c r="BT27" i="5"/>
  <c r="BS27" i="5"/>
  <c r="BR27" i="5"/>
  <c r="BO27" i="5"/>
  <c r="BN27" i="5"/>
  <c r="BM27" i="5"/>
  <c r="BL27" i="5"/>
  <c r="BK27" i="5"/>
  <c r="AE27" i="5"/>
  <c r="AD27" i="5"/>
  <c r="AC27" i="5"/>
  <c r="AB27" i="5"/>
  <c r="AA27" i="5"/>
  <c r="CC26" i="5"/>
  <c r="CB26" i="5"/>
  <c r="CA26" i="5"/>
  <c r="BZ26" i="5"/>
  <c r="BY26" i="5"/>
  <c r="BV26" i="5"/>
  <c r="BU26" i="5"/>
  <c r="BT26" i="5"/>
  <c r="BS26" i="5"/>
  <c r="BR26" i="5"/>
  <c r="BO26" i="5"/>
  <c r="BN26" i="5"/>
  <c r="BM26" i="5"/>
  <c r="BL26" i="5"/>
  <c r="BK26" i="5"/>
  <c r="AE26" i="5"/>
  <c r="AD26" i="5"/>
  <c r="AC26" i="5"/>
  <c r="AB26" i="5"/>
  <c r="AA26" i="5"/>
  <c r="CC25" i="5"/>
  <c r="CB25" i="5"/>
  <c r="CA25" i="5"/>
  <c r="BZ25" i="5"/>
  <c r="BY25" i="5"/>
  <c r="BV25" i="5"/>
  <c r="BU25" i="5"/>
  <c r="BT25" i="5"/>
  <c r="BS25" i="5"/>
  <c r="BR25" i="5"/>
  <c r="BO25" i="5"/>
  <c r="BN25" i="5"/>
  <c r="BM25" i="5"/>
  <c r="BL25" i="5"/>
  <c r="BK25" i="5"/>
  <c r="AE25" i="5"/>
  <c r="AD25" i="5"/>
  <c r="AC25" i="5"/>
  <c r="AB25" i="5"/>
  <c r="AA25" i="5"/>
  <c r="CC24" i="5"/>
  <c r="CB24" i="5"/>
  <c r="CA24" i="5"/>
  <c r="BZ24" i="5"/>
  <c r="BY24" i="5"/>
  <c r="BV24" i="5"/>
  <c r="BU24" i="5"/>
  <c r="BT24" i="5"/>
  <c r="BS24" i="5"/>
  <c r="BR24" i="5"/>
  <c r="BO24" i="5"/>
  <c r="BN24" i="5"/>
  <c r="BM24" i="5"/>
  <c r="BL24" i="5"/>
  <c r="BK24" i="5"/>
  <c r="AE24" i="5"/>
  <c r="AD24" i="5"/>
  <c r="AC24" i="5"/>
  <c r="AB24" i="5"/>
  <c r="AA24" i="5"/>
  <c r="CC23" i="5"/>
  <c r="CB23" i="5"/>
  <c r="CA23" i="5"/>
  <c r="BZ23" i="5"/>
  <c r="BY23" i="5"/>
  <c r="BV23" i="5"/>
  <c r="BU23" i="5"/>
  <c r="BT23" i="5"/>
  <c r="BS23" i="5"/>
  <c r="BR23" i="5"/>
  <c r="BO23" i="5"/>
  <c r="BN23" i="5"/>
  <c r="BM23" i="5"/>
  <c r="BL23" i="5"/>
  <c r="BK23" i="5"/>
  <c r="AE23" i="5"/>
  <c r="AD23" i="5"/>
  <c r="AC23" i="5"/>
  <c r="AB23" i="5"/>
  <c r="H80" i="5" s="1" a="1"/>
  <c r="H80" i="5" s="1"/>
  <c r="AA23" i="5"/>
  <c r="CC22" i="5"/>
  <c r="CB22" i="5"/>
  <c r="CA22" i="5"/>
  <c r="BZ22" i="5"/>
  <c r="BY22" i="5"/>
  <c r="BV22" i="5"/>
  <c r="BU22" i="5"/>
  <c r="BT22" i="5"/>
  <c r="BS22" i="5"/>
  <c r="BR22" i="5"/>
  <c r="BO22" i="5"/>
  <c r="BN22" i="5"/>
  <c r="BM22" i="5"/>
  <c r="BL22" i="5"/>
  <c r="BK22" i="5"/>
  <c r="AE22" i="5"/>
  <c r="AD22" i="5"/>
  <c r="AC22" i="5"/>
  <c r="AB22" i="5"/>
  <c r="AA22" i="5"/>
  <c r="CC21" i="5"/>
  <c r="CB21" i="5"/>
  <c r="CA21" i="5"/>
  <c r="BZ21" i="5"/>
  <c r="BY21" i="5"/>
  <c r="BV21" i="5"/>
  <c r="BU21" i="5"/>
  <c r="BT21" i="5"/>
  <c r="BS21" i="5"/>
  <c r="BR21" i="5"/>
  <c r="BO21" i="5"/>
  <c r="BN21" i="5"/>
  <c r="BM21" i="5"/>
  <c r="BL21" i="5"/>
  <c r="BK21" i="5"/>
  <c r="AE21" i="5"/>
  <c r="AD21" i="5"/>
  <c r="AC21" i="5"/>
  <c r="AB21" i="5"/>
  <c r="M78" i="5" s="1" a="1"/>
  <c r="M78" i="5" s="1"/>
  <c r="AA21" i="5"/>
  <c r="CC20" i="5"/>
  <c r="CB20" i="5"/>
  <c r="CA20" i="5"/>
  <c r="BZ20" i="5"/>
  <c r="BY20" i="5"/>
  <c r="BV20" i="5"/>
  <c r="BU20" i="5"/>
  <c r="BT20" i="5"/>
  <c r="BS20" i="5"/>
  <c r="BR20" i="5"/>
  <c r="BO20" i="5"/>
  <c r="BN20" i="5"/>
  <c r="BM20" i="5"/>
  <c r="BL20" i="5"/>
  <c r="BK20" i="5"/>
  <c r="AE20" i="5"/>
  <c r="AD20" i="5"/>
  <c r="AC20" i="5"/>
  <c r="AB20" i="5"/>
  <c r="AA20" i="5"/>
  <c r="CC19" i="5"/>
  <c r="CB19" i="5"/>
  <c r="CA19" i="5"/>
  <c r="BZ19" i="5"/>
  <c r="BY19" i="5"/>
  <c r="BV19" i="5"/>
  <c r="BU19" i="5"/>
  <c r="BT19" i="5"/>
  <c r="BS19" i="5"/>
  <c r="BR19" i="5"/>
  <c r="BO19" i="5"/>
  <c r="BN19" i="5"/>
  <c r="BM19" i="5"/>
  <c r="BL19" i="5"/>
  <c r="BK19" i="5"/>
  <c r="AE19" i="5"/>
  <c r="AD19" i="5"/>
  <c r="AC19" i="5"/>
  <c r="AB19" i="5"/>
  <c r="AA19" i="5"/>
  <c r="CC18" i="5"/>
  <c r="CB18" i="5"/>
  <c r="CA18" i="5"/>
  <c r="BZ18" i="5"/>
  <c r="BY18" i="5"/>
  <c r="BV18" i="5"/>
  <c r="BU18" i="5"/>
  <c r="BT18" i="5"/>
  <c r="BS18" i="5"/>
  <c r="BR18" i="5"/>
  <c r="BO18" i="5"/>
  <c r="BN18" i="5"/>
  <c r="BM18" i="5"/>
  <c r="BL18" i="5"/>
  <c r="BK18" i="5"/>
  <c r="AE18" i="5"/>
  <c r="AD18" i="5"/>
  <c r="AC18" i="5"/>
  <c r="AB18" i="5"/>
  <c r="AA18" i="5"/>
  <c r="CC17" i="5"/>
  <c r="CB17" i="5"/>
  <c r="CA17" i="5"/>
  <c r="BZ17" i="5"/>
  <c r="BY17" i="5"/>
  <c r="BV17" i="5"/>
  <c r="BU17" i="5"/>
  <c r="BT17" i="5"/>
  <c r="BS17" i="5"/>
  <c r="BR17" i="5"/>
  <c r="BO17" i="5"/>
  <c r="BN17" i="5"/>
  <c r="BM17" i="5"/>
  <c r="BL17" i="5"/>
  <c r="BK17" i="5"/>
  <c r="AE17" i="5"/>
  <c r="AD17" i="5"/>
  <c r="AC17" i="5"/>
  <c r="AB17" i="5"/>
  <c r="AA17" i="5"/>
  <c r="CC16" i="5"/>
  <c r="CB16" i="5"/>
  <c r="CA16" i="5"/>
  <c r="BZ16" i="5"/>
  <c r="BY16" i="5"/>
  <c r="BV16" i="5"/>
  <c r="BU16" i="5"/>
  <c r="BT16" i="5"/>
  <c r="BS16" i="5"/>
  <c r="BR16" i="5"/>
  <c r="BO16" i="5"/>
  <c r="BN16" i="5"/>
  <c r="BM16" i="5"/>
  <c r="BL16" i="5"/>
  <c r="BK16" i="5"/>
  <c r="AE16" i="5"/>
  <c r="AD16" i="5"/>
  <c r="AC16" i="5"/>
  <c r="AB16" i="5"/>
  <c r="AA16" i="5"/>
  <c r="CC15" i="5"/>
  <c r="CB15" i="5"/>
  <c r="CA15" i="5"/>
  <c r="BZ15" i="5"/>
  <c r="BY15" i="5"/>
  <c r="BV15" i="5"/>
  <c r="BU15" i="5"/>
  <c r="BT15" i="5"/>
  <c r="BS15" i="5"/>
  <c r="BR15" i="5"/>
  <c r="BO15" i="5"/>
  <c r="BN15" i="5"/>
  <c r="BM15" i="5"/>
  <c r="BL15" i="5"/>
  <c r="BK15" i="5"/>
  <c r="AE15" i="5"/>
  <c r="AD15" i="5"/>
  <c r="AC15" i="5"/>
  <c r="AB15" i="5"/>
  <c r="H72" i="5" s="1" a="1"/>
  <c r="H72" i="5" s="1"/>
  <c r="AA15" i="5"/>
  <c r="CC14" i="5"/>
  <c r="CB14" i="5"/>
  <c r="CA14" i="5"/>
  <c r="BZ14" i="5"/>
  <c r="BY14" i="5"/>
  <c r="BV14" i="5"/>
  <c r="BU14" i="5"/>
  <c r="BT14" i="5"/>
  <c r="BS14" i="5"/>
  <c r="BR14" i="5"/>
  <c r="BO14" i="5"/>
  <c r="BN14" i="5"/>
  <c r="BM14" i="5"/>
  <c r="BL14" i="5"/>
  <c r="BK14" i="5"/>
  <c r="AE14" i="5"/>
  <c r="AD14" i="5"/>
  <c r="AC14" i="5"/>
  <c r="AB14" i="5"/>
  <c r="AA14" i="5"/>
  <c r="CC13" i="5"/>
  <c r="CB13" i="5"/>
  <c r="CA13" i="5"/>
  <c r="BZ13" i="5"/>
  <c r="BY13" i="5"/>
  <c r="BV13" i="5"/>
  <c r="BU13" i="5"/>
  <c r="BT13" i="5"/>
  <c r="BS13" i="5"/>
  <c r="BR13" i="5"/>
  <c r="BO13" i="5"/>
  <c r="BN13" i="5"/>
  <c r="BM13" i="5"/>
  <c r="BL13" i="5"/>
  <c r="BK13" i="5"/>
  <c r="AE13" i="5"/>
  <c r="AD13" i="5"/>
  <c r="AC13" i="5"/>
  <c r="AB13" i="5"/>
  <c r="M70" i="5" s="1" a="1"/>
  <c r="M70" i="5" s="1"/>
  <c r="AA13" i="5"/>
  <c r="CC12" i="5"/>
  <c r="CB12" i="5"/>
  <c r="CA12" i="5"/>
  <c r="BZ12" i="5"/>
  <c r="BY12" i="5"/>
  <c r="BV12" i="5"/>
  <c r="BU12" i="5"/>
  <c r="BT12" i="5"/>
  <c r="BS12" i="5"/>
  <c r="BR12" i="5"/>
  <c r="BO12" i="5"/>
  <c r="BN12" i="5"/>
  <c r="BM12" i="5"/>
  <c r="BL12" i="5"/>
  <c r="BK12" i="5"/>
  <c r="AE12" i="5"/>
  <c r="AD12" i="5"/>
  <c r="AC12" i="5"/>
  <c r="AB12" i="5"/>
  <c r="AA12" i="5"/>
  <c r="CC11" i="5"/>
  <c r="CB11" i="5"/>
  <c r="CA11" i="5"/>
  <c r="BZ11" i="5"/>
  <c r="BY11" i="5"/>
  <c r="BV11" i="5"/>
  <c r="BU11" i="5"/>
  <c r="BT11" i="5"/>
  <c r="BS11" i="5"/>
  <c r="BR11" i="5"/>
  <c r="BO11" i="5"/>
  <c r="BN11" i="5"/>
  <c r="BM11" i="5"/>
  <c r="BL11" i="5"/>
  <c r="BK11" i="5"/>
  <c r="AE11" i="5"/>
  <c r="AD11" i="5"/>
  <c r="AC11" i="5"/>
  <c r="AB11" i="5"/>
  <c r="AA11" i="5"/>
  <c r="CC10" i="5"/>
  <c r="CB10" i="5"/>
  <c r="CA10" i="5"/>
  <c r="BZ10" i="5"/>
  <c r="BY10" i="5"/>
  <c r="BV10" i="5"/>
  <c r="BU10" i="5"/>
  <c r="BT10" i="5"/>
  <c r="BS10" i="5"/>
  <c r="BR10" i="5"/>
  <c r="BO10" i="5"/>
  <c r="BN10" i="5"/>
  <c r="BM10" i="5"/>
  <c r="BL10" i="5"/>
  <c r="BK10" i="5"/>
  <c r="AE10" i="5"/>
  <c r="AD10" i="5"/>
  <c r="AC10" i="5"/>
  <c r="AB10" i="5"/>
  <c r="AA10" i="5"/>
  <c r="CC9" i="5"/>
  <c r="CB9" i="5"/>
  <c r="CA9" i="5"/>
  <c r="BZ9" i="5"/>
  <c r="BY9" i="5"/>
  <c r="BV9" i="5"/>
  <c r="BU9" i="5"/>
  <c r="BT9" i="5"/>
  <c r="BS9" i="5"/>
  <c r="BR9" i="5"/>
  <c r="BO9" i="5"/>
  <c r="BN9" i="5"/>
  <c r="BM9" i="5"/>
  <c r="BL9" i="5"/>
  <c r="BK9" i="5"/>
  <c r="AE9" i="5"/>
  <c r="AD9" i="5"/>
  <c r="AC9" i="5"/>
  <c r="AB9" i="5"/>
  <c r="H66" i="5" s="1" a="1"/>
  <c r="H66" i="5" s="1"/>
  <c r="AA9" i="5"/>
  <c r="CC8" i="5"/>
  <c r="CB8" i="5"/>
  <c r="CA8" i="5"/>
  <c r="BZ8" i="5"/>
  <c r="BY8" i="5"/>
  <c r="BV8" i="5"/>
  <c r="BU8" i="5"/>
  <c r="BT8" i="5"/>
  <c r="BS8" i="5"/>
  <c r="BR8" i="5"/>
  <c r="BO8" i="5"/>
  <c r="BN8" i="5"/>
  <c r="BM8" i="5"/>
  <c r="BL8" i="5"/>
  <c r="BK8" i="5"/>
  <c r="AE8" i="5"/>
  <c r="AD8" i="5"/>
  <c r="AC8" i="5"/>
  <c r="AB8" i="5"/>
  <c r="AA8" i="5"/>
  <c r="CC7" i="5"/>
  <c r="CB7" i="5"/>
  <c r="CA7" i="5"/>
  <c r="BZ7" i="5"/>
  <c r="BY7" i="5"/>
  <c r="BV7" i="5"/>
  <c r="BU7" i="5"/>
  <c r="BT7" i="5"/>
  <c r="BS7" i="5"/>
  <c r="BR7" i="5"/>
  <c r="BO7" i="5"/>
  <c r="BN7" i="5"/>
  <c r="BM7" i="5"/>
  <c r="BL7" i="5"/>
  <c r="BK7" i="5"/>
  <c r="AE7" i="5"/>
  <c r="AD7" i="5"/>
  <c r="AC7" i="5"/>
  <c r="AB7" i="5"/>
  <c r="M64" i="5" s="1" a="1"/>
  <c r="M64" i="5" s="1"/>
  <c r="AA7" i="5"/>
  <c r="CC6" i="5"/>
  <c r="CB6" i="5"/>
  <c r="CA6" i="5"/>
  <c r="BZ6" i="5"/>
  <c r="BY6" i="5"/>
  <c r="BV6" i="5"/>
  <c r="BU6" i="5"/>
  <c r="BT6" i="5"/>
  <c r="BS6" i="5"/>
  <c r="BR6" i="5"/>
  <c r="BO6" i="5"/>
  <c r="BN6" i="5"/>
  <c r="BM6" i="5"/>
  <c r="BL6" i="5"/>
  <c r="BK6" i="5"/>
  <c r="AE6" i="5"/>
  <c r="AD6" i="5"/>
  <c r="AC6" i="5"/>
  <c r="AB6" i="5"/>
  <c r="AA6" i="5"/>
  <c r="BL58" i="5" a="1"/>
  <c r="BL45" i="5" a="1"/>
  <c r="BK40" i="5" a="1"/>
  <c r="AB63" i="5" a="1"/>
  <c r="AC63" i="5" a="1"/>
  <c r="BK46" i="5" a="1"/>
  <c r="BN49" i="5" a="1"/>
  <c r="BM42" i="5" a="1"/>
  <c r="AF64" i="5" a="1"/>
  <c r="BL51" i="5" a="1"/>
  <c r="W65" i="5"/>
  <c r="BM63" i="5" a="1"/>
  <c r="AD65" i="5" a="1"/>
  <c r="BO39" i="5" a="1"/>
  <c r="BO55" i="5" a="1"/>
  <c r="W64" i="5"/>
  <c r="BM57" i="5" a="1"/>
  <c r="BL44" i="5" a="1"/>
  <c r="BK45" i="5" a="1"/>
  <c r="R65" i="5" a="1"/>
  <c r="AF63" i="5" a="1"/>
  <c r="BO58" i="5" a="1"/>
  <c r="BO62" i="5" a="1"/>
  <c r="AB64" i="5" a="1"/>
  <c r="BO63" i="5" a="1"/>
  <c r="R66" i="5" a="1"/>
  <c r="BN42" i="5" a="1"/>
  <c r="W63" i="5"/>
  <c r="BL42" i="5" a="1"/>
  <c r="BO42" i="5" a="1"/>
  <c r="BK56" i="5" a="1"/>
  <c r="BM43" i="5" a="1"/>
  <c r="AD63" i="5" a="1"/>
  <c r="BK61" i="5" a="1"/>
  <c r="BN62" i="5" a="1"/>
  <c r="BO54" i="5" a="1"/>
  <c r="BM39" i="5" a="1"/>
  <c r="BL41" i="5" a="1"/>
  <c r="BK48" i="5" a="1"/>
  <c r="BL61" i="5" a="1"/>
  <c r="BN54" i="5" a="1"/>
  <c r="BK54" i="5" a="1"/>
  <c r="BN40" i="5" a="1"/>
  <c r="BN47" i="5" a="1"/>
  <c r="BN48" i="5" a="1"/>
  <c r="BL62" i="5" a="1"/>
  <c r="BO40" i="5" a="1"/>
  <c r="BM48" i="5" a="1"/>
  <c r="BO45" i="5" a="1"/>
  <c r="BN53" i="5" a="1"/>
  <c r="BO56" i="5" a="1"/>
  <c r="BM45" i="5" a="1"/>
  <c r="BO51" i="5" a="1"/>
  <c r="BM62" i="5" a="1"/>
  <c r="BM41" i="5" a="1"/>
  <c r="BK55" i="5" a="1"/>
  <c r="BL63" i="5" a="1"/>
  <c r="BK58" i="5" a="1"/>
  <c r="BM60" i="5" a="1"/>
  <c r="BO53" i="5" a="1"/>
  <c r="BO57" i="5" a="1"/>
  <c r="AF65" i="5" a="1"/>
  <c r="BK62" i="5" a="1"/>
  <c r="BN46" i="5" a="1"/>
  <c r="BO49" i="5" a="1"/>
  <c r="BK50" i="5" a="1"/>
  <c r="BL49" i="5" a="1"/>
  <c r="BM59" i="5" a="1"/>
  <c r="BM44" i="5" a="1"/>
  <c r="BN59" i="5" a="1"/>
  <c r="BL53" i="5" a="1"/>
  <c r="BN39" i="5" a="1"/>
  <c r="BL56" i="5" a="1"/>
  <c r="BL40" i="5" a="1"/>
  <c r="BL57" i="5" a="1"/>
  <c r="BL50" i="5" a="1"/>
  <c r="BM52" i="5" a="1"/>
  <c r="BL54" i="5" a="1"/>
  <c r="BK63" i="5" a="1"/>
  <c r="BN57" i="5" a="1"/>
  <c r="BO59" i="5" a="1"/>
  <c r="BM51" i="5" a="1"/>
  <c r="BL48" i="5" a="1"/>
  <c r="AD64" i="5" a="1"/>
  <c r="AE63" i="5" a="1"/>
  <c r="BK53" i="5" a="1"/>
  <c r="BO47" i="5" a="1"/>
  <c r="BL39" i="5" a="1"/>
  <c r="BK52" i="5" a="1"/>
  <c r="BM56" i="5" a="1"/>
  <c r="BK59" i="5" a="1"/>
  <c r="BL60" i="5" a="1"/>
  <c r="BK44" i="5" a="1"/>
  <c r="BM55" i="5" a="1"/>
  <c r="BN52" i="5" a="1"/>
  <c r="BM46" i="5" a="1"/>
  <c r="BK60" i="5" a="1"/>
  <c r="BO50" i="5" a="1"/>
  <c r="BK47" i="5" a="1"/>
  <c r="R64" i="5" a="1"/>
  <c r="BK41" i="5" a="1"/>
  <c r="BO48" i="5" a="1"/>
  <c r="BM47" i="5" a="1"/>
  <c r="BN44" i="5" a="1"/>
  <c r="BN41" i="5" a="1"/>
  <c r="BM61" i="5" a="1"/>
  <c r="BN51" i="5" a="1"/>
  <c r="BL47" i="5" a="1"/>
  <c r="BM53" i="5" a="1"/>
  <c r="BO60" i="5" a="1"/>
  <c r="BM54" i="5" a="1"/>
  <c r="BO61" i="5" a="1"/>
  <c r="BO52" i="5" a="1"/>
  <c r="BL59" i="5" a="1"/>
  <c r="AE64" i="5" a="1"/>
  <c r="AC65" i="5" a="1"/>
  <c r="BK42" i="5" a="1"/>
  <c r="BN58" i="5" a="1"/>
  <c r="BL52" i="5" a="1"/>
  <c r="BN45" i="5" a="1"/>
  <c r="AC64" i="5" a="1"/>
  <c r="BO41" i="5" a="1"/>
  <c r="BN56" i="5" a="1"/>
  <c r="R63" i="5" a="1"/>
  <c r="BM49" i="5" a="1"/>
  <c r="BK43" i="5" a="1"/>
  <c r="BN55" i="5" a="1"/>
  <c r="BM58" i="5" a="1"/>
  <c r="BO46" i="5" a="1"/>
  <c r="BO44" i="5" a="1"/>
  <c r="AB65" i="5" a="1"/>
  <c r="BL55" i="5" a="1"/>
  <c r="BN50" i="5" a="1"/>
  <c r="BK51" i="5" a="1"/>
  <c r="BO43" i="5" a="1"/>
  <c r="BN60" i="5" a="1"/>
  <c r="BN43" i="5" a="1"/>
  <c r="BM50" i="5" a="1"/>
  <c r="BK57" i="5" a="1"/>
  <c r="BN63" i="5" a="1"/>
  <c r="BK49" i="5" a="1"/>
  <c r="AE65" i="5" a="1"/>
  <c r="BL43" i="5" a="1"/>
  <c r="W66" i="5"/>
  <c r="BN61" i="5" a="1"/>
  <c r="BL46" i="5" a="1"/>
  <c r="R67" i="5" a="1"/>
  <c r="BM40" i="5" a="1"/>
  <c r="BM48" i="5" l="1"/>
  <c r="BM40" i="5"/>
  <c r="BL47" i="5"/>
  <c r="BM42" i="5"/>
  <c r="BL39" i="5"/>
  <c r="BM54" i="5"/>
  <c r="BM58" i="5"/>
  <c r="BM60" i="5"/>
  <c r="BN43" i="5"/>
  <c r="BL46" i="5"/>
  <c r="BK49" i="5"/>
  <c r="BN40" i="5"/>
  <c r="BN46" i="5"/>
  <c r="BN48" i="5"/>
  <c r="BN50" i="5"/>
  <c r="BN52" i="5"/>
  <c r="BN54" i="5"/>
  <c r="BN56" i="5"/>
  <c r="BN58" i="5"/>
  <c r="BN60" i="5"/>
  <c r="BO40" i="5"/>
  <c r="BK41" i="5"/>
  <c r="BO42" i="5"/>
  <c r="BK43" i="5"/>
  <c r="BK47" i="5"/>
  <c r="BO48" i="5"/>
  <c r="BO50" i="5"/>
  <c r="BO52" i="5"/>
  <c r="BO58" i="5"/>
  <c r="BK59" i="5"/>
  <c r="BO60" i="5"/>
  <c r="BK61" i="5"/>
  <c r="BO62" i="5"/>
  <c r="BK63" i="5"/>
  <c r="BL40" i="5"/>
  <c r="BK44" i="5"/>
  <c r="BM46" i="5"/>
  <c r="BL43" i="5"/>
  <c r="BL55" i="5"/>
  <c r="BL59" i="5"/>
  <c r="BL61" i="5"/>
  <c r="BL63" i="5"/>
  <c r="BM44" i="5"/>
  <c r="BL45" i="5"/>
  <c r="BL49" i="5"/>
  <c r="BL51" i="5"/>
  <c r="BL53" i="5"/>
  <c r="BL57" i="5"/>
  <c r="BM39" i="5"/>
  <c r="BM43" i="5"/>
  <c r="BM45" i="5"/>
  <c r="BM47" i="5"/>
  <c r="BM49" i="5"/>
  <c r="BM51" i="5"/>
  <c r="BM53" i="5"/>
  <c r="BM55" i="5"/>
  <c r="BM57" i="5"/>
  <c r="BM63" i="5"/>
  <c r="BN42" i="5"/>
  <c r="BO44" i="5"/>
  <c r="BM52" i="5"/>
  <c r="BM56" i="5"/>
  <c r="BM62" i="5"/>
  <c r="BL41" i="5"/>
  <c r="BN41" i="5"/>
  <c r="BN47" i="5"/>
  <c r="BN49" i="5"/>
  <c r="BN51" i="5"/>
  <c r="BN53" i="5"/>
  <c r="BN55" i="5"/>
  <c r="BN57" i="5"/>
  <c r="BN59" i="5"/>
  <c r="BN61" i="5"/>
  <c r="BN63" i="5"/>
  <c r="BK45" i="5"/>
  <c r="BN39" i="5"/>
  <c r="BN45" i="5"/>
  <c r="BO39" i="5"/>
  <c r="BK40" i="5"/>
  <c r="BO41" i="5"/>
  <c r="BK42" i="5"/>
  <c r="BO43" i="5"/>
  <c r="BO47" i="5"/>
  <c r="BK48" i="5"/>
  <c r="BK50" i="5"/>
  <c r="BK52" i="5"/>
  <c r="BK58" i="5"/>
  <c r="BO59" i="5"/>
  <c r="BK60" i="5"/>
  <c r="BO61" i="5"/>
  <c r="BK62" i="5"/>
  <c r="BO63" i="5"/>
  <c r="BM50" i="5"/>
  <c r="BL42" i="5"/>
  <c r="BL44" i="5"/>
  <c r="BL54" i="5"/>
  <c r="BL56" i="5"/>
  <c r="BL60" i="5"/>
  <c r="BL62" i="5"/>
  <c r="BM41" i="5"/>
  <c r="BO45" i="5"/>
  <c r="BO49" i="5"/>
  <c r="BO51" i="5"/>
  <c r="BO53" i="5"/>
  <c r="BK55" i="5"/>
  <c r="BM59" i="5"/>
  <c r="AF63" i="5"/>
  <c r="AC63" i="5"/>
  <c r="R64" i="5"/>
  <c r="R65" i="5"/>
  <c r="BK54" i="5"/>
  <c r="BO54" i="5"/>
  <c r="BK56" i="5"/>
  <c r="BO56" i="5"/>
  <c r="BL58" i="5"/>
  <c r="BN62" i="5"/>
  <c r="AE64" i="5"/>
  <c r="AE65" i="5"/>
  <c r="AD63" i="5"/>
  <c r="R66" i="5"/>
  <c r="R67" i="5"/>
  <c r="R63" i="5"/>
  <c r="AB64" i="5"/>
  <c r="AF64" i="5"/>
  <c r="AB65" i="5"/>
  <c r="AF65" i="5"/>
  <c r="BN44" i="5"/>
  <c r="BK46" i="5"/>
  <c r="BO46" i="5"/>
  <c r="BL48" i="5"/>
  <c r="BL50" i="5"/>
  <c r="BL52" i="5"/>
  <c r="AE63" i="5"/>
  <c r="BK57" i="5"/>
  <c r="BO57" i="5"/>
  <c r="BM61" i="5"/>
  <c r="AC64" i="5"/>
  <c r="AC65" i="5"/>
  <c r="BK51" i="5"/>
  <c r="BK53" i="5"/>
  <c r="BO55" i="5"/>
  <c r="AB63" i="5"/>
  <c r="AD64" i="5"/>
  <c r="AD65" i="5"/>
  <c r="B55" i="5" a="1"/>
  <c r="B55" i="5" s="1"/>
  <c r="H73" i="5" a="1"/>
  <c r="H73" i="5" s="1"/>
  <c r="M73" i="5" a="1"/>
  <c r="M73" i="5" s="1"/>
  <c r="M75" i="5" a="1"/>
  <c r="M75" i="5" s="1"/>
  <c r="H75" i="5" a="1"/>
  <c r="H75" i="5" s="1"/>
  <c r="M77" i="5" a="1"/>
  <c r="M77" i="5" s="1"/>
  <c r="H77" i="5" a="1"/>
  <c r="H77" i="5" s="1"/>
  <c r="M79" i="5" a="1"/>
  <c r="M79" i="5" s="1"/>
  <c r="H79" i="5" a="1"/>
  <c r="H79" i="5" s="1"/>
  <c r="H81" i="5" a="1"/>
  <c r="H81" i="5" s="1"/>
  <c r="M81" i="5" a="1"/>
  <c r="M81" i="5" s="1"/>
  <c r="M83" i="5" a="1"/>
  <c r="M83" i="5" s="1"/>
  <c r="H83" i="5" a="1"/>
  <c r="H83" i="5" s="1"/>
  <c r="M85" i="5" a="1"/>
  <c r="M85" i="5" s="1"/>
  <c r="H85" i="5" a="1"/>
  <c r="H85" i="5" s="1"/>
  <c r="M87" i="5" a="1"/>
  <c r="M87" i="5" s="1"/>
  <c r="H87" i="5" a="1"/>
  <c r="H87" i="5" s="1"/>
  <c r="M71" i="5" a="1"/>
  <c r="M71" i="5" s="1"/>
  <c r="H71" i="5" a="1"/>
  <c r="H71" i="5" s="1"/>
  <c r="H67" i="5" a="1"/>
  <c r="H67" i="5" s="1"/>
  <c r="M67" i="5" a="1"/>
  <c r="M67" i="5" s="1"/>
  <c r="M65" i="5" a="1"/>
  <c r="M65" i="5" s="1"/>
  <c r="H65" i="5" a="1"/>
  <c r="H65" i="5" s="1"/>
  <c r="M69" i="5" a="1"/>
  <c r="M69" i="5" s="1"/>
  <c r="H69" i="5" a="1"/>
  <c r="H69" i="5" s="1"/>
  <c r="H63" i="5" a="1"/>
  <c r="H63" i="5" s="1"/>
  <c r="M63" i="5" a="1"/>
  <c r="M63" i="5" s="1"/>
  <c r="H64" i="5" a="1"/>
  <c r="H64" i="5" s="1"/>
  <c r="M66" i="5" a="1"/>
  <c r="M66" i="5" s="1"/>
  <c r="M68" i="5" a="1"/>
  <c r="M68" i="5" s="1"/>
  <c r="H70" i="5" a="1"/>
  <c r="H70" i="5" s="1"/>
  <c r="M72" i="5" a="1"/>
  <c r="M72" i="5" s="1"/>
  <c r="M74" i="5" a="1"/>
  <c r="M74" i="5" s="1"/>
  <c r="M76" i="5" a="1"/>
  <c r="M76" i="5" s="1"/>
  <c r="H78" i="5" a="1"/>
  <c r="H78" i="5" s="1"/>
  <c r="M80" i="5" a="1"/>
  <c r="M80" i="5" s="1"/>
  <c r="M82" i="5" a="1"/>
  <c r="M82" i="5" s="1"/>
  <c r="M84" i="5" a="1"/>
  <c r="M84" i="5" s="1"/>
  <c r="H86" i="5" a="1"/>
  <c r="H86" i="5" s="1"/>
  <c r="H74" i="5" a="1"/>
  <c r="H74" i="5" s="1"/>
  <c r="H82" i="5" a="1"/>
  <c r="H82" i="5" s="1"/>
  <c r="H68" i="5" a="1"/>
  <c r="H68" i="5" s="1"/>
  <c r="H76" i="5" a="1"/>
  <c r="H76" i="5" s="1"/>
  <c r="H84" i="5" a="1"/>
  <c r="H84" i="5" s="1"/>
  <c r="BK39" i="5" a="1"/>
  <c r="BP46" i="5" l="1"/>
  <c r="BP43" i="5"/>
  <c r="BP58" i="5"/>
  <c r="BP40" i="5"/>
  <c r="BK39" i="5"/>
  <c r="BO64" i="5"/>
  <c r="BP59" i="5"/>
  <c r="BP50" i="5"/>
  <c r="BL64" i="5"/>
  <c r="BP57" i="5"/>
  <c r="BP52" i="5"/>
  <c r="BP53" i="5"/>
  <c r="BP48" i="5"/>
  <c r="BN64" i="5"/>
  <c r="BP44" i="5"/>
  <c r="BP41" i="5"/>
  <c r="BP51" i="5"/>
  <c r="BP62" i="5"/>
  <c r="BP45" i="5"/>
  <c r="BP49" i="5"/>
  <c r="BP61" i="5"/>
  <c r="BP63" i="5"/>
  <c r="BP54" i="5"/>
  <c r="BP56" i="5"/>
  <c r="BP55" i="5"/>
  <c r="BP60" i="5"/>
  <c r="BP42" i="5"/>
  <c r="BM64" i="5"/>
  <c r="BP47" i="5"/>
  <c r="BK64" i="5" l="1"/>
  <c r="BP64" i="5" s="1"/>
  <c r="BP39" i="5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AP66" i="4"/>
  <c r="C66" i="4"/>
  <c r="AP65" i="4"/>
  <c r="C65" i="4"/>
  <c r="AP64" i="4"/>
  <c r="C64" i="4"/>
  <c r="AP63" i="4"/>
  <c r="C63" i="4"/>
  <c r="BR35" i="4"/>
  <c r="BK35" i="4"/>
  <c r="BD35" i="4"/>
  <c r="AW35" i="4"/>
  <c r="AP35" i="4"/>
  <c r="AI35" i="4"/>
  <c r="AA35" i="4"/>
  <c r="CC30" i="4"/>
  <c r="CB30" i="4"/>
  <c r="CA30" i="4"/>
  <c r="BZ30" i="4"/>
  <c r="BY30" i="4"/>
  <c r="BV30" i="4"/>
  <c r="BU30" i="4"/>
  <c r="BT30" i="4"/>
  <c r="BS30" i="4"/>
  <c r="BR30" i="4"/>
  <c r="BO30" i="4"/>
  <c r="BN30" i="4"/>
  <c r="BM30" i="4"/>
  <c r="BL30" i="4"/>
  <c r="BK30" i="4"/>
  <c r="AE30" i="4"/>
  <c r="AD30" i="4"/>
  <c r="AC30" i="4"/>
  <c r="AB30" i="4"/>
  <c r="AA30" i="4"/>
  <c r="M87" i="4" s="1" a="1"/>
  <c r="M87" i="4" s="1"/>
  <c r="CC29" i="4"/>
  <c r="CB29" i="4"/>
  <c r="CA29" i="4"/>
  <c r="BZ29" i="4"/>
  <c r="BY29" i="4"/>
  <c r="BV29" i="4"/>
  <c r="BU29" i="4"/>
  <c r="BT29" i="4"/>
  <c r="BS29" i="4"/>
  <c r="M86" i="4" s="1" a="1"/>
  <c r="M86" i="4" s="1"/>
  <c r="BR29" i="4"/>
  <c r="BO29" i="4"/>
  <c r="BN29" i="4"/>
  <c r="BM29" i="4"/>
  <c r="BL29" i="4"/>
  <c r="BK29" i="4"/>
  <c r="AE29" i="4"/>
  <c r="AD29" i="4"/>
  <c r="AC29" i="4"/>
  <c r="AB29" i="4"/>
  <c r="AA29" i="4"/>
  <c r="H86" i="4" s="1" a="1"/>
  <c r="H86" i="4" s="1"/>
  <c r="CC28" i="4"/>
  <c r="CB28" i="4"/>
  <c r="CA28" i="4"/>
  <c r="BZ28" i="4"/>
  <c r="BY28" i="4"/>
  <c r="BV28" i="4"/>
  <c r="BU28" i="4"/>
  <c r="BT28" i="4"/>
  <c r="BS28" i="4"/>
  <c r="BR28" i="4"/>
  <c r="BO28" i="4"/>
  <c r="BN28" i="4"/>
  <c r="BM28" i="4"/>
  <c r="BL28" i="4"/>
  <c r="BK28" i="4"/>
  <c r="AE28" i="4"/>
  <c r="AD28" i="4"/>
  <c r="AC28" i="4"/>
  <c r="AB28" i="4"/>
  <c r="AA28" i="4"/>
  <c r="M85" i="4" s="1" a="1"/>
  <c r="M85" i="4" s="1"/>
  <c r="CC27" i="4"/>
  <c r="CB27" i="4"/>
  <c r="CA27" i="4"/>
  <c r="BZ27" i="4"/>
  <c r="BY27" i="4"/>
  <c r="BV27" i="4"/>
  <c r="BU27" i="4"/>
  <c r="BT27" i="4"/>
  <c r="BS27" i="4"/>
  <c r="BR27" i="4"/>
  <c r="BO27" i="4"/>
  <c r="BN27" i="4"/>
  <c r="BM27" i="4"/>
  <c r="BL27" i="4"/>
  <c r="BK27" i="4"/>
  <c r="AE27" i="4"/>
  <c r="AD27" i="4"/>
  <c r="AC27" i="4"/>
  <c r="AB27" i="4"/>
  <c r="AA27" i="4"/>
  <c r="M84" i="4" s="1" a="1"/>
  <c r="M84" i="4" s="1"/>
  <c r="CC26" i="4"/>
  <c r="CB26" i="4"/>
  <c r="CA26" i="4"/>
  <c r="BZ26" i="4"/>
  <c r="BY26" i="4"/>
  <c r="BV26" i="4"/>
  <c r="BU26" i="4"/>
  <c r="BT26" i="4"/>
  <c r="BS26" i="4"/>
  <c r="BR26" i="4"/>
  <c r="BO26" i="4"/>
  <c r="BN26" i="4"/>
  <c r="BM26" i="4"/>
  <c r="H83" i="4" s="1" a="1"/>
  <c r="H83" i="4" s="1"/>
  <c r="BL26" i="4"/>
  <c r="BK26" i="4"/>
  <c r="AE26" i="4"/>
  <c r="AD26" i="4"/>
  <c r="AC26" i="4"/>
  <c r="AB26" i="4"/>
  <c r="AA26" i="4"/>
  <c r="M83" i="4" s="1" a="1"/>
  <c r="M83" i="4" s="1"/>
  <c r="CC25" i="4"/>
  <c r="CB25" i="4"/>
  <c r="CA25" i="4"/>
  <c r="BZ25" i="4"/>
  <c r="BY25" i="4"/>
  <c r="BV25" i="4"/>
  <c r="BU25" i="4"/>
  <c r="BT25" i="4"/>
  <c r="BS25" i="4"/>
  <c r="BR25" i="4"/>
  <c r="BO25" i="4"/>
  <c r="BN25" i="4"/>
  <c r="BM25" i="4"/>
  <c r="BL25" i="4"/>
  <c r="BK25" i="4"/>
  <c r="H82" i="4" s="1" a="1"/>
  <c r="H82" i="4" s="1"/>
  <c r="AE25" i="4"/>
  <c r="AD25" i="4"/>
  <c r="AC25" i="4"/>
  <c r="AB25" i="4"/>
  <c r="AA25" i="4"/>
  <c r="M82" i="4" s="1" a="1"/>
  <c r="M82" i="4" s="1"/>
  <c r="CC24" i="4"/>
  <c r="CB24" i="4"/>
  <c r="CA24" i="4"/>
  <c r="BZ24" i="4"/>
  <c r="BY24" i="4"/>
  <c r="BV24" i="4"/>
  <c r="BU24" i="4"/>
  <c r="BT24" i="4"/>
  <c r="BS24" i="4"/>
  <c r="BR24" i="4"/>
  <c r="BO24" i="4"/>
  <c r="BN24" i="4"/>
  <c r="BM24" i="4"/>
  <c r="M81" i="4" s="1" a="1"/>
  <c r="M81" i="4" s="1"/>
  <c r="BL24" i="4"/>
  <c r="BK24" i="4"/>
  <c r="AE24" i="4"/>
  <c r="AD24" i="4"/>
  <c r="AC24" i="4"/>
  <c r="AB24" i="4"/>
  <c r="AA24" i="4"/>
  <c r="H81" i="4" s="1" a="1"/>
  <c r="H81" i="4" s="1"/>
  <c r="CC23" i="4"/>
  <c r="CB23" i="4"/>
  <c r="CA23" i="4"/>
  <c r="BZ23" i="4"/>
  <c r="BY23" i="4"/>
  <c r="BV23" i="4"/>
  <c r="BU23" i="4"/>
  <c r="BT23" i="4"/>
  <c r="BS23" i="4"/>
  <c r="H80" i="4" s="1" a="1"/>
  <c r="H80" i="4" s="1"/>
  <c r="BR23" i="4"/>
  <c r="BO23" i="4"/>
  <c r="BN23" i="4"/>
  <c r="BM23" i="4"/>
  <c r="BL23" i="4"/>
  <c r="BK23" i="4"/>
  <c r="M80" i="4" s="1" a="1"/>
  <c r="M80" i="4" s="1"/>
  <c r="AE23" i="4"/>
  <c r="AD23" i="4"/>
  <c r="AC23" i="4"/>
  <c r="AB23" i="4"/>
  <c r="AA23" i="4"/>
  <c r="CC22" i="4"/>
  <c r="CB22" i="4"/>
  <c r="CA22" i="4"/>
  <c r="BZ22" i="4"/>
  <c r="BY22" i="4"/>
  <c r="BV22" i="4"/>
  <c r="BU22" i="4"/>
  <c r="BT22" i="4"/>
  <c r="BS22" i="4"/>
  <c r="BR22" i="4"/>
  <c r="BO22" i="4"/>
  <c r="BN22" i="4"/>
  <c r="BM22" i="4"/>
  <c r="BL22" i="4"/>
  <c r="BK22" i="4"/>
  <c r="AE22" i="4"/>
  <c r="AD22" i="4"/>
  <c r="AC22" i="4"/>
  <c r="AB22" i="4"/>
  <c r="AA22" i="4"/>
  <c r="M79" i="4" s="1" a="1"/>
  <c r="M79" i="4" s="1"/>
  <c r="CC21" i="4"/>
  <c r="CB21" i="4"/>
  <c r="CA21" i="4"/>
  <c r="BZ21" i="4"/>
  <c r="BY21" i="4"/>
  <c r="BV21" i="4"/>
  <c r="BU21" i="4"/>
  <c r="BT21" i="4"/>
  <c r="BS21" i="4"/>
  <c r="M78" i="4" s="1" a="1"/>
  <c r="M78" i="4" s="1"/>
  <c r="BR21" i="4"/>
  <c r="BO21" i="4"/>
  <c r="BN21" i="4"/>
  <c r="BM21" i="4"/>
  <c r="BL21" i="4"/>
  <c r="BK21" i="4"/>
  <c r="AE21" i="4"/>
  <c r="AD21" i="4"/>
  <c r="AC21" i="4"/>
  <c r="AB21" i="4"/>
  <c r="AA21" i="4"/>
  <c r="H78" i="4" s="1" a="1"/>
  <c r="H78" i="4" s="1"/>
  <c r="CC20" i="4"/>
  <c r="CB20" i="4"/>
  <c r="CA20" i="4"/>
  <c r="BZ20" i="4"/>
  <c r="BY20" i="4"/>
  <c r="BV20" i="4"/>
  <c r="BU20" i="4"/>
  <c r="BT20" i="4"/>
  <c r="BS20" i="4"/>
  <c r="BR20" i="4"/>
  <c r="BO20" i="4"/>
  <c r="BN20" i="4"/>
  <c r="BM20" i="4"/>
  <c r="BL20" i="4"/>
  <c r="BK20" i="4"/>
  <c r="AE20" i="4"/>
  <c r="AD20" i="4"/>
  <c r="AC20" i="4"/>
  <c r="AB20" i="4"/>
  <c r="AA20" i="4"/>
  <c r="H77" i="4" s="1" a="1"/>
  <c r="H77" i="4" s="1"/>
  <c r="CC19" i="4"/>
  <c r="CB19" i="4"/>
  <c r="CA19" i="4"/>
  <c r="BZ19" i="4"/>
  <c r="BY19" i="4"/>
  <c r="BV19" i="4"/>
  <c r="BU19" i="4"/>
  <c r="BT19" i="4"/>
  <c r="BS19" i="4"/>
  <c r="BR19" i="4"/>
  <c r="BO19" i="4"/>
  <c r="BN19" i="4"/>
  <c r="BM19" i="4"/>
  <c r="BL19" i="4"/>
  <c r="BK19" i="4"/>
  <c r="AE19" i="4"/>
  <c r="AD19" i="4"/>
  <c r="AC19" i="4"/>
  <c r="AB19" i="4"/>
  <c r="AA19" i="4"/>
  <c r="M76" i="4" s="1" a="1"/>
  <c r="M76" i="4" s="1"/>
  <c r="CC18" i="4"/>
  <c r="CB18" i="4"/>
  <c r="CA18" i="4"/>
  <c r="BZ18" i="4"/>
  <c r="BY18" i="4"/>
  <c r="BV18" i="4"/>
  <c r="BU18" i="4"/>
  <c r="BT18" i="4"/>
  <c r="BS18" i="4"/>
  <c r="BR18" i="4"/>
  <c r="BO18" i="4"/>
  <c r="BN18" i="4"/>
  <c r="BM18" i="4"/>
  <c r="H75" i="4" s="1" a="1"/>
  <c r="H75" i="4" s="1"/>
  <c r="BL18" i="4"/>
  <c r="BK18" i="4"/>
  <c r="AE18" i="4"/>
  <c r="AD18" i="4"/>
  <c r="AC18" i="4"/>
  <c r="AB18" i="4"/>
  <c r="AA18" i="4"/>
  <c r="M75" i="4" s="1" a="1"/>
  <c r="M75" i="4" s="1"/>
  <c r="CC17" i="4"/>
  <c r="CB17" i="4"/>
  <c r="CA17" i="4"/>
  <c r="BZ17" i="4"/>
  <c r="BY17" i="4"/>
  <c r="BV17" i="4"/>
  <c r="BU17" i="4"/>
  <c r="BT17" i="4"/>
  <c r="BS17" i="4"/>
  <c r="BR17" i="4"/>
  <c r="BO17" i="4"/>
  <c r="BN17" i="4"/>
  <c r="BM17" i="4"/>
  <c r="BL17" i="4"/>
  <c r="BK17" i="4"/>
  <c r="H74" i="4" s="1" a="1"/>
  <c r="H74" i="4" s="1"/>
  <c r="AE17" i="4"/>
  <c r="AD17" i="4"/>
  <c r="AC17" i="4"/>
  <c r="AB17" i="4"/>
  <c r="AA17" i="4"/>
  <c r="M74" i="4" s="1" a="1"/>
  <c r="M74" i="4" s="1"/>
  <c r="CC16" i="4"/>
  <c r="CB16" i="4"/>
  <c r="CA16" i="4"/>
  <c r="BZ16" i="4"/>
  <c r="BY16" i="4"/>
  <c r="BV16" i="4"/>
  <c r="BU16" i="4"/>
  <c r="BT16" i="4"/>
  <c r="BS16" i="4"/>
  <c r="BR16" i="4"/>
  <c r="BO16" i="4"/>
  <c r="BN16" i="4"/>
  <c r="BM16" i="4"/>
  <c r="M73" i="4" s="1" a="1"/>
  <c r="M73" i="4" s="1"/>
  <c r="BL16" i="4"/>
  <c r="BK16" i="4"/>
  <c r="AE16" i="4"/>
  <c r="AD16" i="4"/>
  <c r="AC16" i="4"/>
  <c r="AB16" i="4"/>
  <c r="AA16" i="4"/>
  <c r="H73" i="4" s="1" a="1"/>
  <c r="H73" i="4" s="1"/>
  <c r="CC15" i="4"/>
  <c r="CB15" i="4"/>
  <c r="CA15" i="4"/>
  <c r="BZ15" i="4"/>
  <c r="BY15" i="4"/>
  <c r="BV15" i="4"/>
  <c r="BU15" i="4"/>
  <c r="BT15" i="4"/>
  <c r="BS15" i="4"/>
  <c r="H72" i="4" s="1" a="1"/>
  <c r="H72" i="4" s="1"/>
  <c r="BR15" i="4"/>
  <c r="BO15" i="4"/>
  <c r="BN15" i="4"/>
  <c r="BM15" i="4"/>
  <c r="BL15" i="4"/>
  <c r="BK15" i="4"/>
  <c r="M72" i="4" s="1" a="1"/>
  <c r="M72" i="4" s="1"/>
  <c r="AE15" i="4"/>
  <c r="AD15" i="4"/>
  <c r="AC15" i="4"/>
  <c r="AB15" i="4"/>
  <c r="AA15" i="4"/>
  <c r="CC14" i="4"/>
  <c r="CB14" i="4"/>
  <c r="CA14" i="4"/>
  <c r="BZ14" i="4"/>
  <c r="BY14" i="4"/>
  <c r="BV14" i="4"/>
  <c r="BU14" i="4"/>
  <c r="BT14" i="4"/>
  <c r="BS14" i="4"/>
  <c r="BR14" i="4"/>
  <c r="BO14" i="4"/>
  <c r="BN14" i="4"/>
  <c r="BM14" i="4"/>
  <c r="BL14" i="4"/>
  <c r="BK14" i="4"/>
  <c r="AE14" i="4"/>
  <c r="AD14" i="4"/>
  <c r="AC14" i="4"/>
  <c r="AB14" i="4"/>
  <c r="AA14" i="4"/>
  <c r="M71" i="4" s="1" a="1"/>
  <c r="M71" i="4" s="1"/>
  <c r="CC13" i="4"/>
  <c r="CB13" i="4"/>
  <c r="CA13" i="4"/>
  <c r="BZ13" i="4"/>
  <c r="BY13" i="4"/>
  <c r="BV13" i="4"/>
  <c r="BU13" i="4"/>
  <c r="BT13" i="4"/>
  <c r="BS13" i="4"/>
  <c r="M70" i="4" s="1" a="1"/>
  <c r="M70" i="4" s="1"/>
  <c r="BR13" i="4"/>
  <c r="BO13" i="4"/>
  <c r="BN13" i="4"/>
  <c r="BM13" i="4"/>
  <c r="BL13" i="4"/>
  <c r="BK13" i="4"/>
  <c r="AE13" i="4"/>
  <c r="AD13" i="4"/>
  <c r="AC13" i="4"/>
  <c r="AB13" i="4"/>
  <c r="AA13" i="4"/>
  <c r="H70" i="4" s="1" a="1"/>
  <c r="H70" i="4" s="1"/>
  <c r="CC12" i="4"/>
  <c r="CB12" i="4"/>
  <c r="CA12" i="4"/>
  <c r="BZ12" i="4"/>
  <c r="BY12" i="4"/>
  <c r="BV12" i="4"/>
  <c r="BU12" i="4"/>
  <c r="BT12" i="4"/>
  <c r="BS12" i="4"/>
  <c r="BR12" i="4"/>
  <c r="BO12" i="4"/>
  <c r="BN12" i="4"/>
  <c r="BM12" i="4"/>
  <c r="BL12" i="4"/>
  <c r="BK12" i="4"/>
  <c r="AE12" i="4"/>
  <c r="AD12" i="4"/>
  <c r="AC12" i="4"/>
  <c r="AB12" i="4"/>
  <c r="AA12" i="4"/>
  <c r="H69" i="4" s="1" a="1"/>
  <c r="H69" i="4" s="1"/>
  <c r="CC11" i="4"/>
  <c r="CB11" i="4"/>
  <c r="CA11" i="4"/>
  <c r="BZ11" i="4"/>
  <c r="BY11" i="4"/>
  <c r="BV11" i="4"/>
  <c r="BU11" i="4"/>
  <c r="BT11" i="4"/>
  <c r="BS11" i="4"/>
  <c r="BR11" i="4"/>
  <c r="BO11" i="4"/>
  <c r="BN11" i="4"/>
  <c r="BM11" i="4"/>
  <c r="BL11" i="4"/>
  <c r="BK11" i="4"/>
  <c r="AE11" i="4"/>
  <c r="AD11" i="4"/>
  <c r="AC11" i="4"/>
  <c r="AB11" i="4"/>
  <c r="AA11" i="4"/>
  <c r="M68" i="4" s="1" a="1"/>
  <c r="M68" i="4" s="1"/>
  <c r="CC10" i="4"/>
  <c r="CB10" i="4"/>
  <c r="CA10" i="4"/>
  <c r="BZ10" i="4"/>
  <c r="BY10" i="4"/>
  <c r="BV10" i="4"/>
  <c r="BU10" i="4"/>
  <c r="BT10" i="4"/>
  <c r="BS10" i="4"/>
  <c r="BR10" i="4"/>
  <c r="BO10" i="4"/>
  <c r="BN10" i="4"/>
  <c r="BM10" i="4"/>
  <c r="M67" i="4" s="1" a="1"/>
  <c r="M67" i="4" s="1"/>
  <c r="BL10" i="4"/>
  <c r="BK10" i="4"/>
  <c r="AE10" i="4"/>
  <c r="AD10" i="4"/>
  <c r="AC10" i="4"/>
  <c r="AB10" i="4"/>
  <c r="AA10" i="4"/>
  <c r="H67" i="4" s="1" a="1"/>
  <c r="H67" i="4" s="1"/>
  <c r="CC9" i="4"/>
  <c r="CB9" i="4"/>
  <c r="CA9" i="4"/>
  <c r="BZ9" i="4"/>
  <c r="BY9" i="4"/>
  <c r="BV9" i="4"/>
  <c r="BU9" i="4"/>
  <c r="BT9" i="4"/>
  <c r="BS9" i="4"/>
  <c r="BR9" i="4"/>
  <c r="BO9" i="4"/>
  <c r="BN9" i="4"/>
  <c r="BM9" i="4"/>
  <c r="BL9" i="4"/>
  <c r="BK9" i="4"/>
  <c r="AE9" i="4"/>
  <c r="AD9" i="4"/>
  <c r="AC9" i="4"/>
  <c r="AB9" i="4"/>
  <c r="AA9" i="4"/>
  <c r="M66" i="4" s="1" a="1"/>
  <c r="M66" i="4" s="1"/>
  <c r="CC8" i="4"/>
  <c r="CB8" i="4"/>
  <c r="CA8" i="4"/>
  <c r="BZ8" i="4"/>
  <c r="BY8" i="4"/>
  <c r="BV8" i="4"/>
  <c r="BU8" i="4"/>
  <c r="BT8" i="4"/>
  <c r="BS8" i="4"/>
  <c r="BR8" i="4"/>
  <c r="BO8" i="4"/>
  <c r="BN8" i="4"/>
  <c r="BM8" i="4"/>
  <c r="BL8" i="4"/>
  <c r="BK8" i="4"/>
  <c r="AE8" i="4"/>
  <c r="AD8" i="4"/>
  <c r="AC8" i="4"/>
  <c r="AB8" i="4"/>
  <c r="AA8" i="4"/>
  <c r="H65" i="4" s="1" a="1"/>
  <c r="H65" i="4" s="1"/>
  <c r="CC7" i="4"/>
  <c r="CB7" i="4"/>
  <c r="CA7" i="4"/>
  <c r="BZ7" i="4"/>
  <c r="BY7" i="4"/>
  <c r="BV7" i="4"/>
  <c r="BU7" i="4"/>
  <c r="BT7" i="4"/>
  <c r="BS7" i="4"/>
  <c r="M64" i="4" s="1" a="1"/>
  <c r="M64" i="4" s="1"/>
  <c r="BR7" i="4"/>
  <c r="BO7" i="4"/>
  <c r="BN7" i="4"/>
  <c r="BM7" i="4"/>
  <c r="BL7" i="4"/>
  <c r="BK7" i="4"/>
  <c r="AE7" i="4"/>
  <c r="AD7" i="4"/>
  <c r="AC7" i="4"/>
  <c r="AB7" i="4"/>
  <c r="AA7" i="4"/>
  <c r="H64" i="4" s="1" a="1"/>
  <c r="H64" i="4" s="1"/>
  <c r="CC6" i="4"/>
  <c r="CB6" i="4"/>
  <c r="CA6" i="4"/>
  <c r="BZ6" i="4"/>
  <c r="BY6" i="4"/>
  <c r="B55" i="4" s="1" a="1"/>
  <c r="B55" i="4" s="1"/>
  <c r="BV6" i="4"/>
  <c r="BU6" i="4"/>
  <c r="BT6" i="4"/>
  <c r="BS6" i="4"/>
  <c r="BR6" i="4"/>
  <c r="BO6" i="4"/>
  <c r="BN6" i="4"/>
  <c r="BM6" i="4"/>
  <c r="BL6" i="4"/>
  <c r="BK6" i="4"/>
  <c r="AE6" i="4"/>
  <c r="AD6" i="4"/>
  <c r="AC6" i="4"/>
  <c r="AB6" i="4"/>
  <c r="AA6" i="4"/>
  <c r="M63" i="4" s="1" a="1"/>
  <c r="M63" i="4" s="1"/>
  <c r="R65" i="4" a="1"/>
  <c r="AE63" i="4" a="1"/>
  <c r="R64" i="4" a="1"/>
  <c r="W65" i="4"/>
  <c r="AD65" i="4" a="1"/>
  <c r="R66" i="4" a="1"/>
  <c r="AF63" i="4" a="1"/>
  <c r="R63" i="4" a="1"/>
  <c r="AD63" i="4" a="1"/>
  <c r="AF65" i="4" a="1"/>
  <c r="AC63" i="4" a="1"/>
  <c r="R67" i="4" a="1"/>
  <c r="W63" i="4"/>
  <c r="AB64" i="4" a="1"/>
  <c r="AC65" i="4" a="1"/>
  <c r="AD64" i="4" a="1"/>
  <c r="W64" i="4"/>
  <c r="AE64" i="4" a="1"/>
  <c r="AC64" i="4" a="1"/>
  <c r="AE65" i="4" a="1"/>
  <c r="W66" i="4"/>
  <c r="AB65" i="4" a="1"/>
  <c r="AB63" i="4" a="1"/>
  <c r="AF64" i="4" a="1"/>
  <c r="AC64" i="4" l="1"/>
  <c r="AE63" i="4"/>
  <c r="AF65" i="4"/>
  <c r="AD64" i="4"/>
  <c r="R64" i="4"/>
  <c r="AE64" i="4"/>
  <c r="AB65" i="4"/>
  <c r="AB63" i="4"/>
  <c r="AC63" i="4"/>
  <c r="AD65" i="4"/>
  <c r="R67" i="4"/>
  <c r="AF63" i="4"/>
  <c r="AC65" i="4"/>
  <c r="AB64" i="4"/>
  <c r="AF64" i="4"/>
  <c r="R65" i="4"/>
  <c r="R63" i="4"/>
  <c r="R66" i="4"/>
  <c r="AD63" i="4"/>
  <c r="AE65" i="4"/>
  <c r="H85" i="4" a="1"/>
  <c r="H85" i="4" s="1"/>
  <c r="H63" i="4" a="1"/>
  <c r="H63" i="4" s="1"/>
  <c r="M65" i="4" a="1"/>
  <c r="M65" i="4" s="1"/>
  <c r="M69" i="4" a="1"/>
  <c r="M69" i="4" s="1"/>
  <c r="H71" i="4" a="1"/>
  <c r="H71" i="4" s="1"/>
  <c r="M77" i="4" a="1"/>
  <c r="M77" i="4" s="1"/>
  <c r="H79" i="4" a="1"/>
  <c r="H79" i="4" s="1"/>
  <c r="H87" i="4" a="1"/>
  <c r="H87" i="4" s="1"/>
  <c r="H66" i="4" a="1"/>
  <c r="H66" i="4" s="1"/>
  <c r="H68" i="4" a="1"/>
  <c r="H68" i="4" s="1"/>
  <c r="H76" i="4" a="1"/>
  <c r="H76" i="4" s="1"/>
  <c r="H84" i="4" a="1"/>
  <c r="H84" i="4" s="1"/>
  <c r="C87" i="3" l="1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BR35" i="3"/>
  <c r="BK35" i="3"/>
  <c r="BD35" i="3"/>
  <c r="AW35" i="3"/>
  <c r="AP35" i="3"/>
  <c r="AI35" i="3"/>
  <c r="AA35" i="3"/>
  <c r="CD30" i="3"/>
  <c r="CC30" i="3"/>
  <c r="CB30" i="3"/>
  <c r="CA30" i="3"/>
  <c r="BZ30" i="3"/>
  <c r="BY30" i="3"/>
  <c r="BW30" i="3"/>
  <c r="BV30" i="3"/>
  <c r="BU30" i="3"/>
  <c r="BT30" i="3"/>
  <c r="BS30" i="3"/>
  <c r="BR30" i="3"/>
  <c r="BP30" i="3"/>
  <c r="BO30" i="3"/>
  <c r="BN30" i="3"/>
  <c r="BM30" i="3"/>
  <c r="BL30" i="3"/>
  <c r="BK30" i="3"/>
  <c r="AF30" i="3"/>
  <c r="AE30" i="3"/>
  <c r="AD30" i="3"/>
  <c r="AC30" i="3"/>
  <c r="AB30" i="3"/>
  <c r="AA30" i="3"/>
  <c r="M87" i="3" s="1" a="1"/>
  <c r="M87" i="3" s="1"/>
  <c r="CD29" i="3"/>
  <c r="CC29" i="3"/>
  <c r="CB29" i="3"/>
  <c r="CA29" i="3"/>
  <c r="BZ29" i="3"/>
  <c r="BY29" i="3"/>
  <c r="BW29" i="3"/>
  <c r="BV29" i="3"/>
  <c r="BU29" i="3"/>
  <c r="BT29" i="3"/>
  <c r="BS29" i="3"/>
  <c r="BR29" i="3"/>
  <c r="BP29" i="3"/>
  <c r="BO29" i="3"/>
  <c r="BN29" i="3"/>
  <c r="BM29" i="3"/>
  <c r="BL29" i="3"/>
  <c r="BK29" i="3"/>
  <c r="AF29" i="3"/>
  <c r="AE29" i="3"/>
  <c r="AD29" i="3"/>
  <c r="AC29" i="3"/>
  <c r="AB29" i="3"/>
  <c r="AA29" i="3"/>
  <c r="H86" i="3" s="1" a="1"/>
  <c r="H86" i="3" s="1"/>
  <c r="CD28" i="3"/>
  <c r="CC28" i="3"/>
  <c r="CB28" i="3"/>
  <c r="CA28" i="3"/>
  <c r="BZ28" i="3"/>
  <c r="BY28" i="3"/>
  <c r="BW28" i="3"/>
  <c r="BV28" i="3"/>
  <c r="BU28" i="3"/>
  <c r="BT28" i="3"/>
  <c r="BS28" i="3"/>
  <c r="BR28" i="3"/>
  <c r="BP28" i="3"/>
  <c r="BO28" i="3"/>
  <c r="BN28" i="3"/>
  <c r="BM28" i="3"/>
  <c r="BL28" i="3"/>
  <c r="BK28" i="3"/>
  <c r="AF28" i="3"/>
  <c r="AE28" i="3"/>
  <c r="AD28" i="3"/>
  <c r="AC28" i="3"/>
  <c r="AB28" i="3"/>
  <c r="AA28" i="3"/>
  <c r="M85" i="3" s="1" a="1"/>
  <c r="M85" i="3" s="1"/>
  <c r="CD27" i="3"/>
  <c r="CC27" i="3"/>
  <c r="CB27" i="3"/>
  <c r="CA27" i="3"/>
  <c r="BZ27" i="3"/>
  <c r="BY27" i="3"/>
  <c r="BW27" i="3"/>
  <c r="BV27" i="3"/>
  <c r="BU27" i="3"/>
  <c r="BT27" i="3"/>
  <c r="BS27" i="3"/>
  <c r="BR27" i="3"/>
  <c r="BP27" i="3"/>
  <c r="BO27" i="3"/>
  <c r="BN27" i="3"/>
  <c r="BM27" i="3"/>
  <c r="BL27" i="3"/>
  <c r="BK27" i="3"/>
  <c r="AF27" i="3"/>
  <c r="AE27" i="3"/>
  <c r="AD27" i="3"/>
  <c r="AC27" i="3"/>
  <c r="AB27" i="3"/>
  <c r="AA27" i="3"/>
  <c r="M84" i="3" s="1" a="1"/>
  <c r="M84" i="3" s="1"/>
  <c r="CD26" i="3"/>
  <c r="CC26" i="3"/>
  <c r="CB26" i="3"/>
  <c r="CA26" i="3"/>
  <c r="BZ26" i="3"/>
  <c r="BY26" i="3"/>
  <c r="BW26" i="3"/>
  <c r="BV26" i="3"/>
  <c r="BU26" i="3"/>
  <c r="BT26" i="3"/>
  <c r="BS26" i="3"/>
  <c r="BR26" i="3"/>
  <c r="BP26" i="3"/>
  <c r="BO26" i="3"/>
  <c r="BN26" i="3"/>
  <c r="BM26" i="3"/>
  <c r="BL26" i="3"/>
  <c r="BK26" i="3"/>
  <c r="AF26" i="3"/>
  <c r="AE26" i="3"/>
  <c r="AD26" i="3"/>
  <c r="AC26" i="3"/>
  <c r="AB26" i="3"/>
  <c r="AA26" i="3"/>
  <c r="M83" i="3" s="1" a="1"/>
  <c r="M83" i="3" s="1"/>
  <c r="CD25" i="3"/>
  <c r="CC25" i="3"/>
  <c r="CB25" i="3"/>
  <c r="CA25" i="3"/>
  <c r="BZ25" i="3"/>
  <c r="BY25" i="3"/>
  <c r="BW25" i="3"/>
  <c r="BV25" i="3"/>
  <c r="BU25" i="3"/>
  <c r="BT25" i="3"/>
  <c r="BS25" i="3"/>
  <c r="BR25" i="3"/>
  <c r="BP25" i="3"/>
  <c r="BO25" i="3"/>
  <c r="BN25" i="3"/>
  <c r="BM25" i="3"/>
  <c r="BL25" i="3"/>
  <c r="BK25" i="3"/>
  <c r="AF25" i="3"/>
  <c r="AE25" i="3"/>
  <c r="AD25" i="3"/>
  <c r="AC25" i="3"/>
  <c r="AB25" i="3"/>
  <c r="AA25" i="3"/>
  <c r="M82" i="3" s="1" a="1"/>
  <c r="M82" i="3" s="1"/>
  <c r="CD24" i="3"/>
  <c r="CC24" i="3"/>
  <c r="CB24" i="3"/>
  <c r="CA24" i="3"/>
  <c r="BZ24" i="3"/>
  <c r="BY24" i="3"/>
  <c r="BW24" i="3"/>
  <c r="BV24" i="3"/>
  <c r="BU24" i="3"/>
  <c r="BT24" i="3"/>
  <c r="BS24" i="3"/>
  <c r="BR24" i="3"/>
  <c r="BP24" i="3"/>
  <c r="BO24" i="3"/>
  <c r="BN24" i="3"/>
  <c r="BM24" i="3"/>
  <c r="BL24" i="3"/>
  <c r="BK24" i="3"/>
  <c r="AF24" i="3"/>
  <c r="AE24" i="3"/>
  <c r="AD24" i="3"/>
  <c r="AC24" i="3"/>
  <c r="AB24" i="3"/>
  <c r="AA24" i="3"/>
  <c r="H81" i="3" s="1" a="1"/>
  <c r="H81" i="3" s="1"/>
  <c r="CD23" i="3"/>
  <c r="CC23" i="3"/>
  <c r="CB23" i="3"/>
  <c r="CA23" i="3"/>
  <c r="BZ23" i="3"/>
  <c r="BY23" i="3"/>
  <c r="BW23" i="3"/>
  <c r="BV23" i="3"/>
  <c r="BU23" i="3"/>
  <c r="BT23" i="3"/>
  <c r="BS23" i="3"/>
  <c r="BR23" i="3"/>
  <c r="BP23" i="3"/>
  <c r="BO23" i="3"/>
  <c r="BN23" i="3"/>
  <c r="BM23" i="3"/>
  <c r="BL23" i="3"/>
  <c r="BK23" i="3"/>
  <c r="AF23" i="3"/>
  <c r="AE23" i="3"/>
  <c r="AD23" i="3"/>
  <c r="AC23" i="3"/>
  <c r="AB23" i="3"/>
  <c r="AA23" i="3"/>
  <c r="M80" i="3" s="1" a="1"/>
  <c r="M80" i="3" s="1"/>
  <c r="CD22" i="3"/>
  <c r="CC22" i="3"/>
  <c r="CB22" i="3"/>
  <c r="CA22" i="3"/>
  <c r="BZ22" i="3"/>
  <c r="BY22" i="3"/>
  <c r="BW22" i="3"/>
  <c r="BV22" i="3"/>
  <c r="BU22" i="3"/>
  <c r="BT22" i="3"/>
  <c r="BS22" i="3"/>
  <c r="BR22" i="3"/>
  <c r="BP22" i="3"/>
  <c r="BO22" i="3"/>
  <c r="BN22" i="3"/>
  <c r="BM22" i="3"/>
  <c r="BL22" i="3"/>
  <c r="BK22" i="3"/>
  <c r="AF22" i="3"/>
  <c r="AE22" i="3"/>
  <c r="AD22" i="3"/>
  <c r="AC22" i="3"/>
  <c r="AB22" i="3"/>
  <c r="AA22" i="3"/>
  <c r="M79" i="3" s="1" a="1"/>
  <c r="M79" i="3" s="1"/>
  <c r="CD21" i="3"/>
  <c r="CC21" i="3"/>
  <c r="CB21" i="3"/>
  <c r="CA21" i="3"/>
  <c r="BZ21" i="3"/>
  <c r="BY21" i="3"/>
  <c r="BW21" i="3"/>
  <c r="BV21" i="3"/>
  <c r="BU21" i="3"/>
  <c r="BT21" i="3"/>
  <c r="BS21" i="3"/>
  <c r="BR21" i="3"/>
  <c r="BP21" i="3"/>
  <c r="BO21" i="3"/>
  <c r="BN21" i="3"/>
  <c r="BM21" i="3"/>
  <c r="BL21" i="3"/>
  <c r="BK21" i="3"/>
  <c r="AF21" i="3"/>
  <c r="AE21" i="3"/>
  <c r="AD21" i="3"/>
  <c r="AC21" i="3"/>
  <c r="AB21" i="3"/>
  <c r="AA21" i="3"/>
  <c r="H78" i="3" s="1" a="1"/>
  <c r="H78" i="3" s="1"/>
  <c r="CD20" i="3"/>
  <c r="CC20" i="3"/>
  <c r="CB20" i="3"/>
  <c r="CA20" i="3"/>
  <c r="BZ20" i="3"/>
  <c r="BY20" i="3"/>
  <c r="BW20" i="3"/>
  <c r="BV20" i="3"/>
  <c r="BU20" i="3"/>
  <c r="BT20" i="3"/>
  <c r="BS20" i="3"/>
  <c r="BR20" i="3"/>
  <c r="BP20" i="3"/>
  <c r="BO20" i="3"/>
  <c r="BN20" i="3"/>
  <c r="BM20" i="3"/>
  <c r="BL20" i="3"/>
  <c r="BK20" i="3"/>
  <c r="AF20" i="3"/>
  <c r="AE20" i="3"/>
  <c r="AD20" i="3"/>
  <c r="AC20" i="3"/>
  <c r="AB20" i="3"/>
  <c r="AA20" i="3"/>
  <c r="M77" i="3" s="1" a="1"/>
  <c r="M77" i="3" s="1"/>
  <c r="CD19" i="3"/>
  <c r="CC19" i="3"/>
  <c r="CB19" i="3"/>
  <c r="CA19" i="3"/>
  <c r="BZ19" i="3"/>
  <c r="BY19" i="3"/>
  <c r="BW19" i="3"/>
  <c r="BV19" i="3"/>
  <c r="BU19" i="3"/>
  <c r="BT19" i="3"/>
  <c r="BS19" i="3"/>
  <c r="BR19" i="3"/>
  <c r="BP19" i="3"/>
  <c r="BO19" i="3"/>
  <c r="BN19" i="3"/>
  <c r="BM19" i="3"/>
  <c r="BL19" i="3"/>
  <c r="BK19" i="3"/>
  <c r="AF19" i="3"/>
  <c r="AE19" i="3"/>
  <c r="AD19" i="3"/>
  <c r="AC19" i="3"/>
  <c r="AB19" i="3"/>
  <c r="AA19" i="3"/>
  <c r="M76" i="3" s="1" a="1"/>
  <c r="M76" i="3" s="1"/>
  <c r="CD18" i="3"/>
  <c r="CC18" i="3"/>
  <c r="CB18" i="3"/>
  <c r="CA18" i="3"/>
  <c r="BZ18" i="3"/>
  <c r="BY18" i="3"/>
  <c r="BW18" i="3"/>
  <c r="BV18" i="3"/>
  <c r="BU18" i="3"/>
  <c r="BT18" i="3"/>
  <c r="BS18" i="3"/>
  <c r="BR18" i="3"/>
  <c r="BP18" i="3"/>
  <c r="BO18" i="3"/>
  <c r="BN18" i="3"/>
  <c r="BM18" i="3"/>
  <c r="BL18" i="3"/>
  <c r="BK18" i="3"/>
  <c r="AF18" i="3"/>
  <c r="AE18" i="3"/>
  <c r="AD18" i="3"/>
  <c r="AC18" i="3"/>
  <c r="AB18" i="3"/>
  <c r="AA18" i="3"/>
  <c r="M75" i="3" s="1" a="1"/>
  <c r="M75" i="3" s="1"/>
  <c r="CD17" i="3"/>
  <c r="CC17" i="3"/>
  <c r="CB17" i="3"/>
  <c r="CA17" i="3"/>
  <c r="BZ17" i="3"/>
  <c r="BY17" i="3"/>
  <c r="BW17" i="3"/>
  <c r="BV17" i="3"/>
  <c r="BU17" i="3"/>
  <c r="BT17" i="3"/>
  <c r="BS17" i="3"/>
  <c r="BR17" i="3"/>
  <c r="BP17" i="3"/>
  <c r="BO17" i="3"/>
  <c r="BN17" i="3"/>
  <c r="BM17" i="3"/>
  <c r="BL17" i="3"/>
  <c r="BK17" i="3"/>
  <c r="AF17" i="3"/>
  <c r="AE17" i="3"/>
  <c r="AD17" i="3"/>
  <c r="AC17" i="3"/>
  <c r="AB17" i="3"/>
  <c r="AA17" i="3"/>
  <c r="M74" i="3" s="1" a="1"/>
  <c r="M74" i="3" s="1"/>
  <c r="CD16" i="3"/>
  <c r="CC16" i="3"/>
  <c r="CB16" i="3"/>
  <c r="CA16" i="3"/>
  <c r="BZ16" i="3"/>
  <c r="BY16" i="3"/>
  <c r="BW16" i="3"/>
  <c r="BV16" i="3"/>
  <c r="BU16" i="3"/>
  <c r="BT16" i="3"/>
  <c r="BS16" i="3"/>
  <c r="BR16" i="3"/>
  <c r="BP16" i="3"/>
  <c r="BO16" i="3"/>
  <c r="BN16" i="3"/>
  <c r="BM16" i="3"/>
  <c r="BL16" i="3"/>
  <c r="BK16" i="3"/>
  <c r="AF16" i="3"/>
  <c r="AE16" i="3"/>
  <c r="AD16" i="3"/>
  <c r="AC16" i="3"/>
  <c r="AB16" i="3"/>
  <c r="AA16" i="3"/>
  <c r="H73" i="3" s="1" a="1"/>
  <c r="H73" i="3" s="1"/>
  <c r="CD15" i="3"/>
  <c r="CC15" i="3"/>
  <c r="CB15" i="3"/>
  <c r="CA15" i="3"/>
  <c r="BZ15" i="3"/>
  <c r="BY15" i="3"/>
  <c r="BW15" i="3"/>
  <c r="BV15" i="3"/>
  <c r="BU15" i="3"/>
  <c r="BT15" i="3"/>
  <c r="BS15" i="3"/>
  <c r="BR15" i="3"/>
  <c r="BP15" i="3"/>
  <c r="BO15" i="3"/>
  <c r="BN15" i="3"/>
  <c r="BM15" i="3"/>
  <c r="BL15" i="3"/>
  <c r="BK15" i="3"/>
  <c r="AF15" i="3"/>
  <c r="AE15" i="3"/>
  <c r="AD15" i="3"/>
  <c r="AC15" i="3"/>
  <c r="AB15" i="3"/>
  <c r="AA15" i="3"/>
  <c r="M72" i="3" s="1" a="1"/>
  <c r="M72" i="3" s="1"/>
  <c r="CD14" i="3"/>
  <c r="CC14" i="3"/>
  <c r="CB14" i="3"/>
  <c r="CA14" i="3"/>
  <c r="BZ14" i="3"/>
  <c r="BY14" i="3"/>
  <c r="BW14" i="3"/>
  <c r="BV14" i="3"/>
  <c r="BU14" i="3"/>
  <c r="BT14" i="3"/>
  <c r="BS14" i="3"/>
  <c r="BR14" i="3"/>
  <c r="BP14" i="3"/>
  <c r="BO14" i="3"/>
  <c r="BN14" i="3"/>
  <c r="BM14" i="3"/>
  <c r="BL14" i="3"/>
  <c r="BK14" i="3"/>
  <c r="AF14" i="3"/>
  <c r="AE14" i="3"/>
  <c r="AD14" i="3"/>
  <c r="AC14" i="3"/>
  <c r="AB14" i="3"/>
  <c r="AA14" i="3"/>
  <c r="M71" i="3" s="1" a="1"/>
  <c r="M71" i="3" s="1"/>
  <c r="CD13" i="3"/>
  <c r="CC13" i="3"/>
  <c r="CB13" i="3"/>
  <c r="CA13" i="3"/>
  <c r="BZ13" i="3"/>
  <c r="BY13" i="3"/>
  <c r="BW13" i="3"/>
  <c r="BV13" i="3"/>
  <c r="BU13" i="3"/>
  <c r="BT13" i="3"/>
  <c r="BS13" i="3"/>
  <c r="BR13" i="3"/>
  <c r="BP13" i="3"/>
  <c r="BO13" i="3"/>
  <c r="BN13" i="3"/>
  <c r="BM13" i="3"/>
  <c r="BL13" i="3"/>
  <c r="BK13" i="3"/>
  <c r="AF13" i="3"/>
  <c r="AE13" i="3"/>
  <c r="AD13" i="3"/>
  <c r="AC13" i="3"/>
  <c r="AB13" i="3"/>
  <c r="AA13" i="3"/>
  <c r="H70" i="3" s="1" a="1"/>
  <c r="H70" i="3" s="1"/>
  <c r="CD12" i="3"/>
  <c r="CC12" i="3"/>
  <c r="CB12" i="3"/>
  <c r="CA12" i="3"/>
  <c r="BZ12" i="3"/>
  <c r="BY12" i="3"/>
  <c r="BW12" i="3"/>
  <c r="BV12" i="3"/>
  <c r="BU12" i="3"/>
  <c r="BT12" i="3"/>
  <c r="BS12" i="3"/>
  <c r="BR12" i="3"/>
  <c r="BP12" i="3"/>
  <c r="BO12" i="3"/>
  <c r="BN12" i="3"/>
  <c r="BM12" i="3"/>
  <c r="BL12" i="3"/>
  <c r="BK12" i="3"/>
  <c r="AF12" i="3"/>
  <c r="AE12" i="3"/>
  <c r="AD12" i="3"/>
  <c r="AC12" i="3"/>
  <c r="AB12" i="3"/>
  <c r="AA12" i="3"/>
  <c r="M69" i="3" s="1" a="1"/>
  <c r="M69" i="3" s="1"/>
  <c r="CD11" i="3"/>
  <c r="CC11" i="3"/>
  <c r="CB11" i="3"/>
  <c r="CA11" i="3"/>
  <c r="BZ11" i="3"/>
  <c r="BY11" i="3"/>
  <c r="BW11" i="3"/>
  <c r="BV11" i="3"/>
  <c r="BU11" i="3"/>
  <c r="BT11" i="3"/>
  <c r="BS11" i="3"/>
  <c r="BR11" i="3"/>
  <c r="BP11" i="3"/>
  <c r="BO11" i="3"/>
  <c r="BN11" i="3"/>
  <c r="BM11" i="3"/>
  <c r="BL11" i="3"/>
  <c r="BK11" i="3"/>
  <c r="AF11" i="3"/>
  <c r="AE11" i="3"/>
  <c r="AD11" i="3"/>
  <c r="AC11" i="3"/>
  <c r="AB11" i="3"/>
  <c r="AA11" i="3"/>
  <c r="M68" i="3" s="1" a="1"/>
  <c r="M68" i="3" s="1"/>
  <c r="CD10" i="3"/>
  <c r="CC10" i="3"/>
  <c r="CB10" i="3"/>
  <c r="CA10" i="3"/>
  <c r="BZ10" i="3"/>
  <c r="BY10" i="3"/>
  <c r="BW10" i="3"/>
  <c r="BV10" i="3"/>
  <c r="BU10" i="3"/>
  <c r="BT10" i="3"/>
  <c r="BS10" i="3"/>
  <c r="BR10" i="3"/>
  <c r="BP10" i="3"/>
  <c r="BO10" i="3"/>
  <c r="BN10" i="3"/>
  <c r="BM10" i="3"/>
  <c r="BL10" i="3"/>
  <c r="BK10" i="3"/>
  <c r="AF10" i="3"/>
  <c r="AE10" i="3"/>
  <c r="AD10" i="3"/>
  <c r="AC10" i="3"/>
  <c r="AB10" i="3"/>
  <c r="AA10" i="3"/>
  <c r="M67" i="3" s="1" a="1"/>
  <c r="M67" i="3" s="1"/>
  <c r="CD9" i="3"/>
  <c r="CC9" i="3"/>
  <c r="CB9" i="3"/>
  <c r="CA9" i="3"/>
  <c r="BZ9" i="3"/>
  <c r="BY9" i="3"/>
  <c r="BW9" i="3"/>
  <c r="BV9" i="3"/>
  <c r="BU9" i="3"/>
  <c r="BT9" i="3"/>
  <c r="BS9" i="3"/>
  <c r="BR9" i="3"/>
  <c r="BP9" i="3"/>
  <c r="BO9" i="3"/>
  <c r="BN9" i="3"/>
  <c r="BM9" i="3"/>
  <c r="BL9" i="3"/>
  <c r="BK9" i="3"/>
  <c r="AF9" i="3"/>
  <c r="AE9" i="3"/>
  <c r="AD9" i="3"/>
  <c r="AC9" i="3"/>
  <c r="AB9" i="3"/>
  <c r="AA9" i="3"/>
  <c r="M66" i="3" s="1" a="1"/>
  <c r="M66" i="3" s="1"/>
  <c r="CD8" i="3"/>
  <c r="CC8" i="3"/>
  <c r="CB8" i="3"/>
  <c r="CA8" i="3"/>
  <c r="BZ8" i="3"/>
  <c r="BY8" i="3"/>
  <c r="BW8" i="3"/>
  <c r="BV8" i="3"/>
  <c r="BU8" i="3"/>
  <c r="BT8" i="3"/>
  <c r="BS8" i="3"/>
  <c r="BR8" i="3"/>
  <c r="BP8" i="3"/>
  <c r="BO8" i="3"/>
  <c r="BN8" i="3"/>
  <c r="BM8" i="3"/>
  <c r="BL8" i="3"/>
  <c r="BK8" i="3"/>
  <c r="AF8" i="3"/>
  <c r="AE8" i="3"/>
  <c r="AD8" i="3"/>
  <c r="AC8" i="3"/>
  <c r="AB8" i="3"/>
  <c r="AA8" i="3"/>
  <c r="M65" i="3" s="1" a="1"/>
  <c r="M65" i="3" s="1"/>
  <c r="CD7" i="3"/>
  <c r="CC7" i="3"/>
  <c r="CB7" i="3"/>
  <c r="CA7" i="3"/>
  <c r="BZ7" i="3"/>
  <c r="BY7" i="3"/>
  <c r="BW7" i="3"/>
  <c r="BV7" i="3"/>
  <c r="BU7" i="3"/>
  <c r="BT7" i="3"/>
  <c r="BS7" i="3"/>
  <c r="BR7" i="3"/>
  <c r="BP7" i="3"/>
  <c r="BO7" i="3"/>
  <c r="BN7" i="3"/>
  <c r="BM7" i="3"/>
  <c r="BL7" i="3"/>
  <c r="BK7" i="3"/>
  <c r="AF7" i="3"/>
  <c r="AE7" i="3"/>
  <c r="AD7" i="3"/>
  <c r="AC7" i="3"/>
  <c r="AB7" i="3"/>
  <c r="AA7" i="3"/>
  <c r="M64" i="3" s="1" a="1"/>
  <c r="M64" i="3" s="1"/>
  <c r="CD6" i="3"/>
  <c r="CC6" i="3"/>
  <c r="CB6" i="3"/>
  <c r="CA6" i="3"/>
  <c r="BZ6" i="3"/>
  <c r="BY6" i="3"/>
  <c r="B55" i="3" s="1" a="1"/>
  <c r="B55" i="3" s="1"/>
  <c r="BW6" i="3"/>
  <c r="BV6" i="3"/>
  <c r="BU6" i="3"/>
  <c r="BT6" i="3"/>
  <c r="BS6" i="3"/>
  <c r="BR6" i="3"/>
  <c r="BP6" i="3"/>
  <c r="BO6" i="3"/>
  <c r="BN6" i="3"/>
  <c r="BM6" i="3"/>
  <c r="BL6" i="3"/>
  <c r="BK6" i="3"/>
  <c r="AF6" i="3"/>
  <c r="AE6" i="3"/>
  <c r="AD6" i="3"/>
  <c r="AC6" i="3"/>
  <c r="AB6" i="3"/>
  <c r="AA6" i="3"/>
  <c r="M63" i="3" s="1" a="1"/>
  <c r="M63" i="3" s="1"/>
  <c r="R68" i="3" a="1"/>
  <c r="AB63" i="3" a="1"/>
  <c r="W66" i="3"/>
  <c r="R64" i="3" a="1"/>
  <c r="AD65" i="3" a="1"/>
  <c r="AA63" i="3" a="1"/>
  <c r="W65" i="3"/>
  <c r="AE65" i="3" a="1"/>
  <c r="AE63" i="3" a="1"/>
  <c r="AE64" i="3" a="1"/>
  <c r="R63" i="3" a="1"/>
  <c r="R66" i="3" a="1"/>
  <c r="AD64" i="3" a="1"/>
  <c r="AB65" i="3" a="1"/>
  <c r="W64" i="3"/>
  <c r="AA64" i="3" a="1"/>
  <c r="AA65" i="3" a="1"/>
  <c r="AC65" i="3" a="1"/>
  <c r="AF64" i="3" a="1"/>
  <c r="R67" i="3" a="1"/>
  <c r="AC63" i="3" a="1"/>
  <c r="AC64" i="3" a="1"/>
  <c r="AB64" i="3" a="1"/>
  <c r="AF63" i="3" a="1"/>
  <c r="W63" i="3"/>
  <c r="AD63" i="3" a="1"/>
  <c r="R65" i="3" a="1"/>
  <c r="AF65" i="3" a="1"/>
  <c r="R64" i="3" l="1"/>
  <c r="R66" i="3"/>
  <c r="R67" i="3"/>
  <c r="AB63" i="3"/>
  <c r="AF63" i="3"/>
  <c r="AD64" i="3"/>
  <c r="AB65" i="3"/>
  <c r="AF65" i="3"/>
  <c r="AC63" i="3"/>
  <c r="AA64" i="3"/>
  <c r="AE64" i="3"/>
  <c r="AC65" i="3"/>
  <c r="R63" i="3"/>
  <c r="R65" i="3"/>
  <c r="AD63" i="3"/>
  <c r="AB64" i="3"/>
  <c r="AF64" i="3"/>
  <c r="AD65" i="3"/>
  <c r="AA63" i="3"/>
  <c r="AE63" i="3"/>
  <c r="AC64" i="3"/>
  <c r="AA65" i="3"/>
  <c r="AE65" i="3"/>
  <c r="R68" i="3"/>
  <c r="H63" i="3" a="1"/>
  <c r="H63" i="3" s="1"/>
  <c r="H65" i="3" a="1"/>
  <c r="H65" i="3" s="1"/>
  <c r="M73" i="3" a="1"/>
  <c r="M73" i="3" s="1"/>
  <c r="H75" i="3" a="1"/>
  <c r="H75" i="3" s="1"/>
  <c r="M81" i="3" a="1"/>
  <c r="M81" i="3" s="1"/>
  <c r="H83" i="3" a="1"/>
  <c r="H83" i="3" s="1"/>
  <c r="M70" i="3" a="1"/>
  <c r="M70" i="3" s="1"/>
  <c r="H72" i="3" a="1"/>
  <c r="H72" i="3" s="1"/>
  <c r="M78" i="3" a="1"/>
  <c r="M78" i="3" s="1"/>
  <c r="H80" i="3" a="1"/>
  <c r="H80" i="3" s="1"/>
  <c r="M86" i="3" a="1"/>
  <c r="M86" i="3" s="1"/>
  <c r="H69" i="3" a="1"/>
  <c r="H69" i="3" s="1"/>
  <c r="H77" i="3" a="1"/>
  <c r="H77" i="3" s="1"/>
  <c r="H85" i="3" a="1"/>
  <c r="H85" i="3" s="1"/>
  <c r="H68" i="3" a="1"/>
  <c r="H68" i="3" s="1"/>
  <c r="H74" i="3" a="1"/>
  <c r="H74" i="3" s="1"/>
  <c r="H82" i="3" a="1"/>
  <c r="H82" i="3" s="1"/>
  <c r="H64" i="3" a="1"/>
  <c r="H64" i="3" s="1"/>
  <c r="H66" i="3" a="1"/>
  <c r="H66" i="3" s="1"/>
  <c r="H67" i="3" a="1"/>
  <c r="H67" i="3" s="1"/>
  <c r="H71" i="3" a="1"/>
  <c r="H71" i="3" s="1"/>
  <c r="H79" i="3" a="1"/>
  <c r="H79" i="3" s="1"/>
  <c r="H87" i="3" a="1"/>
  <c r="H87" i="3" s="1"/>
  <c r="H76" i="3" a="1"/>
  <c r="H76" i="3" s="1"/>
  <c r="H84" i="3" a="1"/>
  <c r="H84" i="3" s="1"/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BN43" i="1" a="1"/>
  <c r="BL46" i="1" a="1"/>
  <c r="BO43" i="1" a="1"/>
  <c r="BK40" i="1" a="1"/>
  <c r="BL48" i="1" a="1"/>
  <c r="BN40" i="1" a="1"/>
  <c r="BO40" i="1" a="1"/>
  <c r="BL39" i="1" a="1"/>
  <c r="BK54" i="1" a="1"/>
  <c r="R67" i="1" a="1"/>
  <c r="BL55" i="1" a="1"/>
  <c r="BN62" i="1" a="1"/>
  <c r="R65" i="1" a="1"/>
  <c r="AB64" i="1" a="1"/>
  <c r="W64" i="1"/>
  <c r="W65" i="1"/>
  <c r="AE64" i="1" a="1"/>
  <c r="BM59" i="1" a="1"/>
  <c r="BM60" i="1" a="1"/>
  <c r="BM44" i="1" a="1"/>
  <c r="BL58" i="1" a="1"/>
  <c r="R66" i="1" a="1"/>
  <c r="BN50" i="1" a="1"/>
  <c r="R63" i="1" a="1"/>
  <c r="BM46" i="1" a="1"/>
  <c r="BM58" i="1" a="1"/>
  <c r="BM49" i="1" a="1"/>
  <c r="BN51" i="1" a="1"/>
  <c r="BL62" i="1" a="1"/>
  <c r="BM47" i="1" a="1"/>
  <c r="BN56" i="1" a="1"/>
  <c r="AE65" i="1" a="1"/>
  <c r="BO58" i="1" a="1"/>
  <c r="BL51" i="1" a="1"/>
  <c r="BO50" i="1" a="1"/>
  <c r="BM56" i="1" a="1"/>
  <c r="BK39" i="1" a="1"/>
  <c r="AF63" i="1" a="1"/>
  <c r="AF64" i="1" a="1"/>
  <c r="BL44" i="1" a="1"/>
  <c r="BO55" i="1" a="1"/>
  <c r="BO47" i="1" a="1"/>
  <c r="BN59" i="1" a="1"/>
  <c r="AB65" i="1" a="1"/>
  <c r="BN46" i="1" a="1"/>
  <c r="R64" i="1" a="1"/>
  <c r="BK51" i="1" a="1"/>
  <c r="AC65" i="1" a="1"/>
  <c r="BO48" i="1" a="1"/>
  <c r="BL42" i="1" a="1"/>
  <c r="BK41" i="1" a="1"/>
  <c r="BM53" i="1" a="1"/>
  <c r="BK63" i="1" a="1"/>
  <c r="BK53" i="1" a="1"/>
  <c r="BM40" i="1" a="1"/>
  <c r="BK56" i="1" a="1"/>
  <c r="BK43" i="1" a="1"/>
  <c r="BN42" i="1" a="1"/>
  <c r="W63" i="1"/>
  <c r="BN61" i="1" a="1"/>
  <c r="BK50" i="1" a="1"/>
  <c r="AF65" i="1" a="1"/>
  <c r="BM45" i="1" a="1"/>
  <c r="BO61" i="1" a="1"/>
  <c r="BN57" i="1" a="1"/>
  <c r="BM51" i="1" a="1"/>
  <c r="BK47" i="1" a="1"/>
  <c r="AD65" i="1" a="1"/>
  <c r="BM39" i="1" a="1"/>
  <c r="BK62" i="1" a="1"/>
  <c r="BM57" i="1" a="1"/>
  <c r="BK55" i="1" a="1"/>
  <c r="BO63" i="1" a="1"/>
  <c r="BL57" i="1" a="1"/>
  <c r="BN44" i="1" a="1"/>
  <c r="BM63" i="1" a="1"/>
  <c r="BM42" i="1" a="1"/>
  <c r="BO39" i="1" a="1"/>
  <c r="BM50" i="1" a="1"/>
  <c r="BL61" i="1" a="1"/>
  <c r="BK44" i="1" a="1"/>
  <c r="BM48" i="1" a="1"/>
  <c r="BK48" i="1" a="1"/>
  <c r="AE63" i="1" a="1"/>
  <c r="BO57" i="1" a="1"/>
  <c r="BN49" i="1" a="1"/>
  <c r="BK58" i="1" a="1"/>
  <c r="BL56" i="1" a="1"/>
  <c r="BL45" i="1" a="1"/>
  <c r="BO56" i="1" a="1"/>
  <c r="BK42" i="1" a="1"/>
  <c r="BO46" i="1" a="1"/>
  <c r="BO54" i="1" a="1"/>
  <c r="BO44" i="1" a="1"/>
  <c r="AD63" i="1" a="1"/>
  <c r="BO51" i="1" a="1"/>
  <c r="BL63" i="1" a="1"/>
  <c r="BL50" i="1" a="1"/>
  <c r="W66" i="1"/>
  <c r="BN41" i="1" a="1"/>
  <c r="BK46" i="1" a="1"/>
  <c r="BO45" i="1" a="1"/>
  <c r="BL59" i="1" a="1"/>
  <c r="BN47" i="1" a="1"/>
  <c r="BO53" i="1" a="1"/>
  <c r="BO52" i="1" a="1"/>
  <c r="BL60" i="1" a="1"/>
  <c r="BO62" i="1" a="1"/>
  <c r="BK52" i="1" a="1"/>
  <c r="BN39" i="1" a="1"/>
  <c r="BM61" i="1" a="1"/>
  <c r="BN55" i="1" a="1"/>
  <c r="BM52" i="1" a="1"/>
  <c r="BN53" i="1" a="1"/>
  <c r="BO60" i="1" a="1"/>
  <c r="BL49" i="1" a="1"/>
  <c r="BO49" i="1" a="1"/>
  <c r="BM62" i="1" a="1"/>
  <c r="BK49" i="1" a="1"/>
  <c r="BN45" i="1" a="1"/>
  <c r="BN54" i="1" a="1"/>
  <c r="BL43" i="1" a="1"/>
  <c r="BO41" i="1" a="1"/>
  <c r="BK60" i="1" a="1"/>
  <c r="BN48" i="1" a="1"/>
  <c r="BO59" i="1" a="1"/>
  <c r="BL40" i="1" a="1"/>
  <c r="BN52" i="1" a="1"/>
  <c r="BK61" i="1" a="1"/>
  <c r="AD64" i="1" a="1"/>
  <c r="BL53" i="1" a="1"/>
  <c r="BN60" i="1" a="1"/>
  <c r="BL41" i="1" a="1"/>
  <c r="BL52" i="1" a="1"/>
  <c r="BK57" i="1" a="1"/>
  <c r="BM43" i="1" a="1"/>
  <c r="AC64" i="1" a="1"/>
  <c r="AC63" i="1" a="1"/>
  <c r="BK59" i="1" a="1"/>
  <c r="BM54" i="1" a="1"/>
  <c r="BL54" i="1" a="1"/>
  <c r="BM41" i="1" a="1"/>
  <c r="BN63" i="1" a="1"/>
  <c r="BN58" i="1" a="1"/>
  <c r="BK45" i="1" a="1"/>
  <c r="BM55" i="1" a="1"/>
  <c r="BL47" i="1" a="1"/>
  <c r="BO42" i="1" a="1"/>
  <c r="AB63" i="1" a="1"/>
  <c r="BL63" i="1" l="1"/>
  <c r="BL62" i="1"/>
  <c r="BN60" i="1"/>
  <c r="BK59" i="1"/>
  <c r="BN56" i="1"/>
  <c r="BK55" i="1"/>
  <c r="BM53" i="1"/>
  <c r="BK51" i="1"/>
  <c r="BM49" i="1"/>
  <c r="BK47" i="1"/>
  <c r="BM45" i="1"/>
  <c r="BO43" i="1"/>
  <c r="BL42" i="1"/>
  <c r="BN40" i="1"/>
  <c r="BO60" i="1"/>
  <c r="BO63" i="1"/>
  <c r="BK63" i="1"/>
  <c r="BM61" i="1"/>
  <c r="BO59" i="1"/>
  <c r="BL58" i="1"/>
  <c r="BM57" i="1"/>
  <c r="BO55" i="1"/>
  <c r="BL54" i="1"/>
  <c r="BN52" i="1"/>
  <c r="BO51" i="1"/>
  <c r="BL50" i="1"/>
  <c r="BN48" i="1"/>
  <c r="BO47" i="1"/>
  <c r="BL46" i="1"/>
  <c r="BN44" i="1"/>
  <c r="BK43" i="1"/>
  <c r="BM41" i="1"/>
  <c r="BK60" i="1"/>
  <c r="BN63" i="1"/>
  <c r="BK62" i="1"/>
  <c r="BM60" i="1"/>
  <c r="BO58" i="1"/>
  <c r="BL57" i="1"/>
  <c r="BN55" i="1"/>
  <c r="BK54" i="1"/>
  <c r="BM52" i="1"/>
  <c r="BO50" i="1"/>
  <c r="BL49" i="1"/>
  <c r="BN47" i="1"/>
  <c r="BK46" i="1"/>
  <c r="BM44" i="1"/>
  <c r="BN43" i="1"/>
  <c r="BO42" i="1"/>
  <c r="BK42" i="1"/>
  <c r="BM40" i="1"/>
  <c r="BM62" i="1"/>
  <c r="BO62" i="1"/>
  <c r="BL61" i="1"/>
  <c r="BN59" i="1"/>
  <c r="BK58" i="1"/>
  <c r="BM56" i="1"/>
  <c r="BO54" i="1"/>
  <c r="BL53" i="1"/>
  <c r="BN51" i="1"/>
  <c r="BK50" i="1"/>
  <c r="BM48" i="1"/>
  <c r="BO46" i="1"/>
  <c r="BL45" i="1"/>
  <c r="BL41" i="1"/>
  <c r="BM63" i="1"/>
  <c r="BO61" i="1"/>
  <c r="BK61" i="1"/>
  <c r="BM59" i="1"/>
  <c r="BO57" i="1"/>
  <c r="BK57" i="1"/>
  <c r="BM55" i="1"/>
  <c r="BO53" i="1"/>
  <c r="BL52" i="1"/>
  <c r="BM51" i="1"/>
  <c r="BO49" i="1"/>
  <c r="BL48" i="1"/>
  <c r="BM47" i="1"/>
  <c r="BO45" i="1"/>
  <c r="BL44" i="1"/>
  <c r="BM43" i="1"/>
  <c r="BO41" i="1"/>
  <c r="BL40" i="1"/>
  <c r="BN61" i="1"/>
  <c r="BN62" i="1"/>
  <c r="BL60" i="1"/>
  <c r="BN58" i="1"/>
  <c r="BL56" i="1"/>
  <c r="BN54" i="1"/>
  <c r="BK53" i="1"/>
  <c r="BN50" i="1"/>
  <c r="BK49" i="1"/>
  <c r="BN46" i="1"/>
  <c r="BK45" i="1"/>
  <c r="BN42" i="1"/>
  <c r="BK41" i="1"/>
  <c r="BL59" i="1"/>
  <c r="BM58" i="1"/>
  <c r="BN57" i="1"/>
  <c r="BO56" i="1"/>
  <c r="BK56" i="1"/>
  <c r="BL55" i="1"/>
  <c r="BM54" i="1"/>
  <c r="BN53" i="1"/>
  <c r="BO52" i="1"/>
  <c r="BK52" i="1"/>
  <c r="BL51" i="1"/>
  <c r="BM50" i="1"/>
  <c r="BN49" i="1"/>
  <c r="BO48" i="1"/>
  <c r="BK48" i="1"/>
  <c r="BL47" i="1"/>
  <c r="BM46" i="1"/>
  <c r="BN45" i="1"/>
  <c r="BO44" i="1"/>
  <c r="BK44" i="1"/>
  <c r="BL43" i="1"/>
  <c r="BM42" i="1"/>
  <c r="BN41" i="1"/>
  <c r="BO40" i="1"/>
  <c r="BK40" i="1"/>
  <c r="BO39" i="1"/>
  <c r="BN39" i="1"/>
  <c r="BM39" i="1"/>
  <c r="BL39" i="1"/>
  <c r="BK39" i="1"/>
  <c r="B55" i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BL64" i="1" l="1"/>
  <c r="BM64" i="1"/>
  <c r="BN64" i="1"/>
  <c r="BO64" i="1"/>
  <c r="BP39" i="1"/>
  <c r="BK64" i="1"/>
  <c r="BP58" i="1"/>
  <c r="BP40" i="1"/>
  <c r="BP43" i="1"/>
  <c r="BP48" i="1"/>
  <c r="BP55" i="1"/>
  <c r="BP60" i="1"/>
  <c r="BP41" i="1"/>
  <c r="BP53" i="1"/>
  <c r="BP47" i="1"/>
  <c r="BP54" i="1"/>
  <c r="BP59" i="1"/>
  <c r="BP56" i="1"/>
  <c r="BP57" i="1"/>
  <c r="BP46" i="1"/>
  <c r="BP50" i="1"/>
  <c r="BP44" i="1"/>
  <c r="BP45" i="1"/>
  <c r="BP51" i="1"/>
  <c r="BP61" i="1"/>
  <c r="BP63" i="1"/>
  <c r="BP52" i="1"/>
  <c r="BP49" i="1"/>
  <c r="BP62" i="1"/>
  <c r="BP42" i="1"/>
  <c r="BP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<sst xmlns="http://schemas.openxmlformats.org/spreadsheetml/2006/main" count="3021" uniqueCount="1211">
  <si>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</si>
  <si>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</si>
  <si>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</si>
  <si>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</si>
  <si>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</si>
  <si>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</si>
  <si>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</si>
  <si>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</si>
  <si>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</si>
  <si>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</si>
  <si>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</si>
  <si>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</si>
  <si>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</si>
  <si>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</si>
  <si>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</si>
  <si>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</si>
  <si>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</si>
  <si>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</si>
  <si>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</si>
  <si>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</si>
  <si>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</si>
  <si>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</si>
  <si>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</si>
  <si>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</si>
  <si>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</si>
  <si>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</si>
  <si>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</si>
  <si>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</si>
  <si>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</si>
  <si>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</si>
  <si>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</si>
  <si>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</si>
  <si>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</si>
  <si>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</si>
  <si>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</si>
  <si>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</si>
  <si>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</si>
  <si>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</si>
  <si>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</si>
  <si>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</si>
  <si>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</si>
  <si>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</si>
  <si>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</si>
  <si>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</si>
  <si>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</si>
  <si>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</si>
  <si>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</si>
  <si>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</si>
  <si>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</si>
  <si>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</si>
  <si>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</si>
  <si>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</si>
  <si>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</si>
  <si>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</si>
  <si>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</si>
  <si>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</si>
  <si>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</si>
  <si>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</si>
  <si>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</si>
  <si>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</si>
  <si>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</si>
  <si>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</si>
  <si>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</si>
  <si>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</si>
  <si>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</si>
  <si>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</si>
  <si>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</si>
  <si>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</si>
  <si>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</si>
  <si>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</si>
  <si>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</si>
  <si>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</si>
  <si>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</si>
  <si>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</si>
  <si>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</si>
  <si>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</si>
  <si>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</si>
  <si>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</si>
  <si>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</si>
  <si>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</si>
  <si>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</si>
  <si>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</si>
  <si>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</si>
  <si>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</si>
  <si>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</si>
  <si>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</si>
  <si>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</si>
  <si>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</si>
  <si>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</si>
  <si>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</si>
  <si>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</si>
  <si>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</si>
  <si>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</si>
  <si>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</si>
  <si>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</si>
  <si>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</si>
  <si>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</si>
  <si>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</si>
  <si>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</si>
  <si>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</si>
  <si>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</si>
  <si>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</si>
  <si>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</si>
  <si>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</si>
  <si>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</si>
  <si>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</si>
  <si>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</si>
  <si>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</si>
  <si>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</si>
  <si>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</si>
  <si>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</si>
  <si>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</si>
  <si>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</si>
  <si>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</si>
  <si>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</si>
  <si>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</si>
  <si>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</si>
  <si>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</si>
  <si>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</si>
  <si>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</si>
  <si>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</si>
  <si>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</si>
  <si>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</si>
  <si>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</si>
  <si>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</si>
  <si>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</si>
  <si>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</si>
  <si>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</si>
  <si>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</si>
  <si>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</si>
  <si>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</si>
  <si>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</si>
  <si>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</si>
  <si>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</si>
  <si>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</si>
  <si>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</si>
  <si>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</si>
  <si>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</si>
  <si>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</si>
  <si>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</si>
  <si>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</si>
  <si>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</si>
  <si>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</si>
  <si>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</si>
  <si>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</si>
  <si>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</si>
  <si>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</si>
  <si>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</si>
  <si>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</si>
  <si>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</si>
  <si>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</si>
  <si>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</si>
  <si>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</si>
  <si>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</si>
  <si>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</si>
  <si>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</si>
  <si>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</si>
  <si>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</si>
  <si>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</si>
  <si>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</si>
  <si>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</si>
  <si>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</si>
  <si>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</si>
  <si>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</si>
  <si>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</si>
  <si>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</si>
  <si>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</si>
  <si>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</si>
  <si>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</si>
  <si>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</si>
  <si>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</si>
  <si>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</si>
  <si>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</si>
  <si>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</si>
  <si>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</si>
  <si>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</si>
  <si>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</si>
  <si>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</si>
  <si>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</si>
  <si>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</si>
  <si>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</si>
  <si>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</si>
  <si>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</si>
  <si>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</si>
  <si>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</si>
  <si>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</si>
  <si>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</si>
  <si>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</si>
  <si>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</si>
  <si>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</si>
  <si>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</si>
  <si>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</si>
  <si>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</si>
  <si>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</si>
  <si>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</si>
  <si>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</si>
  <si>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</si>
  <si>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</si>
  <si>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</si>
  <si>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</si>
  <si>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</si>
  <si>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</si>
  <si>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</si>
  <si>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</si>
  <si>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</si>
  <si>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</si>
  <si>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</si>
  <si>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</si>
  <si>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</si>
  <si>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</si>
  <si>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</si>
  <si>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</si>
  <si>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</si>
  <si>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</si>
  <si>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</si>
  <si>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</si>
  <si>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</si>
  <si>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</si>
  <si>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</si>
  <si>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</si>
  <si>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</si>
  <si>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</si>
  <si>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</si>
  <si>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</si>
  <si>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</si>
  <si>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</si>
  <si>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</si>
  <si>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</si>
  <si>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</si>
  <si>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</si>
  <si>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</si>
  <si>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</si>
  <si>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</si>
  <si>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</si>
  <si>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</si>
  <si>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</si>
  <si>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</si>
  <si>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</si>
  <si>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</si>
  <si>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</si>
  <si>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</si>
  <si>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</si>
  <si>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</si>
  <si>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</si>
  <si>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</si>
  <si>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</si>
  <si>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</si>
  <si>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</si>
  <si>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</si>
  <si>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</si>
  <si>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</si>
  <si>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</si>
  <si>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</si>
  <si>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</si>
  <si>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</si>
  <si>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</si>
  <si>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</si>
  <si>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</si>
  <si>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</si>
  <si>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</si>
  <si>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</si>
  <si>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</si>
  <si>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</si>
  <si>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</si>
  <si>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</si>
  <si>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</si>
  <si>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</si>
  <si>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</si>
  <si>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</si>
  <si>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</si>
  <si>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</si>
  <si>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</si>
  <si>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</si>
  <si>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</si>
  <si>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</si>
  <si>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</si>
  <si>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</si>
  <si>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</si>
  <si>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</si>
  <si>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</si>
  <si>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</si>
  <si>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</si>
  <si>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</si>
  <si>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</si>
  <si>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</si>
  <si>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</si>
  <si>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</si>
  <si>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</si>
  <si>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</si>
  <si>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</si>
  <si>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</si>
  <si>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</si>
  <si>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</si>
  <si>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</si>
  <si>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</si>
  <si>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</si>
  <si>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</si>
  <si>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</si>
  <si>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</si>
  <si>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</si>
  <si>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</si>
  <si>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</si>
  <si>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</si>
  <si>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</si>
  <si>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</si>
  <si>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</si>
  <si>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</si>
  <si>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</si>
  <si>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</si>
  <si>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</si>
  <si>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</si>
  <si>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</si>
  <si>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</si>
  <si>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</si>
  <si>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</si>
  <si>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</si>
  <si>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</si>
  <si>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</si>
  <si>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</si>
  <si>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</si>
  <si>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</si>
  <si>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</si>
  <si>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</si>
  <si>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</si>
  <si>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</si>
  <si>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</si>
  <si>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</si>
  <si>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</si>
  <si>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</si>
  <si>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</si>
  <si>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</si>
  <si>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</si>
  <si>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</si>
  <si>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</si>
  <si>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</si>
  <si>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</si>
  <si>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</si>
  <si>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</si>
  <si>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</si>
  <si>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</si>
  <si>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</si>
  <si>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</si>
  <si>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</si>
  <si>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</si>
  <si>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</si>
  <si>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</si>
  <si>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</si>
  <si>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</si>
  <si>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</si>
  <si>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</si>
  <si>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</si>
  <si>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</si>
  <si>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</si>
  <si>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</si>
  <si>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</si>
  <si>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</si>
  <si>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</si>
  <si>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</si>
  <si>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</si>
  <si>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</si>
  <si>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</si>
  <si>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</si>
  <si>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</si>
  <si>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</si>
  <si>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</si>
  <si>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</si>
  <si>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</si>
  <si>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</si>
  <si>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</si>
  <si>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</si>
  <si>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</si>
  <si>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</si>
  <si>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</si>
  <si>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</si>
  <si>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</si>
  <si>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</si>
  <si>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</si>
  <si>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</si>
  <si>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</si>
  <si>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</si>
  <si>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</si>
  <si>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</si>
  <si>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</si>
  <si>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</si>
  <si>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</si>
  <si>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</si>
  <si>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</si>
  <si>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</si>
  <si>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</si>
  <si>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</si>
  <si>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</si>
  <si>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</si>
  <si>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</si>
  <si>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</si>
  <si>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</si>
  <si>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</si>
  <si>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</si>
  <si>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</si>
  <si>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</si>
  <si>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</si>
  <si>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</si>
  <si>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</si>
  <si>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</si>
  <si>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</si>
  <si>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</si>
  <si>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</si>
  <si>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</si>
  <si>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</si>
  <si>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</si>
  <si>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</si>
  <si>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</si>
  <si>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</si>
  <si>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</si>
  <si>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</si>
  <si>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</si>
  <si>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</si>
  <si>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</si>
  <si>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</si>
  <si>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</si>
  <si>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</si>
  <si>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</si>
  <si>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</si>
  <si>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</si>
  <si>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</si>
  <si>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</si>
  <si>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</si>
  <si>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</si>
  <si>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</si>
  <si>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</si>
  <si>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</si>
  <si>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</si>
  <si>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</si>
  <si>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</si>
  <si>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</si>
  <si>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</si>
  <si>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</si>
  <si>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</si>
  <si>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</si>
  <si>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</si>
  <si>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</si>
  <si>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</si>
  <si>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</si>
  <si>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</si>
  <si>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</si>
  <si>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</si>
  <si>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</si>
  <si>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</si>
  <si>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</si>
  <si>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</si>
  <si>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</si>
  <si>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</si>
  <si>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</si>
  <si>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</si>
  <si>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</si>
  <si>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</si>
  <si>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</si>
  <si>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</si>
  <si>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</si>
  <si>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</si>
  <si>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</si>
  <si>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</si>
  <si>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</si>
  <si>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</si>
  <si>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</si>
  <si>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</si>
  <si>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</si>
  <si>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</si>
  <si>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</si>
  <si>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</si>
  <si>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</si>
  <si>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</si>
  <si>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</si>
  <si>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</si>
  <si>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</si>
  <si>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</si>
  <si>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</si>
  <si>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</si>
  <si>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</si>
  <si>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</si>
  <si>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</si>
  <si>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</si>
  <si>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</si>
  <si>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</si>
  <si>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</si>
  <si>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</si>
  <si>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</si>
  <si>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</si>
  <si>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</si>
  <si>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</si>
  <si>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</si>
  <si>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</si>
  <si>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</si>
  <si>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</si>
  <si>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</si>
  <si>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</si>
  <si>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</si>
  <si>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</si>
  <si>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</si>
  <si>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</si>
  <si>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</si>
  <si>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</si>
  <si>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</si>
  <si>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</si>
  <si>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</si>
  <si>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</si>
  <si>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</si>
  <si>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</si>
  <si>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</si>
  <si>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</si>
  <si>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</si>
  <si>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</si>
  <si>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</si>
  <si>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</si>
  <si>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</si>
  <si>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</si>
  <si>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</si>
  <si>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</si>
  <si>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</si>
  <si>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</si>
  <si>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</si>
  <si>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</si>
  <si>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</si>
  <si>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</si>
  <si>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</si>
  <si>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</si>
  <si>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</si>
  <si>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</si>
  <si>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</si>
  <si>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</si>
  <si>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</si>
  <si>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</si>
  <si>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</si>
  <si>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</si>
  <si>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</si>
  <si>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</si>
  <si>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</si>
  <si>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</si>
  <si>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</si>
  <si>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</si>
  <si>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</si>
  <si>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</si>
  <si>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</si>
  <si>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</si>
  <si>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</si>
  <si>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</si>
  <si>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</si>
  <si>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</si>
  <si>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</si>
  <si>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</si>
  <si>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</si>
  <si>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</si>
  <si>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</si>
  <si>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</si>
  <si>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</si>
  <si>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</si>
  <si>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</si>
  <si>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</si>
  <si>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</si>
  <si>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</si>
  <si>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</si>
  <si>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</si>
  <si>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</si>
  <si>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</si>
  <si>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</si>
  <si>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</si>
  <si>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</si>
  <si>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</si>
  <si>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</si>
  <si>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</si>
  <si>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</si>
  <si>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</si>
  <si>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</si>
  <si>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</si>
  <si>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</si>
  <si>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</si>
  <si>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</si>
  <si>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</si>
  <si>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</si>
  <si>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</si>
  <si>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</si>
  <si>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</si>
  <si>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</si>
  <si>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</si>
  <si>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</si>
  <si>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</si>
  <si>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</si>
  <si>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</si>
  <si>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</si>
  <si>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</si>
  <si>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</si>
  <si>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</si>
  <si>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</si>
  <si>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</si>
  <si>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</si>
  <si>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</si>
  <si>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</si>
  <si>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</si>
  <si>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</si>
  <si>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</si>
  <si>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</si>
  <si>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</si>
  <si>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</si>
  <si>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</si>
  <si>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</si>
  <si>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</si>
  <si>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</si>
  <si>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</si>
  <si>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</si>
  <si>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</si>
  <si>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</si>
  <si>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</si>
  <si>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</si>
  <si>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</si>
  <si>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</si>
  <si>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</si>
  <si>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</si>
  <si>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</si>
  <si>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</si>
  <si>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</si>
  <si>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</si>
  <si>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</si>
  <si>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</si>
  <si>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</si>
  <si>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</si>
  <si>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</si>
  <si>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</si>
  <si>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</si>
  <si>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</si>
  <si>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</si>
  <si>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</si>
  <si>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</si>
  <si>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</si>
  <si>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</si>
  <si>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</si>
  <si>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</si>
  <si>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</si>
  <si>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</si>
  <si>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</si>
  <si>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</si>
  <si>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</si>
  <si>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</si>
  <si>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</si>
  <si>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</si>
  <si>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</si>
  <si>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</si>
  <si>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</si>
  <si>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</si>
  <si>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</si>
  <si>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</si>
  <si>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</si>
  <si>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</si>
  <si>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</si>
  <si>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</si>
  <si>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</si>
  <si>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</si>
  <si>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</si>
  <si>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</si>
  <si>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</si>
  <si>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</si>
  <si>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</si>
  <si>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</si>
  <si>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</si>
  <si>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</si>
  <si>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</si>
  <si>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</si>
  <si>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</si>
  <si>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</si>
  <si>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</si>
  <si>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</si>
  <si>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</si>
  <si>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</si>
  <si>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</si>
  <si>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</si>
  <si>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</si>
  <si>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</si>
  <si>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</si>
  <si>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</si>
  <si>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</si>
  <si>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</si>
  <si>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</si>
  <si>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</si>
  <si>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</si>
  <si>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</si>
  <si>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</si>
  <si>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</si>
  <si>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</si>
  <si>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</si>
  <si>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</si>
  <si>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</si>
  <si>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</si>
  <si>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</si>
  <si>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</si>
  <si>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</si>
  <si>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</si>
  <si>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</si>
  <si>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</si>
  <si>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</si>
  <si>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</si>
  <si>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</si>
  <si>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</si>
  <si>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</si>
  <si>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</si>
  <si>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</si>
  <si>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</si>
  <si>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</si>
  <si>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</si>
  <si>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</si>
  <si>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</si>
  <si>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</si>
  <si>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</si>
  <si>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</si>
  <si>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</si>
  <si>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</si>
  <si>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</si>
  <si>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</si>
  <si>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</si>
  <si>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</si>
  <si>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</si>
  <si>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</si>
  <si>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</si>
  <si>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</si>
  <si>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</si>
  <si>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</si>
  <si>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</si>
  <si>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</si>
  <si>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</si>
  <si>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</si>
  <si>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</si>
  <si>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</si>
  <si>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</si>
  <si>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</si>
  <si>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</si>
  <si>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</si>
  <si>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</si>
  <si>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</si>
  <si>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</si>
  <si>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</si>
  <si>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</si>
  <si>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</si>
  <si>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</si>
  <si>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</si>
  <si>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</si>
  <si>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</si>
  <si>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</si>
  <si>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</si>
  <si>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</si>
  <si>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</si>
  <si>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</si>
  <si>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</si>
  <si>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</si>
  <si>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</si>
  <si>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</si>
  <si>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</si>
  <si>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</si>
  <si>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</si>
  <si>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</si>
  <si>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</si>
  <si>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</si>
  <si>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</si>
  <si>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</si>
  <si>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</si>
  <si>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</si>
  <si>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</si>
  <si>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</si>
  <si>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</si>
  <si>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</si>
  <si>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</si>
  <si>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</si>
  <si>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</si>
  <si>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</si>
  <si>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</si>
  <si>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</si>
  <si>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</si>
  <si>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</si>
  <si>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</si>
  <si>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</si>
  <si>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</si>
  <si>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</si>
  <si>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</si>
  <si>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</si>
  <si>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</si>
  <si>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</si>
  <si>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</si>
  <si>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</si>
  <si>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</si>
  <si>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</si>
  <si>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</si>
  <si>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</si>
  <si>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</si>
  <si>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</si>
  <si>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</si>
  <si>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</si>
  <si>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</si>
  <si>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</si>
  <si>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</si>
  <si>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</si>
  <si>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</si>
  <si>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</si>
  <si>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</si>
  <si>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</si>
  <si>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</si>
  <si>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</si>
  <si>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</si>
  <si>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</si>
  <si>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</si>
  <si>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</si>
  <si>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</si>
  <si>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</si>
  <si>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</si>
  <si>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</si>
  <si>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</si>
  <si>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</si>
  <si>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</si>
  <si>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</si>
  <si>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</si>
  <si>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</si>
  <si>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</si>
  <si>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</si>
  <si>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</si>
  <si>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</si>
  <si>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</si>
  <si>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</si>
  <si>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</si>
  <si>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</si>
  <si>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</si>
  <si>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</si>
  <si>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</si>
  <si>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</si>
  <si>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</si>
  <si>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</si>
  <si>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</si>
  <si>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</si>
  <si>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</si>
  <si>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</si>
  <si>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</si>
  <si>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</si>
  <si>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</si>
  <si>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</si>
  <si>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</si>
  <si>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</si>
  <si>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</si>
  <si>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</si>
  <si>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</si>
  <si>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</si>
  <si>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</si>
  <si>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</si>
  <si>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</si>
  <si>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</si>
  <si>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</si>
  <si>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</si>
  <si>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</si>
  <si>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</si>
  <si>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</si>
  <si>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</si>
  <si>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</si>
  <si>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</si>
  <si>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</si>
  <si>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</si>
  <si>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</si>
  <si>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</si>
  <si>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</si>
  <si>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</si>
  <si>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</si>
  <si>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</si>
  <si>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</si>
  <si>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</si>
  <si>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</si>
  <si>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</si>
  <si>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</si>
  <si>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</si>
  <si>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</si>
  <si>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</si>
  <si>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</si>
  <si>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</si>
  <si>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</si>
  <si>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</si>
  <si>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</si>
  <si>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</si>
  <si>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</si>
  <si>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</si>
  <si>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</si>
  <si>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</si>
  <si>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</si>
  <si>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</si>
  <si>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</si>
  <si>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</si>
  <si>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</si>
  <si>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</si>
  <si>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</si>
  <si>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</si>
  <si>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</si>
  <si>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</si>
  <si>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</si>
  <si>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</si>
  <si>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</si>
  <si>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</si>
  <si>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</si>
  <si>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</si>
  <si>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</si>
  <si>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</si>
  <si>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</si>
  <si>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</si>
  <si>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</si>
  <si>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</si>
  <si>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</si>
  <si>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</si>
  <si>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</si>
  <si>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</si>
  <si>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</si>
  <si>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</si>
  <si>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</si>
  <si>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</si>
  <si>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</si>
  <si>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</si>
  <si>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</si>
  <si>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</si>
  <si>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</si>
  <si>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</si>
  <si>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</si>
  <si>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</si>
  <si>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</si>
  <si>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</si>
  <si>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</si>
  <si>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</si>
  <si>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</si>
  <si>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</si>
  <si>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</si>
  <si>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</si>
  <si>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</si>
  <si>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</si>
  <si>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</si>
  <si>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</si>
  <si>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</si>
  <si>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</si>
  <si>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</si>
  <si>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</si>
  <si>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</si>
  <si>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</si>
  <si>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</si>
  <si>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</si>
  <si>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</si>
  <si>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</si>
  <si>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</si>
  <si>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</si>
  <si>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</si>
  <si>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</si>
  <si>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</si>
  <si>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</si>
  <si>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</si>
  <si>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</si>
  <si>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</si>
  <si>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</si>
  <si>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</si>
  <si>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</si>
  <si>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</si>
  <si>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</si>
  <si>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</si>
  <si>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</si>
  <si>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</si>
  <si>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</si>
  <si>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</si>
  <si>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</si>
  <si>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</si>
  <si>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</si>
  <si>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</si>
  <si>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</si>
  <si>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</si>
  <si>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</si>
  <si>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</si>
  <si>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</si>
  <si>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</si>
  <si>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</si>
  <si>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</si>
  <si>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</si>
  <si>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</si>
  <si>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</si>
  <si>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</si>
  <si>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</si>
  <si>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</si>
  <si>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</si>
  <si>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</si>
  <si>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</si>
  <si>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</si>
  <si>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</si>
  <si>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</si>
  <si>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</si>
  <si>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</si>
  <si>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</si>
  <si>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</si>
  <si>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</si>
  <si>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</si>
  <si>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</si>
  <si>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</si>
  <si>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</si>
  <si>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</si>
  <si>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</si>
  <si>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</si>
  <si>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</si>
  <si>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</si>
  <si>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</si>
  <si>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</si>
  <si>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</si>
  <si>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</si>
  <si>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</si>
  <si>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</si>
  <si>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</si>
  <si>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</si>
  <si>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</si>
  <si>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</si>
  <si>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</si>
  <si>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</si>
  <si>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</si>
  <si>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</si>
  <si>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</si>
  <si>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</si>
  <si>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</si>
  <si>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</si>
  <si>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</si>
  <si>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</si>
  <si>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</si>
  <si>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</si>
  <si>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</si>
  <si>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</si>
  <si>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</si>
  <si>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</si>
  <si>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</si>
  <si>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</si>
  <si>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</si>
  <si>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</si>
  <si>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</si>
  <si>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</si>
  <si>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</si>
  <si>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</si>
  <si>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</si>
  <si>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</si>
  <si>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</si>
  <si>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</si>
  <si>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</si>
  <si>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</si>
  <si>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</si>
  <si>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</si>
  <si>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</si>
  <si>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</si>
  <si>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</si>
  <si>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</si>
  <si>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</si>
  <si>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</si>
  <si>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</si>
  <si>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</si>
  <si>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</si>
  <si>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</si>
  <si>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</si>
  <si>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</si>
  <si>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</si>
  <si>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</si>
  <si>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</si>
  <si>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</si>
  <si>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</si>
  <si>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</si>
  <si>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</si>
  <si>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</si>
  <si>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</si>
  <si>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</si>
  <si>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</si>
  <si>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</si>
  <si>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</si>
  <si>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</si>
  <si>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</si>
  <si>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</si>
  <si>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</si>
  <si>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</si>
  <si>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</si>
  <si>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</si>
  <si>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</si>
  <si>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</si>
  <si>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</si>
  <si>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</si>
  <si>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</si>
  <si>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</si>
  <si>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</si>
  <si>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</si>
  <si>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</si>
  <si>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</si>
  <si>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</si>
  <si>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</si>
  <si>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</si>
  <si>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</si>
  <si>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</si>
  <si>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</si>
  <si>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</si>
  <si>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</si>
  <si>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</si>
  <si>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</si>
  <si>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</si>
  <si>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</si>
  <si>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</si>
  <si>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</si>
  <si>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</si>
  <si>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</si>
  <si>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</si>
  <si>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</si>
  <si>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</si>
  <si>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</si>
  <si>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</si>
  <si>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</si>
  <si>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</si>
  <si>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</si>
  <si>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</si>
  <si>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</si>
  <si>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</si>
  <si>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</si>
  <si>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</si>
  <si>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</si>
  <si>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</si>
  <si>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</si>
  <si>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</si>
  <si>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</si>
  <si>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</si>
  <si>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</si>
  <si>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</si>
  <si>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</si>
  <si>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</si>
  <si>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</si>
  <si>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</si>
  <si>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</si>
  <si>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</si>
  <si>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</si>
  <si>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</si>
  <si>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</si>
  <si>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</si>
  <si>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</si>
  <si>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</si>
  <si>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</si>
  <si>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</si>
  <si>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</si>
  <si>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</si>
  <si>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</si>
  <si>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</si>
  <si>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</si>
  <si>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</si>
  <si>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</si>
  <si>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</si>
  <si>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</si>
  <si>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</si>
  <si>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</si>
  <si>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</si>
  <si>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</si>
  <si>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</si>
  <si>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</si>
  <si>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</si>
  <si>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</si>
  <si>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</si>
  <si>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</si>
  <si>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</si>
  <si>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</si>
  <si>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</si>
  <si>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</si>
  <si>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</si>
  <si>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</si>
  <si>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</si>
  <si>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</si>
  <si>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</si>
  <si>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</si>
  <si>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</si>
  <si>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</si>
  <si>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Money Gained</t>
  </si>
  <si>
    <t>Money Gained Per product</t>
  </si>
  <si>
    <t>Total Gain</t>
  </si>
  <si>
    <t>Money Gained per shelf</t>
  </si>
  <si>
    <t>shows z(I,k), change accordingly</t>
  </si>
  <si>
    <t>Look to rule, will change this much</t>
  </si>
  <si>
    <t>looks correct, but indirect accesses need to be check</t>
  </si>
  <si>
    <t>change done</t>
  </si>
  <si>
    <t>7-New Constrain: Products 3 and 8 must be in the same shelf if assorted</t>
  </si>
  <si>
    <t>Parameters:</t>
  </si>
  <si>
    <t>Dif*pii</t>
  </si>
  <si>
    <t>X(i,1,k)</t>
  </si>
  <si>
    <t>X(i,2,k)</t>
  </si>
  <si>
    <t>X(i,3,k)</t>
  </si>
  <si>
    <t>X(i,4,k)</t>
  </si>
  <si>
    <t>HELPER DATA DERIIVED FROM DECISION VARIABLES AND PARAMETERS</t>
  </si>
  <si>
    <t>(f(i,k)^Bi)=j from 1 to 4 sum of (j^Bi)*X(i,j,k)</t>
  </si>
  <si>
    <t>depth of product i</t>
  </si>
  <si>
    <t>di : coefficient for demand rate for product i per unit width and one facing</t>
  </si>
  <si>
    <t>Bi : space elasticity factor for product i</t>
  </si>
  <si>
    <t>lower bound on the shelf inv</t>
  </si>
  <si>
    <t>upper bound on the shelf inv</t>
  </si>
  <si>
    <t>X(i,j,k)</t>
  </si>
  <si>
    <t>3 and 8</t>
  </si>
  <si>
    <t>2 and 5</t>
  </si>
  <si>
    <t>16 and 20</t>
  </si>
  <si>
    <t>92 and 45</t>
  </si>
  <si>
    <t>39 and 58</t>
  </si>
  <si>
    <t>74 and 88</t>
  </si>
  <si>
    <t>99 and 47</t>
  </si>
  <si>
    <t>41 and 36</t>
  </si>
  <si>
    <t>27 and 51</t>
  </si>
  <si>
    <t>93 and 88</t>
  </si>
  <si>
    <t>100 and 22</t>
  </si>
  <si>
    <t>41 and 99</t>
  </si>
  <si>
    <t>12 and 1</t>
  </si>
  <si>
    <t>15 and 9</t>
  </si>
  <si>
    <t>30 and 35</t>
  </si>
  <si>
    <t>41 and 47</t>
  </si>
  <si>
    <t>57 and 64</t>
  </si>
  <si>
    <t>71 and 82</t>
  </si>
  <si>
    <t>96 and 89</t>
  </si>
  <si>
    <t>55 and 78</t>
  </si>
  <si>
    <t>wk : width of shelf k</t>
  </si>
  <si>
    <t>Depth of shelves</t>
  </si>
  <si>
    <t>gama k : Shelf k’s effect 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</si>
</sst>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indent="5"/>
    </xf>
    <xf numFmtId="1" fontId="2" fillId="0" borderId="0" xfId="1" applyNumberFormat="1" applyFont="1"/>
    <xf numFmtId="0" fontId="4" fillId="0" borderId="0" xfId="0" applyFont="1" applyAlignment="1">
      <alignment horizontal="left" vertical="center" wrapText="1" indent="5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7" xfId="0" applyBorder="1"/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9" xfId="0" applyNumberFormat="1" applyBorder="1"/>
    <xf numFmtId="1" fontId="0" fillId="0" borderId="11" xfId="0" applyNumberForma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1" fontId="2" fillId="0" borderId="0" xfId="0" applyNumberFormat="1" applyFont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116" name="OpenSolver1">
          <a:extLst>
            <a:ext uri="{FF2B5EF4-FFF2-40B4-BE49-F238E27FC236}">
              <a16:creationId xmlns:a16="http://schemas.microsoft.com/office/drawing/2014/main" id="{57EABE5E-F67C-427B-8C26-FB743A1D4BC5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117" name="OpenSolver2">
          <a:extLst>
            <a:ext uri="{FF2B5EF4-FFF2-40B4-BE49-F238E27FC236}">
              <a16:creationId xmlns:a16="http://schemas.microsoft.com/office/drawing/2014/main" id="{70A0A76B-2053-4CFC-93CA-58D8E6E67829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118" name="OpenSolver3">
          <a:extLst>
            <a:ext uri="{FF2B5EF4-FFF2-40B4-BE49-F238E27FC236}">
              <a16:creationId xmlns:a16="http://schemas.microsoft.com/office/drawing/2014/main" id="{1E5A1422-60DE-4C22-A860-2E98565FF365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119" name="OpenSolver4">
          <a:extLst>
            <a:ext uri="{FF2B5EF4-FFF2-40B4-BE49-F238E27FC236}">
              <a16:creationId xmlns:a16="http://schemas.microsoft.com/office/drawing/2014/main" id="{D85E3722-A028-45B0-ACCD-9787D5CDBAC0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120" name="OpenSolver5">
          <a:extLst>
            <a:ext uri="{FF2B5EF4-FFF2-40B4-BE49-F238E27FC236}">
              <a16:creationId xmlns:a16="http://schemas.microsoft.com/office/drawing/2014/main" id="{AA36B616-5F45-468D-8B3B-150855E37F27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121" name="OpenSolver6">
          <a:extLst>
            <a:ext uri="{FF2B5EF4-FFF2-40B4-BE49-F238E27FC236}">
              <a16:creationId xmlns:a16="http://schemas.microsoft.com/office/drawing/2014/main" id="{842898C0-41BE-440F-95E9-847007B68EF3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122" name="OpenSolver7">
          <a:extLst>
            <a:ext uri="{FF2B5EF4-FFF2-40B4-BE49-F238E27FC236}">
              <a16:creationId xmlns:a16="http://schemas.microsoft.com/office/drawing/2014/main" id="{D6D040DE-1D8C-4A86-90DD-F069C20233CC}"/>
            </a:ext>
          </a:extLst>
        </xdr:cNvPr>
        <xdr:cNvSpPr/>
      </xdr:nvSpPr>
      <xdr:spPr>
        <a:xfrm>
          <a:off x="1485900" y="12329160"/>
          <a:ext cx="75438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123" name="OpenSolver8">
          <a:extLst>
            <a:ext uri="{FF2B5EF4-FFF2-40B4-BE49-F238E27FC236}">
              <a16:creationId xmlns:a16="http://schemas.microsoft.com/office/drawing/2014/main" id="{3FF2B8AB-DEA8-49C2-88EF-833E6DBBDDDD}"/>
            </a:ext>
          </a:extLst>
        </xdr:cNvPr>
        <xdr:cNvSpPr/>
      </xdr:nvSpPr>
      <xdr:spPr>
        <a:xfrm>
          <a:off x="310896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24" name="OpenSolver9">
          <a:extLst>
            <a:ext uri="{FF2B5EF4-FFF2-40B4-BE49-F238E27FC236}">
              <a16:creationId xmlns:a16="http://schemas.microsoft.com/office/drawing/2014/main" id="{6C160358-BE09-4677-B5F0-C58D5C8C7BD2}"/>
            </a:ext>
          </a:extLst>
        </xdr:cNvPr>
        <xdr:cNvCxnSpPr>
          <a:stCxn id="122" idx="3"/>
          <a:endCxn id="123" idx="1"/>
        </xdr:cNvCxnSpPr>
      </xdr:nvCxnSpPr>
      <xdr:spPr>
        <a:xfrm>
          <a:off x="224028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25" name="OpenSolver10">
          <a:extLst>
            <a:ext uri="{FF2B5EF4-FFF2-40B4-BE49-F238E27FC236}">
              <a16:creationId xmlns:a16="http://schemas.microsoft.com/office/drawing/2014/main" id="{B3283237-4E18-4B31-988D-1883C39FC105}"/>
            </a:ext>
          </a:extLst>
        </xdr:cNvPr>
        <xdr:cNvSpPr/>
      </xdr:nvSpPr>
      <xdr:spPr>
        <a:xfrm>
          <a:off x="248412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6" name="OpenSolver11">
          <a:extLst>
            <a:ext uri="{FF2B5EF4-FFF2-40B4-BE49-F238E27FC236}">
              <a16:creationId xmlns:a16="http://schemas.microsoft.com/office/drawing/2014/main" id="{20484480-4D30-4251-9EDB-114BE4A9EA56}"/>
            </a:ext>
          </a:extLst>
        </xdr:cNvPr>
        <xdr:cNvSpPr/>
      </xdr:nvSpPr>
      <xdr:spPr>
        <a:xfrm>
          <a:off x="5105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27" name="OpenSolver12">
          <a:extLst>
            <a:ext uri="{FF2B5EF4-FFF2-40B4-BE49-F238E27FC236}">
              <a16:creationId xmlns:a16="http://schemas.microsoft.com/office/drawing/2014/main" id="{45A199A9-2E10-4E1E-A06A-12CA572C03E3}"/>
            </a:ext>
          </a:extLst>
        </xdr:cNvPr>
        <xdr:cNvSpPr/>
      </xdr:nvSpPr>
      <xdr:spPr>
        <a:xfrm>
          <a:off x="65532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28" name="OpenSolver13">
          <a:extLst>
            <a:ext uri="{FF2B5EF4-FFF2-40B4-BE49-F238E27FC236}">
              <a16:creationId xmlns:a16="http://schemas.microsoft.com/office/drawing/2014/main" id="{3B19728B-5717-4A2A-8225-A150B20C10BD}"/>
            </a:ext>
          </a:extLst>
        </xdr:cNvPr>
        <xdr:cNvCxnSpPr>
          <a:stCxn id="126" idx="3"/>
          <a:endCxn id="127" idx="1"/>
        </xdr:cNvCxnSpPr>
      </xdr:nvCxnSpPr>
      <xdr:spPr>
        <a:xfrm>
          <a:off x="572262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29" name="OpenSolver14">
          <a:extLst>
            <a:ext uri="{FF2B5EF4-FFF2-40B4-BE49-F238E27FC236}">
              <a16:creationId xmlns:a16="http://schemas.microsoft.com/office/drawing/2014/main" id="{526819B7-D602-43A6-A018-36AD7BCF58B1}"/>
            </a:ext>
          </a:extLst>
        </xdr:cNvPr>
        <xdr:cNvSpPr/>
      </xdr:nvSpPr>
      <xdr:spPr>
        <a:xfrm>
          <a:off x="594741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30" name="OpenSolver15">
          <a:extLst>
            <a:ext uri="{FF2B5EF4-FFF2-40B4-BE49-F238E27FC236}">
              <a16:creationId xmlns:a16="http://schemas.microsoft.com/office/drawing/2014/main" id="{C4040F08-CFE8-453A-8464-9CA15A6917CB}"/>
            </a:ext>
          </a:extLst>
        </xdr:cNvPr>
        <xdr:cNvSpPr/>
      </xdr:nvSpPr>
      <xdr:spPr>
        <a:xfrm>
          <a:off x="840486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31" name="OpenSolver16">
          <a:extLst>
            <a:ext uri="{FF2B5EF4-FFF2-40B4-BE49-F238E27FC236}">
              <a16:creationId xmlns:a16="http://schemas.microsoft.com/office/drawing/2014/main" id="{E26A544E-B8CB-4AB0-B8BC-FC3AACE6DA6A}"/>
            </a:ext>
          </a:extLst>
        </xdr:cNvPr>
        <xdr:cNvSpPr/>
      </xdr:nvSpPr>
      <xdr:spPr>
        <a:xfrm>
          <a:off x="9639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32" name="OpenSolver17">
          <a:extLst>
            <a:ext uri="{FF2B5EF4-FFF2-40B4-BE49-F238E27FC236}">
              <a16:creationId xmlns:a16="http://schemas.microsoft.com/office/drawing/2014/main" id="{DB9F0528-F23C-4230-8745-C079A1D5077D}"/>
            </a:ext>
          </a:extLst>
        </xdr:cNvPr>
        <xdr:cNvCxnSpPr>
          <a:stCxn id="130" idx="3"/>
          <a:endCxn id="131" idx="1"/>
        </xdr:cNvCxnSpPr>
      </xdr:nvCxnSpPr>
      <xdr:spPr>
        <a:xfrm>
          <a:off x="902208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33" name="OpenSolver18">
          <a:extLst>
            <a:ext uri="{FF2B5EF4-FFF2-40B4-BE49-F238E27FC236}">
              <a16:creationId xmlns:a16="http://schemas.microsoft.com/office/drawing/2014/main" id="{122E5712-9D30-4B3F-AE85-C650CEFF8B2B}"/>
            </a:ext>
          </a:extLst>
        </xdr:cNvPr>
        <xdr:cNvSpPr/>
      </xdr:nvSpPr>
      <xdr:spPr>
        <a:xfrm>
          <a:off x="914019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0</xdr:rowOff>
    </xdr:to>
    <xdr:sp macro="" textlink="">
      <xdr:nvSpPr>
        <xdr:cNvPr id="134" name="OpenSolver19">
          <a:extLst>
            <a:ext uri="{FF2B5EF4-FFF2-40B4-BE49-F238E27FC236}">
              <a16:creationId xmlns:a16="http://schemas.microsoft.com/office/drawing/2014/main" id="{5E32359D-FB37-423B-A4F5-E1343A47B7F6}"/>
            </a:ext>
          </a:extLst>
        </xdr:cNvPr>
        <xdr:cNvSpPr/>
      </xdr:nvSpPr>
      <xdr:spPr>
        <a:xfrm>
          <a:off x="11551920" y="12329160"/>
          <a:ext cx="617219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0</xdr:rowOff>
    </xdr:to>
    <xdr:sp macro="" textlink="">
      <xdr:nvSpPr>
        <xdr:cNvPr id="135" name="OpenSolver20">
          <a:extLst>
            <a:ext uri="{FF2B5EF4-FFF2-40B4-BE49-F238E27FC236}">
              <a16:creationId xmlns:a16="http://schemas.microsoft.com/office/drawing/2014/main" id="{D2ABE7B7-0876-4643-80D8-1E0A0D635241}"/>
            </a:ext>
          </a:extLst>
        </xdr:cNvPr>
        <xdr:cNvSpPr/>
      </xdr:nvSpPr>
      <xdr:spPr>
        <a:xfrm>
          <a:off x="12778740" y="12329160"/>
          <a:ext cx="617221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136" name="OpenSolver21">
          <a:extLst>
            <a:ext uri="{FF2B5EF4-FFF2-40B4-BE49-F238E27FC236}">
              <a16:creationId xmlns:a16="http://schemas.microsoft.com/office/drawing/2014/main" id="{1C83DE93-F81D-43F8-9854-7F507BCF65D5}"/>
            </a:ext>
          </a:extLst>
        </xdr:cNvPr>
        <xdr:cNvCxnSpPr>
          <a:stCxn id="134" idx="3"/>
          <a:endCxn id="135" idx="1"/>
        </xdr:cNvCxnSpPr>
      </xdr:nvCxnSpPr>
      <xdr:spPr>
        <a:xfrm>
          <a:off x="12169139" y="12832080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137" name="OpenSolver22">
          <a:extLst>
            <a:ext uri="{FF2B5EF4-FFF2-40B4-BE49-F238E27FC236}">
              <a16:creationId xmlns:a16="http://schemas.microsoft.com/office/drawing/2014/main" id="{F76A101C-BD0C-413F-BFC7-BB805D843F98}"/>
            </a:ext>
          </a:extLst>
        </xdr:cNvPr>
        <xdr:cNvSpPr/>
      </xdr:nvSpPr>
      <xdr:spPr>
        <a:xfrm>
          <a:off x="1228344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66</xdr:row>
      <xdr:rowOff>0</xdr:rowOff>
    </xdr:to>
    <xdr:sp macro="" textlink="">
      <xdr:nvSpPr>
        <xdr:cNvPr id="138" name="OpenSolver23">
          <a:extLst>
            <a:ext uri="{FF2B5EF4-FFF2-40B4-BE49-F238E27FC236}">
              <a16:creationId xmlns:a16="http://schemas.microsoft.com/office/drawing/2014/main" id="{D878E15E-D87E-49FA-872E-C00369BF8F0A}"/>
            </a:ext>
          </a:extLst>
        </xdr:cNvPr>
        <xdr:cNvSpPr/>
      </xdr:nvSpPr>
      <xdr:spPr>
        <a:xfrm>
          <a:off x="14622780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66</xdr:row>
      <xdr:rowOff>0</xdr:rowOff>
    </xdr:to>
    <xdr:sp macro="" textlink="">
      <xdr:nvSpPr>
        <xdr:cNvPr id="139" name="OpenSolver24">
          <a:extLst>
            <a:ext uri="{FF2B5EF4-FFF2-40B4-BE49-F238E27FC236}">
              <a16:creationId xmlns:a16="http://schemas.microsoft.com/office/drawing/2014/main" id="{911CFE64-80BA-40D4-B32C-BB7EF2D6BF7E}"/>
            </a:ext>
          </a:extLst>
        </xdr:cNvPr>
        <xdr:cNvSpPr/>
      </xdr:nvSpPr>
      <xdr:spPr>
        <a:xfrm>
          <a:off x="15925800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63</xdr:row>
      <xdr:rowOff>198120</xdr:rowOff>
    </xdr:from>
    <xdr:to>
      <xdr:col>24</xdr:col>
      <xdr:colOff>0</xdr:colOff>
      <xdr:row>63</xdr:row>
      <xdr:rowOff>198120</xdr:rowOff>
    </xdr:to>
    <xdr:cxnSp macro="">
      <xdr:nvCxnSpPr>
        <xdr:cNvPr id="140" name="OpenSolver25">
          <a:extLst>
            <a:ext uri="{FF2B5EF4-FFF2-40B4-BE49-F238E27FC236}">
              <a16:creationId xmlns:a16="http://schemas.microsoft.com/office/drawing/2014/main" id="{59A316AC-21DB-426A-93C5-B990A6FBE1B7}"/>
            </a:ext>
          </a:extLst>
        </xdr:cNvPr>
        <xdr:cNvCxnSpPr>
          <a:stCxn id="138" idx="3"/>
          <a:endCxn id="139" idx="1"/>
        </xdr:cNvCxnSpPr>
      </xdr:nvCxnSpPr>
      <xdr:spPr>
        <a:xfrm>
          <a:off x="15240000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119380</xdr:rowOff>
    </xdr:to>
    <xdr:sp macro="" textlink="">
      <xdr:nvSpPr>
        <xdr:cNvPr id="141" name="OpenSolver26">
          <a:extLst>
            <a:ext uri="{FF2B5EF4-FFF2-40B4-BE49-F238E27FC236}">
              <a16:creationId xmlns:a16="http://schemas.microsoft.com/office/drawing/2014/main" id="{3264406F-606B-4D9F-9A0B-A160963AAE87}"/>
            </a:ext>
          </a:extLst>
        </xdr:cNvPr>
        <xdr:cNvSpPr/>
      </xdr:nvSpPr>
      <xdr:spPr>
        <a:xfrm>
          <a:off x="15392400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142" name="OpenSolver27">
          <a:extLst>
            <a:ext uri="{FF2B5EF4-FFF2-40B4-BE49-F238E27FC236}">
              <a16:creationId xmlns:a16="http://schemas.microsoft.com/office/drawing/2014/main" id="{284D1BCD-9E95-4CAC-A3FF-C0E2882A0E3C}"/>
            </a:ext>
          </a:extLst>
        </xdr:cNvPr>
        <xdr:cNvSpPr/>
      </xdr:nvSpPr>
      <xdr:spPr>
        <a:xfrm>
          <a:off x="17777461" y="12329160"/>
          <a:ext cx="3131819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143" name="OpenSolver28">
          <a:extLst>
            <a:ext uri="{FF2B5EF4-FFF2-40B4-BE49-F238E27FC236}">
              <a16:creationId xmlns:a16="http://schemas.microsoft.com/office/drawing/2014/main" id="{326AFAC7-063F-4176-BD11-EC59CB7EC0BF}"/>
            </a:ext>
          </a:extLst>
        </xdr:cNvPr>
        <xdr:cNvSpPr/>
      </xdr:nvSpPr>
      <xdr:spPr>
        <a:xfrm>
          <a:off x="21526500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144" name="OpenSolver29">
          <a:extLst>
            <a:ext uri="{FF2B5EF4-FFF2-40B4-BE49-F238E27FC236}">
              <a16:creationId xmlns:a16="http://schemas.microsoft.com/office/drawing/2014/main" id="{3408EDC3-7B30-45DE-9DD1-5F23BA92CD71}"/>
            </a:ext>
          </a:extLst>
        </xdr:cNvPr>
        <xdr:cNvCxnSpPr>
          <a:stCxn id="142" idx="3"/>
          <a:endCxn id="143" idx="1"/>
        </xdr:cNvCxnSpPr>
      </xdr:nvCxnSpPr>
      <xdr:spPr>
        <a:xfrm>
          <a:off x="20909280" y="1263396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177800</xdr:rowOff>
    </xdr:from>
    <xdr:to>
      <xdr:col>32</xdr:col>
      <xdr:colOff>499111</xdr:colOff>
      <xdr:row>64</xdr:row>
      <xdr:rowOff>20320</xdr:rowOff>
    </xdr:to>
    <xdr:sp macro="" textlink="">
      <xdr:nvSpPr>
        <xdr:cNvPr id="145" name="OpenSolver30">
          <a:extLst>
            <a:ext uri="{FF2B5EF4-FFF2-40B4-BE49-F238E27FC236}">
              <a16:creationId xmlns:a16="http://schemas.microsoft.com/office/drawing/2014/main" id="{CFB0580B-8E7E-42B9-B101-07A9CB94C433}"/>
            </a:ext>
          </a:extLst>
        </xdr:cNvPr>
        <xdr:cNvSpPr/>
      </xdr:nvSpPr>
      <xdr:spPr>
        <a:xfrm>
          <a:off x="21027391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146" name="OpenSolver31">
          <a:extLst>
            <a:ext uri="{FF2B5EF4-FFF2-40B4-BE49-F238E27FC236}">
              <a16:creationId xmlns:a16="http://schemas.microsoft.com/office/drawing/2014/main" id="{B055900D-6F99-4BEF-92A2-033890715139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147" name="OpenSolver32">
          <a:extLst>
            <a:ext uri="{FF2B5EF4-FFF2-40B4-BE49-F238E27FC236}">
              <a16:creationId xmlns:a16="http://schemas.microsoft.com/office/drawing/2014/main" id="{9E6249E4-3553-4CA0-99C8-0E029891818B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148" name="OpenSolver33">
          <a:extLst>
            <a:ext uri="{FF2B5EF4-FFF2-40B4-BE49-F238E27FC236}">
              <a16:creationId xmlns:a16="http://schemas.microsoft.com/office/drawing/2014/main" id="{ED08C0DA-1364-477A-ADA1-72DB90CF6574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149" name="OpenSolver34">
          <a:extLst>
            <a:ext uri="{FF2B5EF4-FFF2-40B4-BE49-F238E27FC236}">
              <a16:creationId xmlns:a16="http://schemas.microsoft.com/office/drawing/2014/main" id="{D29AF873-25A8-4EA4-B586-57CD65F0E6E5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150" name="OpenSolver35">
          <a:extLst>
            <a:ext uri="{FF2B5EF4-FFF2-40B4-BE49-F238E27FC236}">
              <a16:creationId xmlns:a16="http://schemas.microsoft.com/office/drawing/2014/main" id="{DD2F9906-84B8-479E-8455-6A94D1CD31A4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151" name="OpenSolver36">
          <a:extLst>
            <a:ext uri="{FF2B5EF4-FFF2-40B4-BE49-F238E27FC236}">
              <a16:creationId xmlns:a16="http://schemas.microsoft.com/office/drawing/2014/main" id="{DBC2F5A1-5E72-4C17-A7AA-E0E18AE9B103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152" name="OpenSolver37">
          <a:extLst>
            <a:ext uri="{FF2B5EF4-FFF2-40B4-BE49-F238E27FC236}">
              <a16:creationId xmlns:a16="http://schemas.microsoft.com/office/drawing/2014/main" id="{D4174AA3-FE64-4194-B1CE-E72A6C9DB652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153" name="OpenSolver38">
          <a:extLst>
            <a:ext uri="{FF2B5EF4-FFF2-40B4-BE49-F238E27FC236}">
              <a16:creationId xmlns:a16="http://schemas.microsoft.com/office/drawing/2014/main" id="{8C69F414-0D08-4041-8DC6-FD04C4FC7409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</xdr:row>
      <xdr:rowOff>0</xdr:rowOff>
    </xdr:from>
    <xdr:to>
      <xdr:col>42</xdr:col>
      <xdr:colOff>0</xdr:colOff>
      <xdr:row>101</xdr:row>
      <xdr:rowOff>182879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9582D9D7-29D9-4590-B0FC-D2EB3AF7B7F6}"/>
            </a:ext>
          </a:extLst>
        </xdr:cNvPr>
        <xdr:cNvSpPr/>
      </xdr:nvSpPr>
      <xdr:spPr>
        <a:xfrm>
          <a:off x="23439120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1</xdr:colOff>
      <xdr:row>2</xdr:row>
      <xdr:rowOff>0</xdr:rowOff>
    </xdr:from>
    <xdr:to>
      <xdr:col>49</xdr:col>
      <xdr:colOff>1</xdr:colOff>
      <xdr:row>101</xdr:row>
      <xdr:rowOff>182879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62F8DF18-6717-45A7-AD64-41DEBEAF8A99}"/>
            </a:ext>
          </a:extLst>
        </xdr:cNvPr>
        <xdr:cNvSpPr/>
      </xdr:nvSpPr>
      <xdr:spPr>
        <a:xfrm>
          <a:off x="277063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1</xdr:colOff>
      <xdr:row>2</xdr:row>
      <xdr:rowOff>0</xdr:rowOff>
    </xdr:from>
    <xdr:to>
      <xdr:col>56</xdr:col>
      <xdr:colOff>1</xdr:colOff>
      <xdr:row>101</xdr:row>
      <xdr:rowOff>182879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090821AB-3132-4959-BF79-194D96DEDA7F}"/>
            </a:ext>
          </a:extLst>
        </xdr:cNvPr>
        <xdr:cNvSpPr/>
      </xdr:nvSpPr>
      <xdr:spPr>
        <a:xfrm>
          <a:off x="319735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1</xdr:colOff>
      <xdr:row>2</xdr:row>
      <xdr:rowOff>0</xdr:rowOff>
    </xdr:from>
    <xdr:to>
      <xdr:col>63</xdr:col>
      <xdr:colOff>1</xdr:colOff>
      <xdr:row>101</xdr:row>
      <xdr:rowOff>182879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5A685348-046B-4A17-A14A-CD6697616E54}"/>
            </a:ext>
          </a:extLst>
        </xdr:cNvPr>
        <xdr:cNvSpPr/>
      </xdr:nvSpPr>
      <xdr:spPr>
        <a:xfrm>
          <a:off x="362407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33</xdr:col>
      <xdr:colOff>0</xdr:colOff>
      <xdr:row>111</xdr:row>
      <xdr:rowOff>182879</xdr:rowOff>
    </xdr:from>
    <xdr:to>
      <xdr:col>34</xdr:col>
      <xdr:colOff>0</xdr:colOff>
      <xdr:row>112</xdr:row>
      <xdr:rowOff>190499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76EBAEE4-B5D0-4472-9EFE-FF2D539FBAC3}"/>
            </a:ext>
          </a:extLst>
        </xdr:cNvPr>
        <xdr:cNvSpPr/>
      </xdr:nvSpPr>
      <xdr:spPr>
        <a:xfrm>
          <a:off x="20162520" y="20627339"/>
          <a:ext cx="14478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601980</xdr:colOff>
      <xdr:row>111</xdr:row>
      <xdr:rowOff>104140</xdr:rowOff>
    </xdr:from>
    <xdr:to>
      <xdr:col>33</xdr:col>
      <xdr:colOff>241615</xdr:colOff>
      <xdr:row>112</xdr:row>
      <xdr:rowOff>48260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4D16BA7B-E553-47FB-94C9-B068BDF4FF57}"/>
            </a:ext>
          </a:extLst>
        </xdr:cNvPr>
        <xdr:cNvSpPr/>
      </xdr:nvSpPr>
      <xdr:spPr>
        <a:xfrm>
          <a:off x="20154900" y="205486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148</xdr:row>
      <xdr:rowOff>1</xdr:rowOff>
    </xdr:from>
    <xdr:to>
      <xdr:col>3</xdr:col>
      <xdr:colOff>0</xdr:colOff>
      <xdr:row>248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19866A5F-4896-4EA1-A091-72B1FF96523C}"/>
            </a:ext>
          </a:extLst>
        </xdr:cNvPr>
        <xdr:cNvSpPr/>
      </xdr:nvSpPr>
      <xdr:spPr>
        <a:xfrm>
          <a:off x="121920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148</xdr:row>
      <xdr:rowOff>1</xdr:rowOff>
    </xdr:from>
    <xdr:to>
      <xdr:col>5</xdr:col>
      <xdr:colOff>0</xdr:colOff>
      <xdr:row>248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8F8068DD-F635-4CBD-AD1E-FDEB4AB13E4A}"/>
            </a:ext>
          </a:extLst>
        </xdr:cNvPr>
        <xdr:cNvSpPr/>
      </xdr:nvSpPr>
      <xdr:spPr>
        <a:xfrm>
          <a:off x="2438400" y="27249121"/>
          <a:ext cx="65532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198</xdr:row>
      <xdr:rowOff>1</xdr:rowOff>
    </xdr:from>
    <xdr:to>
      <xdr:col>4</xdr:col>
      <xdr:colOff>0</xdr:colOff>
      <xdr:row>198</xdr:row>
      <xdr:rowOff>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5CB018DA-C8A2-409A-AA5B-4FE9363C0FC1}"/>
            </a:ext>
          </a:extLst>
        </xdr:cNvPr>
        <xdr:cNvCxnSpPr>
          <a:stCxn id="8" idx="3"/>
          <a:endCxn id="9" idx="1"/>
        </xdr:cNvCxnSpPr>
      </xdr:nvCxnSpPr>
      <xdr:spPr>
        <a:xfrm>
          <a:off x="1828800" y="37155121"/>
          <a:ext cx="6096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197</xdr:row>
      <xdr:rowOff>71121</xdr:rowOff>
    </xdr:from>
    <xdr:to>
      <xdr:col>3</xdr:col>
      <xdr:colOff>495300</xdr:colOff>
      <xdr:row>198</xdr:row>
      <xdr:rowOff>127001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29D2298F-9EE2-47C3-95DA-F8317703564D}"/>
            </a:ext>
          </a:extLst>
        </xdr:cNvPr>
        <xdr:cNvSpPr/>
      </xdr:nvSpPr>
      <xdr:spPr>
        <a:xfrm>
          <a:off x="194310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148</xdr:row>
      <xdr:rowOff>1</xdr:rowOff>
    </xdr:from>
    <xdr:to>
      <xdr:col>8</xdr:col>
      <xdr:colOff>0</xdr:colOff>
      <xdr:row>248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3795B54B-1A8D-4704-BA15-28C21AB9D122}"/>
            </a:ext>
          </a:extLst>
        </xdr:cNvPr>
        <xdr:cNvSpPr/>
      </xdr:nvSpPr>
      <xdr:spPr>
        <a:xfrm>
          <a:off x="4312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148</xdr:row>
      <xdr:rowOff>1</xdr:rowOff>
    </xdr:from>
    <xdr:to>
      <xdr:col>10</xdr:col>
      <xdr:colOff>0</xdr:colOff>
      <xdr:row>248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656E6042-FC3D-4853-A656-4A57E74D1274}"/>
            </a:ext>
          </a:extLst>
        </xdr:cNvPr>
        <xdr:cNvSpPr/>
      </xdr:nvSpPr>
      <xdr:spPr>
        <a:xfrm>
          <a:off x="5532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198</xdr:row>
      <xdr:rowOff>1</xdr:rowOff>
    </xdr:from>
    <xdr:to>
      <xdr:col>9</xdr:col>
      <xdr:colOff>0</xdr:colOff>
      <xdr:row>198</xdr:row>
      <xdr:rowOff>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A0C19392-0B5D-45FD-97BC-29AB6591CE94}"/>
            </a:ext>
          </a:extLst>
        </xdr:cNvPr>
        <xdr:cNvCxnSpPr>
          <a:stCxn id="12" idx="3"/>
          <a:endCxn id="13" idx="1"/>
        </xdr:cNvCxnSpPr>
      </xdr:nvCxnSpPr>
      <xdr:spPr>
        <a:xfrm>
          <a:off x="4922520" y="37155121"/>
          <a:ext cx="60960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197</xdr:row>
      <xdr:rowOff>71121</xdr:rowOff>
    </xdr:from>
    <xdr:to>
      <xdr:col>8</xdr:col>
      <xdr:colOff>495300</xdr:colOff>
      <xdr:row>198</xdr:row>
      <xdr:rowOff>127001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F5E62712-4442-4AC7-89E2-1F22EE6122C2}"/>
            </a:ext>
          </a:extLst>
        </xdr:cNvPr>
        <xdr:cNvSpPr/>
      </xdr:nvSpPr>
      <xdr:spPr>
        <a:xfrm>
          <a:off x="5036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148</xdr:row>
      <xdr:rowOff>1</xdr:rowOff>
    </xdr:from>
    <xdr:to>
      <xdr:col>13</xdr:col>
      <xdr:colOff>0</xdr:colOff>
      <xdr:row>248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1EDE81DA-1B3F-42F2-886F-8981B9F009DF}"/>
            </a:ext>
          </a:extLst>
        </xdr:cNvPr>
        <xdr:cNvSpPr/>
      </xdr:nvSpPr>
      <xdr:spPr>
        <a:xfrm>
          <a:off x="7360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148</xdr:row>
      <xdr:rowOff>1</xdr:rowOff>
    </xdr:from>
    <xdr:to>
      <xdr:col>15</xdr:col>
      <xdr:colOff>0</xdr:colOff>
      <xdr:row>248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5D614B8E-FF21-454B-B712-52376A2392ED}"/>
            </a:ext>
          </a:extLst>
        </xdr:cNvPr>
        <xdr:cNvSpPr/>
      </xdr:nvSpPr>
      <xdr:spPr>
        <a:xfrm>
          <a:off x="8580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198</xdr:row>
      <xdr:rowOff>1</xdr:rowOff>
    </xdr:from>
    <xdr:to>
      <xdr:col>14</xdr:col>
      <xdr:colOff>0</xdr:colOff>
      <xdr:row>198</xdr:row>
      <xdr:rowOff>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1CEA8EDD-DA14-4D35-8EB9-E1921D3CE3A1}"/>
            </a:ext>
          </a:extLst>
        </xdr:cNvPr>
        <xdr:cNvCxnSpPr>
          <a:stCxn id="16" idx="3"/>
          <a:endCxn id="17" idx="1"/>
        </xdr:cNvCxnSpPr>
      </xdr:nvCxnSpPr>
      <xdr:spPr>
        <a:xfrm>
          <a:off x="7970520" y="37155121"/>
          <a:ext cx="6096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197</xdr:row>
      <xdr:rowOff>71121</xdr:rowOff>
    </xdr:from>
    <xdr:to>
      <xdr:col>13</xdr:col>
      <xdr:colOff>495300</xdr:colOff>
      <xdr:row>198</xdr:row>
      <xdr:rowOff>127001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9B24E443-E36A-4134-80AC-D38B48129F7D}"/>
            </a:ext>
          </a:extLst>
        </xdr:cNvPr>
        <xdr:cNvSpPr/>
      </xdr:nvSpPr>
      <xdr:spPr>
        <a:xfrm>
          <a:off x="8084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148</xdr:row>
      <xdr:rowOff>1</xdr:rowOff>
    </xdr:from>
    <xdr:to>
      <xdr:col>18</xdr:col>
      <xdr:colOff>0</xdr:colOff>
      <xdr:row>153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53A919CD-37E4-4B1F-A1B4-E5AFA3F86925}"/>
            </a:ext>
          </a:extLst>
        </xdr:cNvPr>
        <xdr:cNvSpPr/>
      </xdr:nvSpPr>
      <xdr:spPr>
        <a:xfrm>
          <a:off x="104089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148</xdr:row>
      <xdr:rowOff>1</xdr:rowOff>
    </xdr:from>
    <xdr:to>
      <xdr:col>20</xdr:col>
      <xdr:colOff>0</xdr:colOff>
      <xdr:row>153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CA0E5049-78C5-4A30-9FFD-51A155C5BC61}"/>
            </a:ext>
          </a:extLst>
        </xdr:cNvPr>
        <xdr:cNvSpPr/>
      </xdr:nvSpPr>
      <xdr:spPr>
        <a:xfrm>
          <a:off x="116281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150</xdr:row>
      <xdr:rowOff>99061</xdr:rowOff>
    </xdr:from>
    <xdr:to>
      <xdr:col>19</xdr:col>
      <xdr:colOff>0</xdr:colOff>
      <xdr:row>150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2A1E59BB-9417-46F5-A042-714D46885978}"/>
            </a:ext>
          </a:extLst>
        </xdr:cNvPr>
        <xdr:cNvCxnSpPr>
          <a:stCxn id="20" idx="3"/>
          <a:endCxn id="21" idx="1"/>
        </xdr:cNvCxnSpPr>
      </xdr:nvCxnSpPr>
      <xdr:spPr>
        <a:xfrm>
          <a:off x="11018520" y="27744421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149</xdr:row>
      <xdr:rowOff>170181</xdr:rowOff>
    </xdr:from>
    <xdr:to>
      <xdr:col>18</xdr:col>
      <xdr:colOff>495300</xdr:colOff>
      <xdr:row>151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9D5485EE-8AEB-4186-876C-E19771838991}"/>
            </a:ext>
          </a:extLst>
        </xdr:cNvPr>
        <xdr:cNvSpPr/>
      </xdr:nvSpPr>
      <xdr:spPr>
        <a:xfrm>
          <a:off x="11132820" y="276174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148</xdr:row>
      <xdr:rowOff>1</xdr:rowOff>
    </xdr:from>
    <xdr:to>
      <xdr:col>23</xdr:col>
      <xdr:colOff>0</xdr:colOff>
      <xdr:row>161</xdr:row>
      <xdr:rowOff>2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9B719255-749B-4114-A777-DFC79EF62EDD}"/>
            </a:ext>
          </a:extLst>
        </xdr:cNvPr>
        <xdr:cNvSpPr/>
      </xdr:nvSpPr>
      <xdr:spPr>
        <a:xfrm>
          <a:off x="134569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148</xdr:row>
      <xdr:rowOff>1</xdr:rowOff>
    </xdr:from>
    <xdr:to>
      <xdr:col>25</xdr:col>
      <xdr:colOff>0</xdr:colOff>
      <xdr:row>161</xdr:row>
      <xdr:rowOff>2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D5DA22BF-1111-4726-BFF0-C720985D966D}"/>
            </a:ext>
          </a:extLst>
        </xdr:cNvPr>
        <xdr:cNvSpPr/>
      </xdr:nvSpPr>
      <xdr:spPr>
        <a:xfrm>
          <a:off x="146761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154</xdr:row>
      <xdr:rowOff>99062</xdr:rowOff>
    </xdr:from>
    <xdr:to>
      <xdr:col>24</xdr:col>
      <xdr:colOff>0</xdr:colOff>
      <xdr:row>154</xdr:row>
      <xdr:rowOff>99062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940ABEE0-335F-44B3-B991-A5D98AC8544A}"/>
            </a:ext>
          </a:extLst>
        </xdr:cNvPr>
        <xdr:cNvCxnSpPr>
          <a:stCxn id="24" idx="3"/>
          <a:endCxn id="25" idx="1"/>
        </xdr:cNvCxnSpPr>
      </xdr:nvCxnSpPr>
      <xdr:spPr>
        <a:xfrm>
          <a:off x="14066520" y="28536902"/>
          <a:ext cx="6096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114300</xdr:colOff>
      <xdr:row>153</xdr:row>
      <xdr:rowOff>170183</xdr:rowOff>
    </xdr:from>
    <xdr:to>
      <xdr:col>23</xdr:col>
      <xdr:colOff>495300</xdr:colOff>
      <xdr:row>155</xdr:row>
      <xdr:rowOff>27943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C6C3B634-A31D-4ECD-9BAD-A014713B0E19}"/>
            </a:ext>
          </a:extLst>
        </xdr:cNvPr>
        <xdr:cNvSpPr/>
      </xdr:nvSpPr>
      <xdr:spPr>
        <a:xfrm>
          <a:off x="14180820" y="2840990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148</xdr:row>
      <xdr:rowOff>1</xdr:rowOff>
    </xdr:from>
    <xdr:to>
      <xdr:col>32</xdr:col>
      <xdr:colOff>0</xdr:colOff>
      <xdr:row>160</xdr:row>
      <xdr:rowOff>1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3C8BC178-A765-4E53-8199-A40AD7D58D95}"/>
            </a:ext>
          </a:extLst>
        </xdr:cNvPr>
        <xdr:cNvSpPr/>
      </xdr:nvSpPr>
      <xdr:spPr>
        <a:xfrm>
          <a:off x="16504920" y="27249121"/>
          <a:ext cx="30480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148</xdr:row>
      <xdr:rowOff>1</xdr:rowOff>
    </xdr:from>
    <xdr:to>
      <xdr:col>38</xdr:col>
      <xdr:colOff>0</xdr:colOff>
      <xdr:row>160</xdr:row>
      <xdr:rowOff>1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665C0869-AE70-4CFE-8D61-EF9E07928F61}"/>
            </a:ext>
          </a:extLst>
        </xdr:cNvPr>
        <xdr:cNvSpPr/>
      </xdr:nvSpPr>
      <xdr:spPr>
        <a:xfrm>
          <a:off x="20162520" y="27249121"/>
          <a:ext cx="38862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154</xdr:row>
      <xdr:rowOff>1</xdr:rowOff>
    </xdr:from>
    <xdr:to>
      <xdr:col>33</xdr:col>
      <xdr:colOff>0</xdr:colOff>
      <xdr:row>154</xdr:row>
      <xdr:rowOff>1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1193E5E5-E0B1-44B0-BFBD-FF963B7D79ED}"/>
            </a:ext>
          </a:extLst>
        </xdr:cNvPr>
        <xdr:cNvCxnSpPr>
          <a:stCxn id="28" idx="3"/>
          <a:endCxn id="29" idx="1"/>
        </xdr:cNvCxnSpPr>
      </xdr:nvCxnSpPr>
      <xdr:spPr>
        <a:xfrm>
          <a:off x="19552920" y="28437841"/>
          <a:ext cx="60960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153</xdr:row>
      <xdr:rowOff>71119</xdr:rowOff>
    </xdr:from>
    <xdr:to>
      <xdr:col>32</xdr:col>
      <xdr:colOff>495300</xdr:colOff>
      <xdr:row>154</xdr:row>
      <xdr:rowOff>126999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95AE229F-6B58-484A-8D1D-4E2D461031DA}"/>
            </a:ext>
          </a:extLst>
        </xdr:cNvPr>
        <xdr:cNvSpPr/>
      </xdr:nvSpPr>
      <xdr:spPr>
        <a:xfrm>
          <a:off x="19667220" y="2831083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37</xdr:col>
      <xdr:colOff>12700</xdr:colOff>
      <xdr:row>2</xdr:row>
      <xdr:rowOff>12700</xdr:rowOff>
    </xdr:from>
    <xdr:to>
      <xdr:col>42</xdr:col>
      <xdr:colOff>0</xdr:colOff>
      <xdr:row>101</xdr:row>
      <xdr:rowOff>182879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EB491D5E-1512-4D23-AF08-7123AC0176EA}"/>
            </a:ext>
          </a:extLst>
        </xdr:cNvPr>
        <xdr:cNvSpPr/>
      </xdr:nvSpPr>
      <xdr:spPr>
        <a:xfrm>
          <a:off x="23451820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37</xdr:col>
      <xdr:colOff>5080</xdr:colOff>
      <xdr:row>1</xdr:row>
      <xdr:rowOff>132080</xdr:rowOff>
    </xdr:from>
    <xdr:to>
      <xdr:col>37</xdr:col>
      <xdr:colOff>326322</xdr:colOff>
      <xdr:row>2</xdr:row>
      <xdr:rowOff>60960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D0BC67EA-7C1D-43E8-9F8A-439EA1FB3BCF}"/>
            </a:ext>
          </a:extLst>
        </xdr:cNvPr>
        <xdr:cNvSpPr/>
      </xdr:nvSpPr>
      <xdr:spPr>
        <a:xfrm>
          <a:off x="234442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44</xdr:col>
      <xdr:colOff>12701</xdr:colOff>
      <xdr:row>2</xdr:row>
      <xdr:rowOff>12700</xdr:rowOff>
    </xdr:from>
    <xdr:to>
      <xdr:col>49</xdr:col>
      <xdr:colOff>1</xdr:colOff>
      <xdr:row>101</xdr:row>
      <xdr:rowOff>182879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16C05280-7481-402A-8266-9C94E2C8A181}"/>
            </a:ext>
          </a:extLst>
        </xdr:cNvPr>
        <xdr:cNvSpPr/>
      </xdr:nvSpPr>
      <xdr:spPr>
        <a:xfrm>
          <a:off x="277190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5080</xdr:colOff>
      <xdr:row>1</xdr:row>
      <xdr:rowOff>132080</xdr:rowOff>
    </xdr:from>
    <xdr:to>
      <xdr:col>44</xdr:col>
      <xdr:colOff>326322</xdr:colOff>
      <xdr:row>2</xdr:row>
      <xdr:rowOff>60960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129EA907-25B0-42B9-B513-089FE96F967F}"/>
            </a:ext>
          </a:extLst>
        </xdr:cNvPr>
        <xdr:cNvSpPr/>
      </xdr:nvSpPr>
      <xdr:spPr>
        <a:xfrm>
          <a:off x="277114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51</xdr:col>
      <xdr:colOff>12701</xdr:colOff>
      <xdr:row>2</xdr:row>
      <xdr:rowOff>12700</xdr:rowOff>
    </xdr:from>
    <xdr:to>
      <xdr:col>56</xdr:col>
      <xdr:colOff>1</xdr:colOff>
      <xdr:row>101</xdr:row>
      <xdr:rowOff>182879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8B293D8E-96EF-4D5A-869E-99FFCD5DF74E}"/>
            </a:ext>
          </a:extLst>
        </xdr:cNvPr>
        <xdr:cNvSpPr/>
      </xdr:nvSpPr>
      <xdr:spPr>
        <a:xfrm>
          <a:off x="319862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5080</xdr:colOff>
      <xdr:row>1</xdr:row>
      <xdr:rowOff>132080</xdr:rowOff>
    </xdr:from>
    <xdr:to>
      <xdr:col>51</xdr:col>
      <xdr:colOff>326322</xdr:colOff>
      <xdr:row>2</xdr:row>
      <xdr:rowOff>60960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B30DD2B5-C79E-41F1-B358-2CD52F2FCC8E}"/>
            </a:ext>
          </a:extLst>
        </xdr:cNvPr>
        <xdr:cNvSpPr/>
      </xdr:nvSpPr>
      <xdr:spPr>
        <a:xfrm>
          <a:off x="319786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58</xdr:col>
      <xdr:colOff>12701</xdr:colOff>
      <xdr:row>2</xdr:row>
      <xdr:rowOff>12700</xdr:rowOff>
    </xdr:from>
    <xdr:to>
      <xdr:col>63</xdr:col>
      <xdr:colOff>1</xdr:colOff>
      <xdr:row>101</xdr:row>
      <xdr:rowOff>182879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E0268BBC-C43B-4B93-A9BB-274F626F8F4A}"/>
            </a:ext>
          </a:extLst>
        </xdr:cNvPr>
        <xdr:cNvSpPr/>
      </xdr:nvSpPr>
      <xdr:spPr>
        <a:xfrm>
          <a:off x="362534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5080</xdr:colOff>
      <xdr:row>1</xdr:row>
      <xdr:rowOff>132080</xdr:rowOff>
    </xdr:from>
    <xdr:to>
      <xdr:col>58</xdr:col>
      <xdr:colOff>326322</xdr:colOff>
      <xdr:row>2</xdr:row>
      <xdr:rowOff>60960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3AE72E2B-51DC-4007-B5C6-D23BF299131C}"/>
            </a:ext>
          </a:extLst>
        </xdr:cNvPr>
        <xdr:cNvSpPr/>
      </xdr:nvSpPr>
      <xdr:spPr>
        <a:xfrm>
          <a:off x="362458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40</xdr:col>
      <xdr:colOff>1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3C69D9EF-CDD0-42AA-B8E1-196E3D08933F}"/>
            </a:ext>
          </a:extLst>
        </xdr:cNvPr>
        <xdr:cNvSpPr/>
      </xdr:nvSpPr>
      <xdr:spPr>
        <a:xfrm>
          <a:off x="22258020" y="998220"/>
          <a:ext cx="382524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47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1B1062CB-ADE0-4B74-8302-30EA9CBF4D40}"/>
            </a:ext>
          </a:extLst>
        </xdr:cNvPr>
        <xdr:cNvSpPr/>
      </xdr:nvSpPr>
      <xdr:spPr>
        <a:xfrm>
          <a:off x="26814779" y="998220"/>
          <a:ext cx="37414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53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4046DA95-7682-467C-B7A0-820DBB190A92}"/>
            </a:ext>
          </a:extLst>
        </xdr:cNvPr>
        <xdr:cNvSpPr/>
      </xdr:nvSpPr>
      <xdr:spPr>
        <a:xfrm>
          <a:off x="31234379" y="998220"/>
          <a:ext cx="36576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61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5F951677-A190-4836-8E02-E46A1DB22FDE}"/>
            </a:ext>
          </a:extLst>
        </xdr:cNvPr>
        <xdr:cNvSpPr/>
      </xdr:nvSpPr>
      <xdr:spPr>
        <a:xfrm>
          <a:off x="35570161" y="998220"/>
          <a:ext cx="36576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2916E298-632E-4417-9F28-A164449E5954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5E8D5E41-4B1C-47F7-BFB1-49319D45352A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B4859E31-D05B-4F18-A06E-0AE72AB50815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C227D85F-871C-4F90-91EB-7232D3663936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26EB132A-89D4-48F7-8960-09F03748F12D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3D209606-8601-4EAE-9335-AE17D8034300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82B2A315-CDBA-45C9-A8A5-612220AE6E3B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E31AE3BD-C2FC-452E-B1F7-082B3587B63E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D99594CD-3445-4571-888C-EE46A8F4E0C1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1C254BEF-D4E9-440D-8DE2-F766DD4A6B9A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89E793DB-E4E5-4F54-B79A-BD819B3B93F0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7BA0E79A-A3B5-4241-B869-287A4A8A51CE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182C2239-B28E-4939-B671-F391FF624E62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490E8B7E-31FA-4232-8ABD-059F36814BE8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68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9346463A-EB51-45AE-A26C-BFE84A65EEBE}"/>
            </a:ext>
          </a:extLst>
        </xdr:cNvPr>
        <xdr:cNvSpPr/>
      </xdr:nvSpPr>
      <xdr:spPr>
        <a:xfrm>
          <a:off x="11551920" y="12329160"/>
          <a:ext cx="617219" cy="118872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68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50FCEBDE-5245-4D1E-BBCC-83764537C357}"/>
            </a:ext>
          </a:extLst>
        </xdr:cNvPr>
        <xdr:cNvSpPr/>
      </xdr:nvSpPr>
      <xdr:spPr>
        <a:xfrm>
          <a:off x="12778740" y="12329160"/>
          <a:ext cx="617221" cy="118872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65</xdr:row>
      <xdr:rowOff>0</xdr:rowOff>
    </xdr:from>
    <xdr:to>
      <xdr:col>19</xdr:col>
      <xdr:colOff>0</xdr:colOff>
      <xdr:row>65</xdr:row>
      <xdr:rowOff>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06B5B78D-4378-4501-B53C-31BE2F2B6888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923520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64</xdr:row>
      <xdr:rowOff>71120</xdr:rowOff>
    </xdr:from>
    <xdr:to>
      <xdr:col>18</xdr:col>
      <xdr:colOff>495300</xdr:colOff>
      <xdr:row>65</xdr:row>
      <xdr:rowOff>127000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F060EE53-F1C4-487E-AEB5-DA0A63A9A2AD}"/>
            </a:ext>
          </a:extLst>
        </xdr:cNvPr>
        <xdr:cNvSpPr/>
      </xdr:nvSpPr>
      <xdr:spPr>
        <a:xfrm>
          <a:off x="12283440" y="127965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E5B79A27-B238-44B5-BDA8-ED85C9C9FC97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36DB10E6-3DDA-46D8-8908-54EF52F7A602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70F406EB-51BA-4CEF-A9A7-E81C92CF0D76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FF092E9A-D62F-4B1A-80B0-2537A93ABCFC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25</xdr:col>
      <xdr:colOff>617219</xdr:colOff>
      <xdr:row>62</xdr:row>
      <xdr:rowOff>0</xdr:rowOff>
    </xdr:from>
    <xdr:to>
      <xdr:col>31</xdr:col>
      <xdr:colOff>617219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581326DB-1C00-4BB3-8AF4-08BCE7756331}"/>
            </a:ext>
          </a:extLst>
        </xdr:cNvPr>
        <xdr:cNvSpPr/>
      </xdr:nvSpPr>
      <xdr:spPr>
        <a:xfrm>
          <a:off x="17160239" y="12329160"/>
          <a:ext cx="374904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617219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5F36941D-28AE-4FA5-8F19-7BD45C6EC951}"/>
            </a:ext>
          </a:extLst>
        </xdr:cNvPr>
        <xdr:cNvSpPr/>
      </xdr:nvSpPr>
      <xdr:spPr>
        <a:xfrm>
          <a:off x="21526500" y="12329160"/>
          <a:ext cx="393953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31</xdr:col>
      <xdr:colOff>617219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18728A69-4388-43CC-8157-6644BA7D4B5B}"/>
            </a:ext>
          </a:extLst>
        </xdr:cNvPr>
        <xdr:cNvCxnSpPr>
          <a:stCxn id="28" idx="3"/>
          <a:endCxn id="29" idx="1"/>
        </xdr:cNvCxnSpPr>
      </xdr:nvCxnSpPr>
      <xdr:spPr>
        <a:xfrm>
          <a:off x="20909279" y="12626340"/>
          <a:ext cx="617221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4BC3D2F1-4082-4DA6-9EDC-0BA27E375C61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40</xdr:col>
      <xdr:colOff>1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E12F02CB-F04E-4555-8694-DD27868761BD}"/>
            </a:ext>
          </a:extLst>
        </xdr:cNvPr>
        <xdr:cNvSpPr/>
      </xdr:nvSpPr>
      <xdr:spPr>
        <a:xfrm>
          <a:off x="22270720" y="1010920"/>
          <a:ext cx="381254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15B0B8CC-976F-46BF-9D6B-4F4457459BD1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47</xdr:col>
      <xdr:colOff>0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A56AA1C3-BABB-49D4-A03A-78924C547697}"/>
            </a:ext>
          </a:extLst>
        </xdr:cNvPr>
        <xdr:cNvSpPr/>
      </xdr:nvSpPr>
      <xdr:spPr>
        <a:xfrm>
          <a:off x="26827479" y="1010920"/>
          <a:ext cx="37287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CE9DEBD8-21F3-416B-8B71-38F2ED1A2FA9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53</xdr:col>
      <xdr:colOff>609599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1AFD6D9B-0CAC-4105-8818-5362DD33043A}"/>
            </a:ext>
          </a:extLst>
        </xdr:cNvPr>
        <xdr:cNvSpPr/>
      </xdr:nvSpPr>
      <xdr:spPr>
        <a:xfrm>
          <a:off x="31247079" y="1010920"/>
          <a:ext cx="36449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23731D3E-DE0C-44E3-99B6-E64DCFC06E7F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61</xdr:col>
      <xdr:colOff>1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3B93B3E1-A2F0-47C1-A213-517B99F5C5D6}"/>
            </a:ext>
          </a:extLst>
        </xdr:cNvPr>
        <xdr:cNvSpPr/>
      </xdr:nvSpPr>
      <xdr:spPr>
        <a:xfrm>
          <a:off x="35582861" y="1010920"/>
          <a:ext cx="36449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66BF0ACD-CFD6-4520-8F56-AC65A8C48817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6159800F-06AB-4FA1-940A-280132EF2CBF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16A60C93-B42A-4D91-B073-E46CDEF3B52D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27E3CE73-B06E-4C9B-AFBC-3ED3D35B43BE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B77CB4D6-CFF0-4D75-987A-288E40BA122D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0FDAFB97-B1E0-4CDC-9304-06E8A790A34F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B6084570-F8AE-4017-BDDA-F2F237602F92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1E664713-361C-4807-AABE-983B9A5F624A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3462B302-8317-4889-9887-537ACA5F326F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1730BDFA-1355-43FF-AFE7-4A2074E146D8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DE638F23-CCD7-4E4B-B51D-92CE4D7A1C3B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2CA97D39-A576-4309-AC18-60A63E88C4C6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1991A037-74C2-4635-A6CE-61C5CA3CE1C3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61AE1244-E057-4E82-83E7-F121D668594B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962950D0-DFA3-414C-81AA-73DF46C49290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5754BCD4-4E21-4214-8979-37CD20306504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582D068B-984A-4EBC-B619-5489973E4C08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0EE7378A-64D9-4C13-B32A-45C8FF6E996E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A1005A85-AFCF-4105-A590-22FF5645D2E4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207A4BE8-57F7-4451-B18E-80CE463FD15E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98A944B6-A491-41AC-A5F3-5DA497B9A1C0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337CE0D5-26EC-4704-8115-C41CE0EE9C90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52CEA1B5-A13E-4BD0-9AA8-4D4DFD01341B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6DB537A6-DE6E-4EC3-B0EB-F0D96E18EFDF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29D2F5AB-CCF6-4213-9FA1-504F432DB995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E78D700E-930D-44D4-96E6-3E8D05DA9539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6E75E334-DA6F-440F-91E6-64A75A525377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8EAE60F8-89FC-4CE0-B7C7-94EF4D2D51E5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B67635B1-FEE5-4773-8611-2601812AFDFB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DA3503C8-5F64-4514-A979-4A1C04CEB49C}"/>
            </a:ext>
          </a:extLst>
        </xdr:cNvPr>
        <xdr:cNvCxnSpPr>
          <a:stCxn id="28" idx="3"/>
          <a:endCxn id="29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C1D6F102-63ED-4ED1-B921-0B1B06BB1B61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40</xdr:col>
      <xdr:colOff>731519</xdr:colOff>
      <xdr:row>62</xdr:row>
      <xdr:rowOff>0</xdr:rowOff>
    </xdr:from>
    <xdr:to>
      <xdr:col>42</xdr:col>
      <xdr:colOff>0</xdr:colOff>
      <xdr:row>65</xdr:row>
      <xdr:rowOff>198119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6454A48A-AAA3-4F43-B074-0C00CAF6E60E}"/>
            </a:ext>
          </a:extLst>
        </xdr:cNvPr>
        <xdr:cNvSpPr/>
      </xdr:nvSpPr>
      <xdr:spPr>
        <a:xfrm>
          <a:off x="26814779" y="12329160"/>
          <a:ext cx="617221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43</xdr:col>
      <xdr:colOff>1</xdr:colOff>
      <xdr:row>62</xdr:row>
      <xdr:rowOff>0</xdr:rowOff>
    </xdr:from>
    <xdr:to>
      <xdr:col>44</xdr:col>
      <xdr:colOff>0</xdr:colOff>
      <xdr:row>65</xdr:row>
      <xdr:rowOff>198119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941567EE-1751-4C5F-983D-029E5F5E16BB}"/>
            </a:ext>
          </a:extLst>
        </xdr:cNvPr>
        <xdr:cNvSpPr/>
      </xdr:nvSpPr>
      <xdr:spPr>
        <a:xfrm>
          <a:off x="28049221" y="12329160"/>
          <a:ext cx="678179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42</xdr:col>
      <xdr:colOff>0</xdr:colOff>
      <xdr:row>64</xdr:row>
      <xdr:rowOff>0</xdr:rowOff>
    </xdr:from>
    <xdr:to>
      <xdr:col>43</xdr:col>
      <xdr:colOff>1</xdr:colOff>
      <xdr:row>64</xdr:row>
      <xdr:rowOff>0</xdr:rowOff>
    </xdr:to>
    <xdr:cxnSp macro="">
      <xdr:nvCxnSpPr>
        <xdr:cNvPr id="34" name="OpenSolver33">
          <a:extLst>
            <a:ext uri="{FF2B5EF4-FFF2-40B4-BE49-F238E27FC236}">
              <a16:creationId xmlns:a16="http://schemas.microsoft.com/office/drawing/2014/main" id="{8A2C1EEC-74F9-4BE6-AEFB-0C86836FEFF2}"/>
            </a:ext>
          </a:extLst>
        </xdr:cNvPr>
        <xdr:cNvCxnSpPr>
          <a:stCxn id="32" idx="3"/>
          <a:endCxn id="33" idx="1"/>
        </xdr:cNvCxnSpPr>
      </xdr:nvCxnSpPr>
      <xdr:spPr>
        <a:xfrm>
          <a:off x="27432000" y="12725400"/>
          <a:ext cx="617221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118111</xdr:colOff>
      <xdr:row>63</xdr:row>
      <xdr:rowOff>71120</xdr:rowOff>
    </xdr:from>
    <xdr:to>
      <xdr:col>42</xdr:col>
      <xdr:colOff>499111</xdr:colOff>
      <xdr:row>64</xdr:row>
      <xdr:rowOff>127000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50ACA6C6-687E-4C9E-A2F0-E27F74CF132E}"/>
            </a:ext>
          </a:extLst>
        </xdr:cNvPr>
        <xdr:cNvSpPr/>
      </xdr:nvSpPr>
      <xdr:spPr>
        <a:xfrm>
          <a:off x="27550111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626F4DEE-0FC4-4408-A865-4DF4B2B6EF4B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FE038EF9-3BB6-437F-8D02-393C6A4CF9F0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20349500-6065-4F6F-AE98-5158536F3082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6F94FCDB-75B6-41B3-A00D-D8C4799E082D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33295E30-10A6-4703-995E-D5A72E21AC86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1A8E8080-33D6-4B0B-895E-D442E454B2F9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4DF19EE2-FD2A-4940-A65B-51BAFB449351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ED60C742-CB8E-4038-88B9-A48EE08CC08A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</xdr:colOff>
      <xdr:row>5</xdr:row>
      <xdr:rowOff>0</xdr:rowOff>
    </xdr:from>
    <xdr:to>
      <xdr:col>39</xdr:col>
      <xdr:colOff>0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7F738FF7-1070-4988-BB96-203088CA92D6}"/>
            </a:ext>
          </a:extLst>
        </xdr:cNvPr>
        <xdr:cNvSpPr/>
      </xdr:nvSpPr>
      <xdr:spPr>
        <a:xfrm>
          <a:off x="22730461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1</xdr:colOff>
      <xdr:row>5</xdr:row>
      <xdr:rowOff>0</xdr:rowOff>
    </xdr:from>
    <xdr:to>
      <xdr:col>46</xdr:col>
      <xdr:colOff>2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20EEBA8A-3F32-4AF3-A478-0952D459F8A4}"/>
            </a:ext>
          </a:extLst>
        </xdr:cNvPr>
        <xdr:cNvSpPr/>
      </xdr:nvSpPr>
      <xdr:spPr>
        <a:xfrm>
          <a:off x="27287221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1</xdr:colOff>
      <xdr:row>5</xdr:row>
      <xdr:rowOff>0</xdr:rowOff>
    </xdr:from>
    <xdr:to>
      <xdr:col>53</xdr:col>
      <xdr:colOff>1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BEB26575-0CC9-45C8-A908-9E4442A4F572}"/>
            </a:ext>
          </a:extLst>
        </xdr:cNvPr>
        <xdr:cNvSpPr/>
      </xdr:nvSpPr>
      <xdr:spPr>
        <a:xfrm>
          <a:off x="3170682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60</xdr:col>
      <xdr:colOff>0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6D78EC16-A9F3-49AB-B8B2-6C42A7EDADB2}"/>
            </a:ext>
          </a:extLst>
        </xdr:cNvPr>
        <xdr:cNvSpPr/>
      </xdr:nvSpPr>
      <xdr:spPr>
        <a:xfrm>
          <a:off x="36042600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BEEFFEE8-9F4A-4AE2-86F1-AF6CE9CFC96F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93468138-E0E1-476E-B640-2463CE889CB5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C462105D-D232-49D0-8B7D-5ECFCDCA50B4}"/>
            </a:ext>
          </a:extLst>
        </xdr:cNvPr>
        <xdr:cNvSpPr/>
      </xdr:nvSpPr>
      <xdr:spPr>
        <a:xfrm>
          <a:off x="1485900" y="12329160"/>
          <a:ext cx="12268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3EF27BA2-753C-4041-8C80-97B34AF25131}"/>
            </a:ext>
          </a:extLst>
        </xdr:cNvPr>
        <xdr:cNvSpPr/>
      </xdr:nvSpPr>
      <xdr:spPr>
        <a:xfrm>
          <a:off x="3581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251ADD01-3003-4A52-963A-F52AF8C5D060}"/>
            </a:ext>
          </a:extLst>
        </xdr:cNvPr>
        <xdr:cNvCxnSpPr>
          <a:stCxn id="8" idx="3"/>
          <a:endCxn id="9" idx="1"/>
        </xdr:cNvCxnSpPr>
      </xdr:nvCxnSpPr>
      <xdr:spPr>
        <a:xfrm>
          <a:off x="271272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6E5DF2C0-0D0C-4A37-BA96-4BBC6D324684}"/>
            </a:ext>
          </a:extLst>
        </xdr:cNvPr>
        <xdr:cNvSpPr/>
      </xdr:nvSpPr>
      <xdr:spPr>
        <a:xfrm>
          <a:off x="295656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6F39223D-E7F2-4A1F-9E81-2D81965AE9C5}"/>
            </a:ext>
          </a:extLst>
        </xdr:cNvPr>
        <xdr:cNvSpPr/>
      </xdr:nvSpPr>
      <xdr:spPr>
        <a:xfrm>
          <a:off x="55778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6F557D82-CE5B-4D51-9CF8-AB2A707FFE9D}"/>
            </a:ext>
          </a:extLst>
        </xdr:cNvPr>
        <xdr:cNvSpPr/>
      </xdr:nvSpPr>
      <xdr:spPr>
        <a:xfrm>
          <a:off x="70256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5D591BEF-F9F0-4AC2-B095-31AD21865763}"/>
            </a:ext>
          </a:extLst>
        </xdr:cNvPr>
        <xdr:cNvCxnSpPr>
          <a:stCxn id="12" idx="3"/>
          <a:endCxn id="13" idx="1"/>
        </xdr:cNvCxnSpPr>
      </xdr:nvCxnSpPr>
      <xdr:spPr>
        <a:xfrm>
          <a:off x="619506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D0E0F908-8DB2-4C59-ABA7-CA3253303729}"/>
            </a:ext>
          </a:extLst>
        </xdr:cNvPr>
        <xdr:cNvSpPr/>
      </xdr:nvSpPr>
      <xdr:spPr>
        <a:xfrm>
          <a:off x="641985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3E712441-8D4E-43CE-9D0E-4011288653C1}"/>
            </a:ext>
          </a:extLst>
        </xdr:cNvPr>
        <xdr:cNvSpPr/>
      </xdr:nvSpPr>
      <xdr:spPr>
        <a:xfrm>
          <a:off x="8877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B16A64E2-9578-46F5-A5F0-EAF2861C5ADE}"/>
            </a:ext>
          </a:extLst>
        </xdr:cNvPr>
        <xdr:cNvSpPr/>
      </xdr:nvSpPr>
      <xdr:spPr>
        <a:xfrm>
          <a:off x="101117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2171E10B-400E-4A82-B997-17735530EE59}"/>
            </a:ext>
          </a:extLst>
        </xdr:cNvPr>
        <xdr:cNvCxnSpPr>
          <a:stCxn id="16" idx="3"/>
          <a:endCxn id="17" idx="1"/>
        </xdr:cNvCxnSpPr>
      </xdr:nvCxnSpPr>
      <xdr:spPr>
        <a:xfrm>
          <a:off x="949452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3F0BB52C-F07E-4D31-B3B3-248BB06FC459}"/>
            </a:ext>
          </a:extLst>
        </xdr:cNvPr>
        <xdr:cNvSpPr/>
      </xdr:nvSpPr>
      <xdr:spPr>
        <a:xfrm>
          <a:off x="961263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83278FE2-17BC-4300-98DB-83CB51175F9D}"/>
            </a:ext>
          </a:extLst>
        </xdr:cNvPr>
        <xdr:cNvSpPr/>
      </xdr:nvSpPr>
      <xdr:spPr>
        <a:xfrm>
          <a:off x="1202436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52BADF53-FAF9-413C-A9A4-E423294CDA8F}"/>
            </a:ext>
          </a:extLst>
        </xdr:cNvPr>
        <xdr:cNvSpPr/>
      </xdr:nvSpPr>
      <xdr:spPr>
        <a:xfrm>
          <a:off x="1325118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DBCFF424-A10E-45E0-A1BC-8F0BD34BA32A}"/>
            </a:ext>
          </a:extLst>
        </xdr:cNvPr>
        <xdr:cNvCxnSpPr>
          <a:stCxn id="20" idx="3"/>
          <a:endCxn id="21" idx="1"/>
        </xdr:cNvCxnSpPr>
      </xdr:nvCxnSpPr>
      <xdr:spPr>
        <a:xfrm>
          <a:off x="12641580" y="12832080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BB2546F9-BBF2-4120-B94B-57649EB3E7A0}"/>
            </a:ext>
          </a:extLst>
        </xdr:cNvPr>
        <xdr:cNvSpPr/>
      </xdr:nvSpPr>
      <xdr:spPr>
        <a:xfrm>
          <a:off x="1275588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617219</xdr:colOff>
      <xdr:row>66</xdr:row>
      <xdr:rowOff>0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55E4869E-544F-47B5-BAF8-B3393201410C}"/>
            </a:ext>
          </a:extLst>
        </xdr:cNvPr>
        <xdr:cNvSpPr/>
      </xdr:nvSpPr>
      <xdr:spPr>
        <a:xfrm>
          <a:off x="15095220" y="12329160"/>
          <a:ext cx="617219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23</xdr:col>
      <xdr:colOff>685799</xdr:colOff>
      <xdr:row>62</xdr:row>
      <xdr:rowOff>0</xdr:rowOff>
    </xdr:from>
    <xdr:to>
      <xdr:col>24</xdr:col>
      <xdr:colOff>617219</xdr:colOff>
      <xdr:row>66</xdr:row>
      <xdr:rowOff>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B18B3BED-5D47-4A79-B4B6-F5E146826943}"/>
            </a:ext>
          </a:extLst>
        </xdr:cNvPr>
        <xdr:cNvSpPr/>
      </xdr:nvSpPr>
      <xdr:spPr>
        <a:xfrm>
          <a:off x="16398239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22</xdr:col>
      <xdr:colOff>617219</xdr:colOff>
      <xdr:row>63</xdr:row>
      <xdr:rowOff>198120</xdr:rowOff>
    </xdr:from>
    <xdr:to>
      <xdr:col>23</xdr:col>
      <xdr:colOff>685799</xdr:colOff>
      <xdr:row>63</xdr:row>
      <xdr:rowOff>198120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59D530D4-92A1-43D6-83BE-D7C35D895C5D}"/>
            </a:ext>
          </a:extLst>
        </xdr:cNvPr>
        <xdr:cNvCxnSpPr>
          <a:stCxn id="24" idx="3"/>
          <a:endCxn id="25" idx="1"/>
        </xdr:cNvCxnSpPr>
      </xdr:nvCxnSpPr>
      <xdr:spPr>
        <a:xfrm>
          <a:off x="15712439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152399</xdr:colOff>
      <xdr:row>63</xdr:row>
      <xdr:rowOff>71120</xdr:rowOff>
    </xdr:from>
    <xdr:to>
      <xdr:col>23</xdr:col>
      <xdr:colOff>533399</xdr:colOff>
      <xdr:row>64</xdr:row>
      <xdr:rowOff>119380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858307CD-0B52-4B28-A174-07C7E58D4DCF}"/>
            </a:ext>
          </a:extLst>
        </xdr:cNvPr>
        <xdr:cNvSpPr/>
      </xdr:nvSpPr>
      <xdr:spPr>
        <a:xfrm>
          <a:off x="15864839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A64B965D-7258-40CD-B769-406C0BDABBBD}"/>
            </a:ext>
          </a:extLst>
        </xdr:cNvPr>
        <xdr:cNvSpPr/>
      </xdr:nvSpPr>
      <xdr:spPr>
        <a:xfrm>
          <a:off x="18249900" y="12329160"/>
          <a:ext cx="31318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617219</xdr:colOff>
      <xdr:row>62</xdr:row>
      <xdr:rowOff>0</xdr:rowOff>
    </xdr:from>
    <xdr:to>
      <xdr:col>37</xdr:col>
      <xdr:colOff>678179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9C044B50-321C-4685-9184-052BB9BCCF61}"/>
            </a:ext>
          </a:extLst>
        </xdr:cNvPr>
        <xdr:cNvSpPr/>
      </xdr:nvSpPr>
      <xdr:spPr>
        <a:xfrm>
          <a:off x="21998939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32</xdr:col>
      <xdr:colOff>617219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8DFC3EB6-B15C-4277-8D4C-C5AAE1BB569B}"/>
            </a:ext>
          </a:extLst>
        </xdr:cNvPr>
        <xdr:cNvCxnSpPr>
          <a:stCxn id="28" idx="3"/>
          <a:endCxn id="29" idx="1"/>
        </xdr:cNvCxnSpPr>
      </xdr:nvCxnSpPr>
      <xdr:spPr>
        <a:xfrm>
          <a:off x="21381720" y="12633960"/>
          <a:ext cx="617219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118109</xdr:colOff>
      <xdr:row>62</xdr:row>
      <xdr:rowOff>177800</xdr:rowOff>
    </xdr:from>
    <xdr:to>
      <xdr:col>32</xdr:col>
      <xdr:colOff>499109</xdr:colOff>
      <xdr:row>64</xdr:row>
      <xdr:rowOff>20320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24FB07A5-AEE9-4F50-9C7C-55E0B0853037}"/>
            </a:ext>
          </a:extLst>
        </xdr:cNvPr>
        <xdr:cNvSpPr/>
      </xdr:nvSpPr>
      <xdr:spPr>
        <a:xfrm>
          <a:off x="21499829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12701</xdr:colOff>
      <xdr:row>5</xdr:row>
      <xdr:rowOff>12700</xdr:rowOff>
    </xdr:from>
    <xdr:to>
      <xdr:col>39</xdr:col>
      <xdr:colOff>0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9244840A-1317-463C-9BF0-E58F5A28896B}"/>
            </a:ext>
          </a:extLst>
        </xdr:cNvPr>
        <xdr:cNvSpPr/>
      </xdr:nvSpPr>
      <xdr:spPr>
        <a:xfrm>
          <a:off x="22743161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2540</xdr:colOff>
      <xdr:row>4</xdr:row>
      <xdr:rowOff>139700</xdr:rowOff>
    </xdr:from>
    <xdr:to>
      <xdr:col>34</xdr:col>
      <xdr:colOff>323782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6A9E4C94-AB34-4FD6-A226-FB34D233DAE7}"/>
            </a:ext>
          </a:extLst>
        </xdr:cNvPr>
        <xdr:cNvSpPr/>
      </xdr:nvSpPr>
      <xdr:spPr>
        <a:xfrm>
          <a:off x="227330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12701</xdr:colOff>
      <xdr:row>5</xdr:row>
      <xdr:rowOff>12700</xdr:rowOff>
    </xdr:from>
    <xdr:to>
      <xdr:col>46</xdr:col>
      <xdr:colOff>2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5AE86395-EF49-4093-9BF9-8326A095039A}"/>
            </a:ext>
          </a:extLst>
        </xdr:cNvPr>
        <xdr:cNvSpPr/>
      </xdr:nvSpPr>
      <xdr:spPr>
        <a:xfrm>
          <a:off x="27299921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5080</xdr:colOff>
      <xdr:row>4</xdr:row>
      <xdr:rowOff>139700</xdr:rowOff>
    </xdr:from>
    <xdr:to>
      <xdr:col>41</xdr:col>
      <xdr:colOff>326322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5D9BFF87-2326-43BA-B1C7-AA8CB72010C4}"/>
            </a:ext>
          </a:extLst>
        </xdr:cNvPr>
        <xdr:cNvSpPr/>
      </xdr:nvSpPr>
      <xdr:spPr>
        <a:xfrm>
          <a:off x="27292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12701</xdr:colOff>
      <xdr:row>5</xdr:row>
      <xdr:rowOff>12700</xdr:rowOff>
    </xdr:from>
    <xdr:to>
      <xdr:col>53</xdr:col>
      <xdr:colOff>1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F7E2DE76-4D8C-45D0-8D33-8844814D0606}"/>
            </a:ext>
          </a:extLst>
        </xdr:cNvPr>
        <xdr:cNvSpPr/>
      </xdr:nvSpPr>
      <xdr:spPr>
        <a:xfrm>
          <a:off x="3171952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5080</xdr:colOff>
      <xdr:row>4</xdr:row>
      <xdr:rowOff>139700</xdr:rowOff>
    </xdr:from>
    <xdr:to>
      <xdr:col>48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4D8F7986-5173-40FD-8909-247504A00160}"/>
            </a:ext>
          </a:extLst>
        </xdr:cNvPr>
        <xdr:cNvSpPr/>
      </xdr:nvSpPr>
      <xdr:spPr>
        <a:xfrm>
          <a:off x="317119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60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E5E8C134-3F59-42A3-9254-889CB885BEB9}"/>
            </a:ext>
          </a:extLst>
        </xdr:cNvPr>
        <xdr:cNvSpPr/>
      </xdr:nvSpPr>
      <xdr:spPr>
        <a:xfrm>
          <a:off x="36055300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4</xdr:row>
      <xdr:rowOff>139700</xdr:rowOff>
    </xdr:from>
    <xdr:to>
      <xdr:col>55</xdr:col>
      <xdr:colOff>321242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4DC52C96-C7D0-433A-82DB-6952DDA3C991}"/>
            </a:ext>
          </a:extLst>
        </xdr:cNvPr>
        <xdr:cNvSpPr/>
      </xdr:nvSpPr>
      <xdr:spPr>
        <a:xfrm>
          <a:off x="360426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</xdr:colOff>
      <xdr:row>5</xdr:row>
      <xdr:rowOff>0</xdr:rowOff>
    </xdr:from>
    <xdr:to>
      <xdr:col>39</xdr:col>
      <xdr:colOff>0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EEAF6E5D-7D1E-4867-821A-A5DF013B2D4E}"/>
            </a:ext>
          </a:extLst>
        </xdr:cNvPr>
        <xdr:cNvSpPr/>
      </xdr:nvSpPr>
      <xdr:spPr>
        <a:xfrm>
          <a:off x="22730461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1</xdr:colOff>
      <xdr:row>5</xdr:row>
      <xdr:rowOff>0</xdr:rowOff>
    </xdr:from>
    <xdr:to>
      <xdr:col>46</xdr:col>
      <xdr:colOff>2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FE6E2FD7-3C87-487A-85B4-84689BD34031}"/>
            </a:ext>
          </a:extLst>
        </xdr:cNvPr>
        <xdr:cNvSpPr/>
      </xdr:nvSpPr>
      <xdr:spPr>
        <a:xfrm>
          <a:off x="27287221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1</xdr:colOff>
      <xdr:row>5</xdr:row>
      <xdr:rowOff>0</xdr:rowOff>
    </xdr:from>
    <xdr:to>
      <xdr:col>53</xdr:col>
      <xdr:colOff>1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4399A6E0-87DD-4FAA-9BCE-0FB2D8AD03BC}"/>
            </a:ext>
          </a:extLst>
        </xdr:cNvPr>
        <xdr:cNvSpPr/>
      </xdr:nvSpPr>
      <xdr:spPr>
        <a:xfrm>
          <a:off x="3170682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60</xdr:col>
      <xdr:colOff>0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1B16A823-ADF6-45E3-B87A-B89C4F7ED79A}"/>
            </a:ext>
          </a:extLst>
        </xdr:cNvPr>
        <xdr:cNvSpPr/>
      </xdr:nvSpPr>
      <xdr:spPr>
        <a:xfrm>
          <a:off x="36042600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A4087D56-27D5-457C-AE0B-20A09C7B5022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FAB0D21B-0CDB-412C-9FFB-E3366B003A72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5332A650-C7AC-4E14-97BC-7C40465919BE}"/>
            </a:ext>
          </a:extLst>
        </xdr:cNvPr>
        <xdr:cNvSpPr/>
      </xdr:nvSpPr>
      <xdr:spPr>
        <a:xfrm>
          <a:off x="1485900" y="12329160"/>
          <a:ext cx="12268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E07B470C-6FBC-40FA-9B3F-8E1A63BA8D21}"/>
            </a:ext>
          </a:extLst>
        </xdr:cNvPr>
        <xdr:cNvSpPr/>
      </xdr:nvSpPr>
      <xdr:spPr>
        <a:xfrm>
          <a:off x="3581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D0CB033E-A83D-4562-85CF-0507E3104F38}"/>
            </a:ext>
          </a:extLst>
        </xdr:cNvPr>
        <xdr:cNvCxnSpPr>
          <a:stCxn id="8" idx="3"/>
          <a:endCxn id="9" idx="1"/>
        </xdr:cNvCxnSpPr>
      </xdr:nvCxnSpPr>
      <xdr:spPr>
        <a:xfrm>
          <a:off x="271272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79E5A32F-2FF1-492D-A590-B56B7178F040}"/>
            </a:ext>
          </a:extLst>
        </xdr:cNvPr>
        <xdr:cNvSpPr/>
      </xdr:nvSpPr>
      <xdr:spPr>
        <a:xfrm>
          <a:off x="295656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FACF4902-297C-4A00-AD33-99C1184FBE7B}"/>
            </a:ext>
          </a:extLst>
        </xdr:cNvPr>
        <xdr:cNvSpPr/>
      </xdr:nvSpPr>
      <xdr:spPr>
        <a:xfrm>
          <a:off x="55778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92218B83-9860-4C61-B891-2CC7681A4A2F}"/>
            </a:ext>
          </a:extLst>
        </xdr:cNvPr>
        <xdr:cNvSpPr/>
      </xdr:nvSpPr>
      <xdr:spPr>
        <a:xfrm>
          <a:off x="70256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13A3E6DA-D028-4C73-9357-8D5E173698C4}"/>
            </a:ext>
          </a:extLst>
        </xdr:cNvPr>
        <xdr:cNvCxnSpPr>
          <a:stCxn id="12" idx="3"/>
          <a:endCxn id="13" idx="1"/>
        </xdr:cNvCxnSpPr>
      </xdr:nvCxnSpPr>
      <xdr:spPr>
        <a:xfrm>
          <a:off x="619506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1A24E89B-3AB9-4D3D-B19F-5C6A7CFA1B38}"/>
            </a:ext>
          </a:extLst>
        </xdr:cNvPr>
        <xdr:cNvSpPr/>
      </xdr:nvSpPr>
      <xdr:spPr>
        <a:xfrm>
          <a:off x="641985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C9582061-5CC0-4BFB-AAAA-6964FA70F3AA}"/>
            </a:ext>
          </a:extLst>
        </xdr:cNvPr>
        <xdr:cNvSpPr/>
      </xdr:nvSpPr>
      <xdr:spPr>
        <a:xfrm>
          <a:off x="8877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33C4B274-4834-458F-8165-698346B67A6A}"/>
            </a:ext>
          </a:extLst>
        </xdr:cNvPr>
        <xdr:cNvSpPr/>
      </xdr:nvSpPr>
      <xdr:spPr>
        <a:xfrm>
          <a:off x="101117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C08AC20E-101C-437A-BADB-1D4D81AEE90D}"/>
            </a:ext>
          </a:extLst>
        </xdr:cNvPr>
        <xdr:cNvCxnSpPr>
          <a:stCxn id="16" idx="3"/>
          <a:endCxn id="17" idx="1"/>
        </xdr:cNvCxnSpPr>
      </xdr:nvCxnSpPr>
      <xdr:spPr>
        <a:xfrm>
          <a:off x="949452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F31AA63F-1A6F-4EB4-A908-755E0792C750}"/>
            </a:ext>
          </a:extLst>
        </xdr:cNvPr>
        <xdr:cNvSpPr/>
      </xdr:nvSpPr>
      <xdr:spPr>
        <a:xfrm>
          <a:off x="961263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D18451F7-122B-4552-90CD-B7AB69FBCA0C}"/>
            </a:ext>
          </a:extLst>
        </xdr:cNvPr>
        <xdr:cNvSpPr/>
      </xdr:nvSpPr>
      <xdr:spPr>
        <a:xfrm>
          <a:off x="1202436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022099D0-56D5-4841-A410-E3F4DB1B56D5}"/>
            </a:ext>
          </a:extLst>
        </xdr:cNvPr>
        <xdr:cNvSpPr/>
      </xdr:nvSpPr>
      <xdr:spPr>
        <a:xfrm>
          <a:off x="1325118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AFFCEF03-CD39-49EB-B4CD-E14167CFF434}"/>
            </a:ext>
          </a:extLst>
        </xdr:cNvPr>
        <xdr:cNvCxnSpPr>
          <a:stCxn id="20" idx="3"/>
          <a:endCxn id="21" idx="1"/>
        </xdr:cNvCxnSpPr>
      </xdr:nvCxnSpPr>
      <xdr:spPr>
        <a:xfrm>
          <a:off x="12641580" y="12832080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8C789C83-7202-46DE-8AE8-01462BAD1D7F}"/>
            </a:ext>
          </a:extLst>
        </xdr:cNvPr>
        <xdr:cNvSpPr/>
      </xdr:nvSpPr>
      <xdr:spPr>
        <a:xfrm>
          <a:off x="1275588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617219</xdr:colOff>
      <xdr:row>66</xdr:row>
      <xdr:rowOff>0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89FD3011-CB4A-4E0F-B1A6-D9C7BD723494}"/>
            </a:ext>
          </a:extLst>
        </xdr:cNvPr>
        <xdr:cNvSpPr/>
      </xdr:nvSpPr>
      <xdr:spPr>
        <a:xfrm>
          <a:off x="15095220" y="12329160"/>
          <a:ext cx="617219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23</xdr:col>
      <xdr:colOff>685799</xdr:colOff>
      <xdr:row>62</xdr:row>
      <xdr:rowOff>0</xdr:rowOff>
    </xdr:from>
    <xdr:to>
      <xdr:col>24</xdr:col>
      <xdr:colOff>617219</xdr:colOff>
      <xdr:row>66</xdr:row>
      <xdr:rowOff>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DC259889-DF8C-4AFB-9FD7-23A037E4F0DD}"/>
            </a:ext>
          </a:extLst>
        </xdr:cNvPr>
        <xdr:cNvSpPr/>
      </xdr:nvSpPr>
      <xdr:spPr>
        <a:xfrm>
          <a:off x="16398239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22</xdr:col>
      <xdr:colOff>617219</xdr:colOff>
      <xdr:row>63</xdr:row>
      <xdr:rowOff>198120</xdr:rowOff>
    </xdr:from>
    <xdr:to>
      <xdr:col>23</xdr:col>
      <xdr:colOff>685799</xdr:colOff>
      <xdr:row>63</xdr:row>
      <xdr:rowOff>198120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93EFC16F-5004-4AB6-A1C4-646BE204EDFD}"/>
            </a:ext>
          </a:extLst>
        </xdr:cNvPr>
        <xdr:cNvCxnSpPr>
          <a:stCxn id="24" idx="3"/>
          <a:endCxn id="25" idx="1"/>
        </xdr:cNvCxnSpPr>
      </xdr:nvCxnSpPr>
      <xdr:spPr>
        <a:xfrm>
          <a:off x="15712439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152399</xdr:colOff>
      <xdr:row>63</xdr:row>
      <xdr:rowOff>71120</xdr:rowOff>
    </xdr:from>
    <xdr:to>
      <xdr:col>23</xdr:col>
      <xdr:colOff>533399</xdr:colOff>
      <xdr:row>64</xdr:row>
      <xdr:rowOff>119380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11B35BBF-FE14-4359-8048-832001517784}"/>
            </a:ext>
          </a:extLst>
        </xdr:cNvPr>
        <xdr:cNvSpPr/>
      </xdr:nvSpPr>
      <xdr:spPr>
        <a:xfrm>
          <a:off x="15864839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FD579CD0-6F0D-4F30-AB42-9BA8AC6D0E92}"/>
            </a:ext>
          </a:extLst>
        </xdr:cNvPr>
        <xdr:cNvSpPr/>
      </xdr:nvSpPr>
      <xdr:spPr>
        <a:xfrm>
          <a:off x="18249900" y="12329160"/>
          <a:ext cx="31318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617219</xdr:colOff>
      <xdr:row>62</xdr:row>
      <xdr:rowOff>0</xdr:rowOff>
    </xdr:from>
    <xdr:to>
      <xdr:col>37</xdr:col>
      <xdr:colOff>678179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924AD9EA-D845-4B6E-8088-808E63895259}"/>
            </a:ext>
          </a:extLst>
        </xdr:cNvPr>
        <xdr:cNvSpPr/>
      </xdr:nvSpPr>
      <xdr:spPr>
        <a:xfrm>
          <a:off x="21998939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32</xdr:col>
      <xdr:colOff>617219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B654A96B-ED64-41C9-BF25-4829A2469D7D}"/>
            </a:ext>
          </a:extLst>
        </xdr:cNvPr>
        <xdr:cNvCxnSpPr>
          <a:stCxn id="28" idx="3"/>
          <a:endCxn id="29" idx="1"/>
        </xdr:cNvCxnSpPr>
      </xdr:nvCxnSpPr>
      <xdr:spPr>
        <a:xfrm>
          <a:off x="21381720" y="12633960"/>
          <a:ext cx="617219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118109</xdr:colOff>
      <xdr:row>62</xdr:row>
      <xdr:rowOff>177800</xdr:rowOff>
    </xdr:from>
    <xdr:to>
      <xdr:col>32</xdr:col>
      <xdr:colOff>499109</xdr:colOff>
      <xdr:row>64</xdr:row>
      <xdr:rowOff>20320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B9F9C04D-0575-475C-ADD9-C4E02A2EBD8B}"/>
            </a:ext>
          </a:extLst>
        </xdr:cNvPr>
        <xdr:cNvSpPr/>
      </xdr:nvSpPr>
      <xdr:spPr>
        <a:xfrm>
          <a:off x="21499829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12701</xdr:colOff>
      <xdr:row>5</xdr:row>
      <xdr:rowOff>12700</xdr:rowOff>
    </xdr:from>
    <xdr:to>
      <xdr:col>39</xdr:col>
      <xdr:colOff>0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D216973D-CB36-4C6A-8477-7D59C28FF976}"/>
            </a:ext>
          </a:extLst>
        </xdr:cNvPr>
        <xdr:cNvSpPr/>
      </xdr:nvSpPr>
      <xdr:spPr>
        <a:xfrm>
          <a:off x="22743161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2540</xdr:colOff>
      <xdr:row>4</xdr:row>
      <xdr:rowOff>139700</xdr:rowOff>
    </xdr:from>
    <xdr:to>
      <xdr:col>34</xdr:col>
      <xdr:colOff>323782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E19BDF4B-1A81-4A9A-9FEA-CFCE61A22FBB}"/>
            </a:ext>
          </a:extLst>
        </xdr:cNvPr>
        <xdr:cNvSpPr/>
      </xdr:nvSpPr>
      <xdr:spPr>
        <a:xfrm>
          <a:off x="227330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12701</xdr:colOff>
      <xdr:row>5</xdr:row>
      <xdr:rowOff>12700</xdr:rowOff>
    </xdr:from>
    <xdr:to>
      <xdr:col>46</xdr:col>
      <xdr:colOff>2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7CDEE6AF-49EB-498F-8214-FC5247412040}"/>
            </a:ext>
          </a:extLst>
        </xdr:cNvPr>
        <xdr:cNvSpPr/>
      </xdr:nvSpPr>
      <xdr:spPr>
        <a:xfrm>
          <a:off x="27299921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5080</xdr:colOff>
      <xdr:row>4</xdr:row>
      <xdr:rowOff>139700</xdr:rowOff>
    </xdr:from>
    <xdr:to>
      <xdr:col>41</xdr:col>
      <xdr:colOff>326322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453A29FF-F61F-44A3-BC86-DD6EBB21777F}"/>
            </a:ext>
          </a:extLst>
        </xdr:cNvPr>
        <xdr:cNvSpPr/>
      </xdr:nvSpPr>
      <xdr:spPr>
        <a:xfrm>
          <a:off x="27292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12701</xdr:colOff>
      <xdr:row>5</xdr:row>
      <xdr:rowOff>12700</xdr:rowOff>
    </xdr:from>
    <xdr:to>
      <xdr:col>53</xdr:col>
      <xdr:colOff>1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9170E476-9039-4F53-B687-AAC3BE957220}"/>
            </a:ext>
          </a:extLst>
        </xdr:cNvPr>
        <xdr:cNvSpPr/>
      </xdr:nvSpPr>
      <xdr:spPr>
        <a:xfrm>
          <a:off x="3171952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5080</xdr:colOff>
      <xdr:row>4</xdr:row>
      <xdr:rowOff>139700</xdr:rowOff>
    </xdr:from>
    <xdr:to>
      <xdr:col>48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9593EDC5-0032-4812-9237-A01F7165A1D7}"/>
            </a:ext>
          </a:extLst>
        </xdr:cNvPr>
        <xdr:cNvSpPr/>
      </xdr:nvSpPr>
      <xdr:spPr>
        <a:xfrm>
          <a:off x="317119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60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0A101D61-7805-4881-BCCE-17C568A4A2D4}"/>
            </a:ext>
          </a:extLst>
        </xdr:cNvPr>
        <xdr:cNvSpPr/>
      </xdr:nvSpPr>
      <xdr:spPr>
        <a:xfrm>
          <a:off x="36055300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4</xdr:row>
      <xdr:rowOff>139700</xdr:rowOff>
    </xdr:from>
    <xdr:to>
      <xdr:col>55</xdr:col>
      <xdr:colOff>321242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EF85F15D-5FA1-4F67-9FC4-B0E5F06AF0E1}"/>
            </a:ext>
          </a:extLst>
        </xdr:cNvPr>
        <xdr:cNvSpPr/>
      </xdr:nvSpPr>
      <xdr:spPr>
        <a:xfrm>
          <a:off x="360426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052277F1-15E5-4974-B2EF-217A0B62493A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038BE6B6-F4D6-4822-AD60-6BF0E257F6F8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68EDB0FB-92B8-4E07-B91C-7428BD45E376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FC40A337-BE83-420F-86D6-E7AA97F1E397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92F5F2B3-6D87-40B2-822B-A1C83E16DEA2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9C1DE6A4-A26E-410E-B1F9-5D402C8FDED9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A6DA7992-62BE-48F5-A403-7D778A07AA38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6756F87B-837A-427B-91BA-C68E705B4691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D1F817EB-A54E-442F-9F6D-796C84CB8E29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16BB3383-D559-4139-9133-450FF07335B4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FB2731D7-F2B9-4E52-AC3E-70CF1B5A9137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BDE09591-4414-4A66-8AD3-1826C6C61751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BB48009B-1232-4E26-853A-4CF4D26947E1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C4E2CD59-E60E-444B-899A-B8BCB6342983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584FFA62-E52E-4969-8A8B-D060730BB748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BE134275-A6E4-4869-A35C-B818CA4FF3DB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DE11DFC8-00AC-44DA-B10B-773C99D8D183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EA12BF50-6EF1-4F1A-B861-7D8956972EEB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B3FAEF55-97FB-438E-9E21-5F82D4D8A17C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9555A7A5-5B4D-49D5-82B2-9623C9398D6E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718B7CF9-6DFD-45BE-A915-1BD4F07023F5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046EA249-7BE5-4259-A165-30337D3C165A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04871AA2-D2F9-460B-9D51-19F4AD703404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C761326B-482B-4611-9A11-EE33731B67D1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1E33EEE6-DC19-4192-B35E-6889EC7D946D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6BAF526D-9257-46ED-8880-11BB4489CEB7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EADAECDF-5D40-412C-A1CB-C0F817476C62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126A9469-78A0-4175-8E9E-3E75A64B5E83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7CBD8B36-74E1-4084-80E0-FEACF0DDE6C5}"/>
            </a:ext>
          </a:extLst>
        </xdr:cNvPr>
        <xdr:cNvCxnSpPr>
          <a:stCxn id="28" idx="3"/>
          <a:endCxn id="29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8CE0B5AC-DCAC-4340-B38B-FA7B2D6A86AD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70</xdr:row>
      <xdr:rowOff>198119</xdr:rowOff>
    </xdr:from>
    <xdr:to>
      <xdr:col>23</xdr:col>
      <xdr:colOff>0</xdr:colOff>
      <xdr:row>75</xdr:row>
      <xdr:rowOff>198119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02BE7442-25D1-4411-947A-0154D15047BB}"/>
            </a:ext>
          </a:extLst>
        </xdr:cNvPr>
        <xdr:cNvSpPr/>
      </xdr:nvSpPr>
      <xdr:spPr>
        <a:xfrm>
          <a:off x="1462278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24</xdr:col>
      <xdr:colOff>0</xdr:colOff>
      <xdr:row>70</xdr:row>
      <xdr:rowOff>198119</xdr:rowOff>
    </xdr:from>
    <xdr:to>
      <xdr:col>25</xdr:col>
      <xdr:colOff>0</xdr:colOff>
      <xdr:row>75</xdr:row>
      <xdr:rowOff>198119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DF4FBB26-D2AE-4530-9212-A2039B3183E4}"/>
            </a:ext>
          </a:extLst>
        </xdr:cNvPr>
        <xdr:cNvSpPr/>
      </xdr:nvSpPr>
      <xdr:spPr>
        <a:xfrm>
          <a:off x="1592580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73</xdr:row>
      <xdr:rowOff>99059</xdr:rowOff>
    </xdr:from>
    <xdr:to>
      <xdr:col>24</xdr:col>
      <xdr:colOff>0</xdr:colOff>
      <xdr:row>73</xdr:row>
      <xdr:rowOff>99059</xdr:rowOff>
    </xdr:to>
    <xdr:cxnSp macro="">
      <xdr:nvCxnSpPr>
        <xdr:cNvPr id="34" name="OpenSolver33">
          <a:extLst>
            <a:ext uri="{FF2B5EF4-FFF2-40B4-BE49-F238E27FC236}">
              <a16:creationId xmlns:a16="http://schemas.microsoft.com/office/drawing/2014/main" id="{8EBBA829-6B92-4131-B1E2-C7B724A132D4}"/>
            </a:ext>
          </a:extLst>
        </xdr:cNvPr>
        <xdr:cNvCxnSpPr>
          <a:stCxn id="32" idx="3"/>
          <a:endCxn id="33" idx="1"/>
        </xdr:cNvCxnSpPr>
      </xdr:nvCxnSpPr>
      <xdr:spPr>
        <a:xfrm>
          <a:off x="15240000" y="14607539"/>
          <a:ext cx="68580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72</xdr:row>
      <xdr:rowOff>170179</xdr:rowOff>
    </xdr:from>
    <xdr:to>
      <xdr:col>23</xdr:col>
      <xdr:colOff>533400</xdr:colOff>
      <xdr:row>74</xdr:row>
      <xdr:rowOff>27939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1DA652C1-86F4-4B27-82BB-2D54A4D6FBC4}"/>
            </a:ext>
          </a:extLst>
        </xdr:cNvPr>
        <xdr:cNvSpPr/>
      </xdr:nvSpPr>
      <xdr:spPr>
        <a:xfrm>
          <a:off x="15392400" y="1448053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867DDEF5-1745-44A1-A5EE-E774D01C05E4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A0A01FEA-203B-4720-8F52-C74077FDF432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B24A244D-D635-4E83-9388-94463A64823F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D5651D4B-17EB-4048-9199-FA38FF56D852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AA5D169A-9123-495B-8559-1ECEFBCB87A4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5C613254-7124-417B-B05A-F81AD9603DEC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872098BF-1227-4107-B6C0-2751D8E9E9A0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CD163CF0-98DD-4A3A-9DA4-DD61ABDAA6BD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topLeftCell="A16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39</v>
      </c>
    </row>
    <row r="2" spans="1:8" x14ac:dyDescent="0.3">
      <c r="A2" s="56" t="s">
        <v>40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1159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" thickBot="1" x14ac:dyDescent="0.35">
      <c r="A5" s="56" t="s">
        <v>41</v>
      </c>
      <c r="B5" s="46"/>
      <c r="C5" s="46"/>
      <c r="D5" s="46"/>
      <c r="E5" s="46"/>
      <c r="F5" s="46"/>
      <c r="G5" s="46"/>
      <c r="H5" s="46"/>
    </row>
    <row r="6" spans="1:8" ht="15" thickBot="1" x14ac:dyDescent="0.35">
      <c r="B6" s="53" t="s">
        <v>42</v>
      </c>
      <c r="C6" s="54" t="s">
        <v>43</v>
      </c>
      <c r="D6" s="54" t="s">
        <v>44</v>
      </c>
      <c r="E6" s="54" t="s">
        <v>45</v>
      </c>
      <c r="F6" s="54" t="s">
        <v>46</v>
      </c>
      <c r="G6" s="54" t="s">
        <v>47</v>
      </c>
      <c r="H6" s="55" t="s">
        <v>48</v>
      </c>
    </row>
    <row r="7" spans="1:8" x14ac:dyDescent="0.3">
      <c r="B7" s="47" t="s">
        <v>49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50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51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52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53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54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55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56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57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58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59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60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61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62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63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64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65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66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67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68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69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70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71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72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73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74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75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76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77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78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79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80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81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82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83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84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85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86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87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88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89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90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91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92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93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94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95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96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97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98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99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100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101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102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103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104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105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106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107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108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109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110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111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112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113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114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115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116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117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118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119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120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121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122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123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124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125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126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127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128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129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130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131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132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133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134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135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136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137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138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139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140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141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142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143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144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145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146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147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148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149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150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151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152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153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154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155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156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157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158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159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160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161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162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163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164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165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166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167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168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169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170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171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172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173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174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175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176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177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178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179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180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181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182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183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184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185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186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187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188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189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190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191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192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193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194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195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196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197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198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199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200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201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202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203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204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205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206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207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208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209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210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211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212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213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214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215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216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217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218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219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220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221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222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223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224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225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226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227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228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229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230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231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232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233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234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235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236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237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238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239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240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241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242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243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244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245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246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247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248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249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250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251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252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253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254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255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256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257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258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259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260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261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262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263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264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265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266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267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268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269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270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271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272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273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274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275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276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277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278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279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280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281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282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283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284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285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286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287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288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289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290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291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292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293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294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295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296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297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298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299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300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301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302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303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304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305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306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307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308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309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310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311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312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313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314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315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316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317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318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319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320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321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322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323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324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325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326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327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328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329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330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331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332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333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334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335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336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337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338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339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340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341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342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343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344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345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346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347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348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349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350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351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352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353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354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355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356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357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358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359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360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361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362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363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364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365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366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367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368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369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370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371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372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373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374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375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376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377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378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379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380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381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382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383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384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385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386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387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388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389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390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391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392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393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394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395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396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397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398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399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400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401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402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403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404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405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406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407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408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409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410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411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412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413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414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415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416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417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418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419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420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421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422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423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424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425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426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427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428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429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430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431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432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433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434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435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436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437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438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439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440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441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442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443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444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445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446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447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448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449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450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451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452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453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454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455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456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457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458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459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460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461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462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463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464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465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466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467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468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469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470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471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472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473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474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475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476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477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478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479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480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481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482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483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484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485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486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487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488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489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490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491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492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493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494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495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496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497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498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499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500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501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502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503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504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505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506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507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508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509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510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511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512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513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514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515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516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517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518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519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520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521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522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523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524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525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526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527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528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529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530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531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532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533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534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535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536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537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538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539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540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541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542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543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544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545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546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547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548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549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42</v>
      </c>
      <c r="C509" s="54" t="s">
        <v>43</v>
      </c>
      <c r="D509" s="54" t="s">
        <v>44</v>
      </c>
      <c r="E509" s="54" t="s">
        <v>550</v>
      </c>
      <c r="F509" s="54" t="s">
        <v>551</v>
      </c>
      <c r="G509" s="54" t="s">
        <v>47</v>
      </c>
      <c r="H509" s="55" t="s">
        <v>48</v>
      </c>
    </row>
    <row r="510" spans="1:8" x14ac:dyDescent="0.3">
      <c r="B510" s="47" t="s">
        <v>552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553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554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555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556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557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558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559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560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561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562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563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564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565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566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567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568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569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570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571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572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573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574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575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576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577</v>
      </c>
      <c r="C535" s="48" t="s">
        <v>578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579</v>
      </c>
      <c r="C536" s="48" t="s">
        <v>578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580</v>
      </c>
      <c r="C537" s="48" t="s">
        <v>578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581</v>
      </c>
      <c r="C538" s="48" t="s">
        <v>578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582</v>
      </c>
      <c r="C539" s="48" t="s">
        <v>578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583</v>
      </c>
      <c r="C540" s="48" t="s">
        <v>578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584</v>
      </c>
      <c r="C541" s="48" t="s">
        <v>578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585</v>
      </c>
      <c r="C542" s="48" t="s">
        <v>578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586</v>
      </c>
      <c r="C543" s="48" t="s">
        <v>578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587</v>
      </c>
      <c r="C544" s="48" t="s">
        <v>578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588</v>
      </c>
      <c r="C545" s="48" t="s">
        <v>578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589</v>
      </c>
      <c r="C546" s="48" t="s">
        <v>578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590</v>
      </c>
      <c r="C547" s="48" t="s">
        <v>578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591</v>
      </c>
      <c r="C548" s="48" t="s">
        <v>578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592</v>
      </c>
      <c r="C549" s="48" t="s">
        <v>578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593</v>
      </c>
      <c r="C550" s="48" t="s">
        <v>578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594</v>
      </c>
      <c r="C551" s="48" t="s">
        <v>578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595</v>
      </c>
      <c r="C552" s="48" t="s">
        <v>578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596</v>
      </c>
      <c r="C553" s="48" t="s">
        <v>578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597</v>
      </c>
      <c r="C554" s="48" t="s">
        <v>578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598</v>
      </c>
      <c r="C555" s="48" t="s">
        <v>578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599</v>
      </c>
      <c r="C556" s="48" t="s">
        <v>578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600</v>
      </c>
      <c r="C557" s="48" t="s">
        <v>578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601</v>
      </c>
      <c r="C558" s="48" t="s">
        <v>578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602</v>
      </c>
      <c r="C559" s="48" t="s">
        <v>578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603</v>
      </c>
      <c r="C560" s="48" t="s">
        <v>24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604</v>
      </c>
      <c r="C561" s="48" t="s">
        <v>24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605</v>
      </c>
      <c r="C562" s="48" t="s">
        <v>24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606</v>
      </c>
      <c r="C563" s="48" t="s">
        <v>24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607</v>
      </c>
      <c r="C564" s="48" t="s">
        <v>24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608</v>
      </c>
      <c r="C565" s="48" t="s">
        <v>24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609</v>
      </c>
      <c r="C566" s="48" t="s">
        <v>24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610</v>
      </c>
      <c r="C567" s="48" t="s">
        <v>24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611</v>
      </c>
      <c r="C568" s="48" t="s">
        <v>24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612</v>
      </c>
      <c r="C569" s="48" t="s">
        <v>24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613</v>
      </c>
      <c r="C570" s="48" t="s">
        <v>24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614</v>
      </c>
      <c r="C571" s="48" t="s">
        <v>24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615</v>
      </c>
      <c r="C572" s="48" t="s">
        <v>24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616</v>
      </c>
      <c r="C573" s="48" t="s">
        <v>24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617</v>
      </c>
      <c r="C574" s="48" t="s">
        <v>24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618</v>
      </c>
      <c r="C575" s="48" t="s">
        <v>24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619</v>
      </c>
      <c r="C576" s="48" t="s">
        <v>24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620</v>
      </c>
      <c r="C577" s="48" t="s">
        <v>24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621</v>
      </c>
      <c r="C578" s="48" t="s">
        <v>24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622</v>
      </c>
      <c r="C579" s="48" t="s">
        <v>24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623</v>
      </c>
      <c r="C580" s="48" t="s">
        <v>24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624</v>
      </c>
      <c r="C581" s="48" t="s">
        <v>24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625</v>
      </c>
      <c r="C582" s="48" t="s">
        <v>24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626</v>
      </c>
      <c r="C583" s="48" t="s">
        <v>24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627</v>
      </c>
      <c r="C584" s="48" t="s">
        <v>24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628</v>
      </c>
      <c r="C585" s="48" t="s">
        <v>629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630</v>
      </c>
      <c r="C586" s="48" t="s">
        <v>629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631</v>
      </c>
      <c r="C587" s="48" t="s">
        <v>629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632</v>
      </c>
      <c r="C588" s="48" t="s">
        <v>629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633</v>
      </c>
      <c r="C589" s="48" t="s">
        <v>629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634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635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636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637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638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639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640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641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642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643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644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645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646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647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648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649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650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651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652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653</v>
      </c>
      <c r="C609" s="48" t="s">
        <v>654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655</v>
      </c>
      <c r="C610" s="48" t="s">
        <v>656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657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658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659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660</v>
      </c>
      <c r="C614" s="48" t="s">
        <v>654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661</v>
      </c>
      <c r="C615" s="48" t="s">
        <v>656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662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663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664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665</v>
      </c>
      <c r="C619" s="48" t="s">
        <v>654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666</v>
      </c>
      <c r="C620" s="48" t="s">
        <v>656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667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668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669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670</v>
      </c>
      <c r="C624" s="48" t="s">
        <v>654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671</v>
      </c>
      <c r="C625" s="48" t="s">
        <v>656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672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673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674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675</v>
      </c>
      <c r="C629" s="48" t="s">
        <v>654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676</v>
      </c>
      <c r="C630" s="48" t="s">
        <v>656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677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678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679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680</v>
      </c>
      <c r="C634" s="48" t="s">
        <v>654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681</v>
      </c>
      <c r="C635" s="48" t="s">
        <v>656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682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683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684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685</v>
      </c>
      <c r="C639" s="48" t="s">
        <v>654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686</v>
      </c>
      <c r="C640" s="48" t="s">
        <v>656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687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688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689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690</v>
      </c>
      <c r="C644" s="48" t="s">
        <v>654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691</v>
      </c>
      <c r="C645" s="48" t="s">
        <v>656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692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693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694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695</v>
      </c>
      <c r="C649" s="48" t="s">
        <v>654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696</v>
      </c>
      <c r="C650" s="48" t="s">
        <v>656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697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698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699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700</v>
      </c>
      <c r="C654" s="48" t="s">
        <v>654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701</v>
      </c>
      <c r="C655" s="48" t="s">
        <v>656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702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703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704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705</v>
      </c>
      <c r="C659" s="48" t="s">
        <v>654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706</v>
      </c>
      <c r="C660" s="48" t="s">
        <v>656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707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708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709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710</v>
      </c>
      <c r="C664" s="48" t="s">
        <v>654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711</v>
      </c>
      <c r="C665" s="48" t="s">
        <v>656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712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713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714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715</v>
      </c>
      <c r="C669" s="48" t="s">
        <v>654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716</v>
      </c>
      <c r="C670" s="48" t="s">
        <v>656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717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718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719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720</v>
      </c>
      <c r="C674" s="48" t="s">
        <v>654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721</v>
      </c>
      <c r="C675" s="48" t="s">
        <v>656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722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723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724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725</v>
      </c>
      <c r="C679" s="48" t="s">
        <v>654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726</v>
      </c>
      <c r="C680" s="48" t="s">
        <v>656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727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728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729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730</v>
      </c>
      <c r="C684" s="48" t="s">
        <v>654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731</v>
      </c>
      <c r="C685" s="48" t="s">
        <v>656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732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733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734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735</v>
      </c>
      <c r="C689" s="48" t="s">
        <v>654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736</v>
      </c>
      <c r="C690" s="48" t="s">
        <v>656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737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738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739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740</v>
      </c>
      <c r="C694" s="48" t="s">
        <v>654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741</v>
      </c>
      <c r="C695" s="48" t="s">
        <v>656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742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743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744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745</v>
      </c>
      <c r="C699" s="48" t="s">
        <v>654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746</v>
      </c>
      <c r="C700" s="48" t="s">
        <v>656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747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748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749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750</v>
      </c>
      <c r="C704" s="48" t="s">
        <v>654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751</v>
      </c>
      <c r="C705" s="48" t="s">
        <v>656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752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753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754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755</v>
      </c>
      <c r="C709" s="48" t="s">
        <v>654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756</v>
      </c>
      <c r="C710" s="48" t="s">
        <v>656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757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758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759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760</v>
      </c>
      <c r="C714" s="48" t="s">
        <v>654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761</v>
      </c>
      <c r="C715" s="48" t="s">
        <v>656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762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763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764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765</v>
      </c>
      <c r="C719" s="48" t="s">
        <v>654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766</v>
      </c>
      <c r="C720" s="48" t="s">
        <v>656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767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768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769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770</v>
      </c>
      <c r="C724" s="48" t="s">
        <v>654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771</v>
      </c>
      <c r="C725" s="48" t="s">
        <v>656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772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773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774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775</v>
      </c>
      <c r="C729" s="48" t="s">
        <v>654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776</v>
      </c>
      <c r="C730" s="48" t="s">
        <v>656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777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778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779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780</v>
      </c>
      <c r="C734" s="48" t="s">
        <v>781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782</v>
      </c>
      <c r="C735" s="48" t="s">
        <v>783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784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785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786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787</v>
      </c>
      <c r="C739" s="48" t="s">
        <v>781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788</v>
      </c>
      <c r="C740" s="48" t="s">
        <v>783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789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790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791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792</v>
      </c>
      <c r="C744" s="48" t="s">
        <v>781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793</v>
      </c>
      <c r="C745" s="48" t="s">
        <v>783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794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795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796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797</v>
      </c>
      <c r="C749" s="48" t="s">
        <v>781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798</v>
      </c>
      <c r="C750" s="48" t="s">
        <v>783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799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800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801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802</v>
      </c>
      <c r="C754" s="48" t="s">
        <v>781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803</v>
      </c>
      <c r="C755" s="48" t="s">
        <v>783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804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805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806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807</v>
      </c>
      <c r="C759" s="48" t="s">
        <v>781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808</v>
      </c>
      <c r="C760" s="48" t="s">
        <v>783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809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810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811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812</v>
      </c>
      <c r="C764" s="48" t="s">
        <v>781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813</v>
      </c>
      <c r="C765" s="48" t="s">
        <v>783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814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815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816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817</v>
      </c>
      <c r="C769" s="48" t="s">
        <v>781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818</v>
      </c>
      <c r="C770" s="48" t="s">
        <v>783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819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820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821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822</v>
      </c>
      <c r="C774" s="48" t="s">
        <v>781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823</v>
      </c>
      <c r="C775" s="48" t="s">
        <v>783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824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825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826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827</v>
      </c>
      <c r="C779" s="48" t="s">
        <v>781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828</v>
      </c>
      <c r="C780" s="48" t="s">
        <v>783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829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830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831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832</v>
      </c>
      <c r="C784" s="48" t="s">
        <v>781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833</v>
      </c>
      <c r="C785" s="48" t="s">
        <v>783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834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835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836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837</v>
      </c>
      <c r="C789" s="48" t="s">
        <v>781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838</v>
      </c>
      <c r="C790" s="48" t="s">
        <v>783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839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840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841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842</v>
      </c>
      <c r="C794" s="48" t="s">
        <v>781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843</v>
      </c>
      <c r="C795" s="48" t="s">
        <v>783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844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845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846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847</v>
      </c>
      <c r="C799" s="48" t="s">
        <v>781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848</v>
      </c>
      <c r="C800" s="48" t="s">
        <v>783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849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850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851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852</v>
      </c>
      <c r="C804" s="48" t="s">
        <v>781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853</v>
      </c>
      <c r="C805" s="48" t="s">
        <v>783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854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855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856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857</v>
      </c>
      <c r="C809" s="48" t="s">
        <v>781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858</v>
      </c>
      <c r="C810" s="48" t="s">
        <v>783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859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860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861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862</v>
      </c>
      <c r="C814" s="48" t="s">
        <v>781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863</v>
      </c>
      <c r="C815" s="48" t="s">
        <v>783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864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865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866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867</v>
      </c>
      <c r="C819" s="48" t="s">
        <v>781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868</v>
      </c>
      <c r="C820" s="48" t="s">
        <v>783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869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870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871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872</v>
      </c>
      <c r="C824" s="48" t="s">
        <v>781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873</v>
      </c>
      <c r="C825" s="48" t="s">
        <v>783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874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875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876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877</v>
      </c>
      <c r="C829" s="48" t="s">
        <v>781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878</v>
      </c>
      <c r="C830" s="48" t="s">
        <v>783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879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880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881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882</v>
      </c>
      <c r="C834" s="48" t="s">
        <v>781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883</v>
      </c>
      <c r="C835" s="48" t="s">
        <v>783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884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885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886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887</v>
      </c>
      <c r="C839" s="48" t="s">
        <v>781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888</v>
      </c>
      <c r="C840" s="48" t="s">
        <v>783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889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890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891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892</v>
      </c>
      <c r="C844" s="48" t="s">
        <v>781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893</v>
      </c>
      <c r="C845" s="48" t="s">
        <v>783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894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895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896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897</v>
      </c>
      <c r="C849" s="48" t="s">
        <v>781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898</v>
      </c>
      <c r="C850" s="48" t="s">
        <v>783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899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900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901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902</v>
      </c>
      <c r="C854" s="48" t="s">
        <v>781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903</v>
      </c>
      <c r="C855" s="48" t="s">
        <v>783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904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905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906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907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908</v>
      </c>
      <c r="C860" s="48" t="s">
        <v>909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910</v>
      </c>
      <c r="C861" s="48" t="s">
        <v>654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911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912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913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914</v>
      </c>
      <c r="C865" s="48" t="s">
        <v>909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915</v>
      </c>
      <c r="C866" s="48" t="s">
        <v>654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916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917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918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919</v>
      </c>
      <c r="C870" s="48" t="s">
        <v>909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920</v>
      </c>
      <c r="C871" s="48" t="s">
        <v>654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921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922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923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924</v>
      </c>
      <c r="C875" s="48" t="s">
        <v>909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925</v>
      </c>
      <c r="C876" s="48" t="s">
        <v>654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926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927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928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929</v>
      </c>
      <c r="C880" s="48" t="s">
        <v>909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930</v>
      </c>
      <c r="C881" s="48" t="s">
        <v>654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931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932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933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934</v>
      </c>
      <c r="C885" s="48" t="s">
        <v>909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935</v>
      </c>
      <c r="C886" s="48" t="s">
        <v>654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936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937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938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939</v>
      </c>
      <c r="C890" s="48" t="s">
        <v>909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940</v>
      </c>
      <c r="C891" s="48" t="s">
        <v>654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941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942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943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944</v>
      </c>
      <c r="C895" s="48" t="s">
        <v>909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945</v>
      </c>
      <c r="C896" s="48" t="s">
        <v>654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946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947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948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949</v>
      </c>
      <c r="C900" s="48" t="s">
        <v>909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950</v>
      </c>
      <c r="C901" s="48" t="s">
        <v>654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951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952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953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954</v>
      </c>
      <c r="C905" s="48" t="s">
        <v>909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955</v>
      </c>
      <c r="C906" s="48" t="s">
        <v>654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956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957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958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959</v>
      </c>
      <c r="C910" s="48" t="s">
        <v>909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960</v>
      </c>
      <c r="C911" s="48" t="s">
        <v>654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961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962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963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964</v>
      </c>
      <c r="C915" s="48" t="s">
        <v>909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965</v>
      </c>
      <c r="C916" s="48" t="s">
        <v>654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966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967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968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969</v>
      </c>
      <c r="C920" s="48" t="s">
        <v>909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970</v>
      </c>
      <c r="C921" s="48" t="s">
        <v>654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971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972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973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974</v>
      </c>
      <c r="C925" s="48" t="s">
        <v>909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975</v>
      </c>
      <c r="C926" s="48" t="s">
        <v>654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976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977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978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979</v>
      </c>
      <c r="C930" s="48" t="s">
        <v>909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980</v>
      </c>
      <c r="C931" s="48" t="s">
        <v>654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981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982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983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984</v>
      </c>
      <c r="C935" s="48" t="s">
        <v>909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985</v>
      </c>
      <c r="C936" s="48" t="s">
        <v>654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986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987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988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989</v>
      </c>
      <c r="C940" s="48" t="s">
        <v>909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990</v>
      </c>
      <c r="C941" s="48" t="s">
        <v>654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991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992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993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994</v>
      </c>
      <c r="C945" s="48" t="s">
        <v>909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995</v>
      </c>
      <c r="C946" s="48" t="s">
        <v>654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996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997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998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999</v>
      </c>
      <c r="C950" s="48" t="s">
        <v>909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1000</v>
      </c>
      <c r="C951" s="48" t="s">
        <v>654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1001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1002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1003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1004</v>
      </c>
      <c r="C955" s="48" t="s">
        <v>909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1005</v>
      </c>
      <c r="C956" s="48" t="s">
        <v>654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1006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1007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1008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1009</v>
      </c>
      <c r="C960" s="48" t="s">
        <v>909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1010</v>
      </c>
      <c r="C961" s="48" t="s">
        <v>654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1011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1012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1013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1014</v>
      </c>
      <c r="C965" s="48" t="s">
        <v>909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1015</v>
      </c>
      <c r="C966" s="48" t="s">
        <v>654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1016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1017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1018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1019</v>
      </c>
      <c r="C970" s="48" t="s">
        <v>909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1020</v>
      </c>
      <c r="C971" s="48" t="s">
        <v>654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1021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1022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1023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1024</v>
      </c>
      <c r="C975" s="48" t="s">
        <v>909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1025</v>
      </c>
      <c r="C976" s="48" t="s">
        <v>654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1026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1027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1028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1029</v>
      </c>
      <c r="C980" s="48" t="s">
        <v>909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1030</v>
      </c>
      <c r="C981" s="48" t="s">
        <v>654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1031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1032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1033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1034</v>
      </c>
      <c r="C985" s="48" t="s">
        <v>1035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1036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1037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1038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1039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1040</v>
      </c>
      <c r="C990" s="48" t="s">
        <v>1035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1041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1042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1043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1044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1045</v>
      </c>
      <c r="C995" s="48" t="s">
        <v>1035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1046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1047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1048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1049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1050</v>
      </c>
      <c r="C1000" s="48" t="s">
        <v>1035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1051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1052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1053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1054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1055</v>
      </c>
      <c r="C1005" s="48" t="s">
        <v>1035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1056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1057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1058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1059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1060</v>
      </c>
      <c r="C1010" s="48" t="s">
        <v>1035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1061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1062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1063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1064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1065</v>
      </c>
      <c r="C1015" s="48" t="s">
        <v>1035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1066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1067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1068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1069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1070</v>
      </c>
      <c r="C1020" s="48" t="s">
        <v>1035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1071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1072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1073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1074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1075</v>
      </c>
      <c r="C1025" s="48" t="s">
        <v>1035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1076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1077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1078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1079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1080</v>
      </c>
      <c r="C1030" s="48" t="s">
        <v>1035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1081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1082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1083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1084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1085</v>
      </c>
      <c r="C1035" s="48" t="s">
        <v>1035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1086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1087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1088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1089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1090</v>
      </c>
      <c r="C1040" s="48" t="s">
        <v>1035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1091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1092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1093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1094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1095</v>
      </c>
      <c r="C1045" s="48" t="s">
        <v>1035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1096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1097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1098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1099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1100</v>
      </c>
      <c r="C1050" s="48" t="s">
        <v>1035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1101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1102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1103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1104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1105</v>
      </c>
      <c r="C1055" s="48" t="s">
        <v>1035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1106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1107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1108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1109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1110</v>
      </c>
      <c r="C1060" s="48" t="s">
        <v>1035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1111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1112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1113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1114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1115</v>
      </c>
      <c r="C1065" s="48" t="s">
        <v>1035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1116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1117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1118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1119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1120</v>
      </c>
      <c r="C1070" s="48" t="s">
        <v>1035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1121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1122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1123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1124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1125</v>
      </c>
      <c r="C1075" s="48" t="s">
        <v>1035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1126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1127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1128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1129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1130</v>
      </c>
      <c r="C1080" s="48" t="s">
        <v>1035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1131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1132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1133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1134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1135</v>
      </c>
      <c r="C1085" s="48" t="s">
        <v>1035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1136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1137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1138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1139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1140</v>
      </c>
      <c r="C1090" s="48" t="s">
        <v>1035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1141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1142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1143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1144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1145</v>
      </c>
      <c r="C1095" s="48" t="s">
        <v>1035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1146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1147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1148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1149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1150</v>
      </c>
      <c r="C1100" s="48" t="s">
        <v>1035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1151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1152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1153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1154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1155</v>
      </c>
      <c r="C1105" s="48" t="s">
        <v>1035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1156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1157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1158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opLeftCell="A46" zoomScale="70" zoomScaleNormal="70" workbookViewId="0">
      <selection activeCell="AH48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27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1163</v>
      </c>
      <c r="BR3" s="8"/>
      <c r="BS3" s="8"/>
      <c r="BT3" s="8"/>
      <c r="BU3" s="8"/>
      <c r="BV3" s="8"/>
      <c r="BW3" s="8"/>
      <c r="BX3" s="8" t="s">
        <v>1164</v>
      </c>
      <c r="BY3" s="8"/>
      <c r="BZ3" s="8"/>
      <c r="CA3" s="8"/>
      <c r="CB3" s="8"/>
      <c r="CC3" s="9"/>
    </row>
    <row r="4" spans="2:81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28</v>
      </c>
      <c r="AI4" s="11"/>
      <c r="AJ4" s="11"/>
      <c r="AK4" s="11"/>
      <c r="AL4" s="11"/>
      <c r="AM4" s="11"/>
      <c r="AN4" s="8"/>
      <c r="AO4" s="8" t="s">
        <v>31</v>
      </c>
      <c r="AP4" s="11"/>
      <c r="AQ4" s="11"/>
      <c r="AR4" s="11"/>
      <c r="AS4" s="11"/>
      <c r="AT4" s="11"/>
      <c r="AU4" s="8"/>
      <c r="AV4" s="8" t="s">
        <v>30</v>
      </c>
      <c r="AW4" s="11"/>
      <c r="AX4" s="11"/>
      <c r="AY4" s="11"/>
      <c r="AZ4" s="11"/>
      <c r="BA4" s="11"/>
      <c r="BB4" s="8"/>
      <c r="BC4" s="8" t="s">
        <v>29</v>
      </c>
      <c r="BD4" s="11"/>
      <c r="BE4" s="11"/>
      <c r="BF4" s="11"/>
      <c r="BG4" s="11"/>
      <c r="BH4" s="34"/>
      <c r="BJ4" s="7" t="s">
        <v>35</v>
      </c>
      <c r="BK4" s="8"/>
      <c r="BL4" s="8"/>
      <c r="BM4" s="8"/>
      <c r="BN4" s="8"/>
      <c r="BO4" s="8"/>
      <c r="BP4" s="8"/>
      <c r="BQ4" s="8" t="s">
        <v>1162</v>
      </c>
      <c r="BR4" s="8"/>
      <c r="BS4" s="8"/>
      <c r="BT4" s="8"/>
      <c r="BU4" s="8"/>
      <c r="BV4" s="58"/>
      <c r="BW4" s="8"/>
      <c r="BX4" s="8" t="s">
        <v>1161</v>
      </c>
      <c r="BY4" s="8"/>
      <c r="BZ4" s="8"/>
      <c r="CA4" s="8"/>
      <c r="CB4" s="8"/>
      <c r="CC4" s="9"/>
    </row>
    <row r="5" spans="2:81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8"/>
      <c r="BQ6" s="23">
        <v>1</v>
      </c>
      <c r="BR6" s="16">
        <f>AI6+AP6*2+AW6*3+BD6*4</f>
        <v>0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8"/>
      <c r="BX6" s="23">
        <v>1</v>
      </c>
      <c r="BY6" s="16">
        <f>AI6+AP6*POWER(2,$O6)+AW6*POWER(3,$O6)+BD6*POWER(4,$O6)</f>
        <v>0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0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1</v>
      </c>
      <c r="BP7" s="8"/>
      <c r="BQ7" s="23">
        <v>2</v>
      </c>
      <c r="BR7" s="16">
        <f t="shared" ref="BR7:BR30" si="13">AI7+AP7*2+AW7*3+BD7*4</f>
        <v>0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1</v>
      </c>
      <c r="BW7" s="8"/>
      <c r="BX7" s="23">
        <v>2</v>
      </c>
      <c r="BY7" s="16">
        <f t="shared" ref="BY7:BY30" si="18">AI7+AP7*POWER(2,$O7)+AW7*POWER(3,$O7)+BD7*POWER(4,$O7)</f>
        <v>0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1</v>
      </c>
    </row>
    <row r="8" spans="2:81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0</v>
      </c>
      <c r="BM8" s="16">
        <f t="shared" si="10"/>
        <v>1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0</v>
      </c>
      <c r="BT8" s="16">
        <f t="shared" si="15"/>
        <v>1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0</v>
      </c>
      <c r="CA8" s="16">
        <f t="shared" si="20"/>
        <v>1</v>
      </c>
      <c r="CB8" s="16">
        <f t="shared" si="21"/>
        <v>0</v>
      </c>
      <c r="CC8" s="19">
        <f t="shared" si="22"/>
        <v>0</v>
      </c>
    </row>
    <row r="9" spans="2:81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1</v>
      </c>
      <c r="BN9" s="16">
        <f t="shared" si="11"/>
        <v>0</v>
      </c>
      <c r="BO9" s="16">
        <f t="shared" si="12"/>
        <v>0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1</v>
      </c>
      <c r="BU9" s="16">
        <f t="shared" si="16"/>
        <v>0</v>
      </c>
      <c r="BV9" s="16">
        <f t="shared" si="17"/>
        <v>0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1</v>
      </c>
      <c r="CB9" s="16">
        <f t="shared" si="21"/>
        <v>0</v>
      </c>
      <c r="CC9" s="19">
        <f t="shared" si="22"/>
        <v>0</v>
      </c>
    </row>
    <row r="10" spans="2:81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1</v>
      </c>
      <c r="BN10" s="16">
        <f t="shared" si="11"/>
        <v>0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4</v>
      </c>
      <c r="BU10" s="16">
        <f t="shared" si="16"/>
        <v>0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3.4822022531844965</v>
      </c>
      <c r="CB10" s="16">
        <f t="shared" si="21"/>
        <v>0</v>
      </c>
      <c r="CC10" s="19">
        <f t="shared" si="22"/>
        <v>0</v>
      </c>
    </row>
    <row r="11" spans="2:81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1</v>
      </c>
      <c r="BP11" s="8"/>
      <c r="BQ11" s="23">
        <v>6</v>
      </c>
      <c r="BR11" s="16">
        <f t="shared" si="13"/>
        <v>0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1</v>
      </c>
      <c r="BW11" s="8"/>
      <c r="BX11" s="23">
        <v>6</v>
      </c>
      <c r="BY11" s="16">
        <f t="shared" si="18"/>
        <v>0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1</v>
      </c>
    </row>
    <row r="12" spans="2:81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0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0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1</v>
      </c>
      <c r="BL13" s="16">
        <f t="shared" si="9"/>
        <v>0</v>
      </c>
      <c r="BM13" s="16">
        <f t="shared" si="10"/>
        <v>0</v>
      </c>
      <c r="BN13" s="16">
        <f t="shared" si="11"/>
        <v>0</v>
      </c>
      <c r="BO13" s="16">
        <f t="shared" si="12"/>
        <v>0</v>
      </c>
      <c r="BP13" s="8"/>
      <c r="BQ13" s="23">
        <v>8</v>
      </c>
      <c r="BR13" s="16">
        <f t="shared" si="13"/>
        <v>1</v>
      </c>
      <c r="BS13" s="16">
        <f t="shared" si="14"/>
        <v>0</v>
      </c>
      <c r="BT13" s="16">
        <f t="shared" si="15"/>
        <v>0</v>
      </c>
      <c r="BU13" s="16">
        <f t="shared" si="16"/>
        <v>0</v>
      </c>
      <c r="BV13" s="16">
        <f t="shared" si="17"/>
        <v>0</v>
      </c>
      <c r="BW13" s="8"/>
      <c r="BX13" s="23">
        <v>8</v>
      </c>
      <c r="BY13" s="16">
        <f t="shared" si="18"/>
        <v>1</v>
      </c>
      <c r="BZ13" s="16">
        <f t="shared" si="19"/>
        <v>0</v>
      </c>
      <c r="CA13" s="16">
        <f t="shared" si="20"/>
        <v>0</v>
      </c>
      <c r="CB13" s="16">
        <f t="shared" si="21"/>
        <v>0</v>
      </c>
      <c r="CC13" s="19">
        <f t="shared" si="22"/>
        <v>0</v>
      </c>
    </row>
    <row r="14" spans="2:81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0</v>
      </c>
      <c r="BM14" s="16">
        <f t="shared" si="10"/>
        <v>0</v>
      </c>
      <c r="BN14" s="16">
        <f t="shared" si="11"/>
        <v>1</v>
      </c>
      <c r="BO14" s="16">
        <f t="shared" si="12"/>
        <v>0</v>
      </c>
      <c r="BP14" s="8"/>
      <c r="BQ14" s="23">
        <v>9</v>
      </c>
      <c r="BR14" s="16">
        <f t="shared" si="13"/>
        <v>0</v>
      </c>
      <c r="BS14" s="16">
        <f t="shared" si="14"/>
        <v>0</v>
      </c>
      <c r="BT14" s="16">
        <f t="shared" si="15"/>
        <v>0</v>
      </c>
      <c r="BU14" s="16">
        <f t="shared" si="16"/>
        <v>3</v>
      </c>
      <c r="BV14" s="16">
        <f t="shared" si="17"/>
        <v>0</v>
      </c>
      <c r="BW14" s="8"/>
      <c r="BX14" s="23">
        <v>9</v>
      </c>
      <c r="BY14" s="16">
        <f t="shared" si="18"/>
        <v>0</v>
      </c>
      <c r="BZ14" s="16">
        <f t="shared" si="19"/>
        <v>0</v>
      </c>
      <c r="CA14" s="16">
        <f t="shared" si="20"/>
        <v>0</v>
      </c>
      <c r="CB14" s="16">
        <f t="shared" si="21"/>
        <v>2.4082246852806923</v>
      </c>
      <c r="CC14" s="19">
        <f t="shared" si="22"/>
        <v>0</v>
      </c>
    </row>
    <row r="15" spans="2:81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8"/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9"/>
        <v>0</v>
      </c>
      <c r="BM15" s="16">
        <f t="shared" si="10"/>
        <v>0</v>
      </c>
      <c r="BN15" s="16">
        <f t="shared" si="11"/>
        <v>0</v>
      </c>
      <c r="BO15" s="16">
        <f t="shared" si="12"/>
        <v>1</v>
      </c>
      <c r="BP15" s="8"/>
      <c r="BQ15" s="23">
        <v>10</v>
      </c>
      <c r="BR15" s="16">
        <f t="shared" si="13"/>
        <v>0</v>
      </c>
      <c r="BS15" s="16">
        <f t="shared" si="14"/>
        <v>0</v>
      </c>
      <c r="BT15" s="16">
        <f t="shared" si="15"/>
        <v>0</v>
      </c>
      <c r="BU15" s="16">
        <f t="shared" si="16"/>
        <v>0</v>
      </c>
      <c r="BV15" s="16">
        <f t="shared" si="17"/>
        <v>3</v>
      </c>
      <c r="BW15" s="8"/>
      <c r="BX15" s="23">
        <v>10</v>
      </c>
      <c r="BY15" s="16">
        <f t="shared" si="18"/>
        <v>0</v>
      </c>
      <c r="BZ15" s="16">
        <f t="shared" si="19"/>
        <v>0</v>
      </c>
      <c r="CA15" s="16">
        <f t="shared" si="20"/>
        <v>0</v>
      </c>
      <c r="CB15" s="16">
        <f t="shared" si="21"/>
        <v>0</v>
      </c>
      <c r="CC15" s="19">
        <f t="shared" si="22"/>
        <v>2.4082246852806923</v>
      </c>
    </row>
    <row r="16" spans="2:81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1</v>
      </c>
      <c r="AJ16" s="16">
        <v>0</v>
      </c>
      <c r="AK16" s="16">
        <v>0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1</v>
      </c>
      <c r="BL16" s="16">
        <f t="shared" si="9"/>
        <v>0</v>
      </c>
      <c r="BM16" s="16">
        <f t="shared" si="10"/>
        <v>0</v>
      </c>
      <c r="BN16" s="16">
        <f t="shared" si="11"/>
        <v>0</v>
      </c>
      <c r="BO16" s="16">
        <f t="shared" si="12"/>
        <v>0</v>
      </c>
      <c r="BP16" s="8"/>
      <c r="BQ16" s="23">
        <v>11</v>
      </c>
      <c r="BR16" s="16">
        <f t="shared" si="13"/>
        <v>1</v>
      </c>
      <c r="BS16" s="16">
        <f t="shared" si="14"/>
        <v>0</v>
      </c>
      <c r="BT16" s="16">
        <f t="shared" si="15"/>
        <v>0</v>
      </c>
      <c r="BU16" s="16">
        <f t="shared" si="16"/>
        <v>0</v>
      </c>
      <c r="BV16" s="16">
        <f t="shared" si="17"/>
        <v>0</v>
      </c>
      <c r="BW16" s="8"/>
      <c r="BX16" s="23">
        <v>11</v>
      </c>
      <c r="BY16" s="16">
        <f t="shared" si="18"/>
        <v>1</v>
      </c>
      <c r="BZ16" s="16">
        <f t="shared" si="19"/>
        <v>0</v>
      </c>
      <c r="CA16" s="16">
        <f t="shared" si="20"/>
        <v>0</v>
      </c>
      <c r="CB16" s="16">
        <f t="shared" si="21"/>
        <v>0</v>
      </c>
      <c r="CC16" s="19">
        <f t="shared" si="22"/>
        <v>0</v>
      </c>
    </row>
    <row r="17" spans="2:81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0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0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0</v>
      </c>
    </row>
    <row r="19" spans="2:81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9"/>
        <v>0</v>
      </c>
      <c r="BM20" s="16">
        <f t="shared" si="10"/>
        <v>0</v>
      </c>
      <c r="BN20" s="16">
        <f t="shared" si="11"/>
        <v>1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0</v>
      </c>
      <c r="BT20" s="16">
        <f t="shared" si="15"/>
        <v>0</v>
      </c>
      <c r="BU20" s="16">
        <f t="shared" si="16"/>
        <v>4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0</v>
      </c>
      <c r="CA20" s="16">
        <f t="shared" si="20"/>
        <v>0</v>
      </c>
      <c r="CB20" s="16">
        <f t="shared" si="21"/>
        <v>3.031433133020796</v>
      </c>
      <c r="CC20" s="19">
        <f t="shared" si="22"/>
        <v>0</v>
      </c>
    </row>
    <row r="21" spans="2:81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0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0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8"/>
      <c r="AO26" s="23">
        <v>21</v>
      </c>
      <c r="AP26" s="16">
        <v>1</v>
      </c>
      <c r="AQ26" s="16">
        <v>0</v>
      </c>
      <c r="AR26" s="16">
        <v>0</v>
      </c>
      <c r="AS26" s="16">
        <v>0</v>
      </c>
      <c r="AT26" s="16">
        <v>0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1</v>
      </c>
      <c r="BL26" s="16">
        <f t="shared" si="9"/>
        <v>0</v>
      </c>
      <c r="BM26" s="16">
        <f t="shared" si="10"/>
        <v>0</v>
      </c>
      <c r="BN26" s="16">
        <f t="shared" si="11"/>
        <v>0</v>
      </c>
      <c r="BO26" s="16">
        <f t="shared" si="12"/>
        <v>0</v>
      </c>
      <c r="BP26" s="8"/>
      <c r="BQ26" s="23">
        <v>21</v>
      </c>
      <c r="BR26" s="16">
        <f t="shared" si="13"/>
        <v>2</v>
      </c>
      <c r="BS26" s="16">
        <f t="shared" si="14"/>
        <v>0</v>
      </c>
      <c r="BT26" s="16">
        <f t="shared" si="15"/>
        <v>0</v>
      </c>
      <c r="BU26" s="16">
        <f t="shared" si="16"/>
        <v>0</v>
      </c>
      <c r="BV26" s="16">
        <f t="shared" si="17"/>
        <v>0</v>
      </c>
      <c r="BW26" s="8"/>
      <c r="BX26" s="23">
        <v>21</v>
      </c>
      <c r="BY26" s="16">
        <f t="shared" si="18"/>
        <v>1.515716566510398</v>
      </c>
      <c r="BZ26" s="16">
        <f t="shared" si="19"/>
        <v>0</v>
      </c>
      <c r="CA26" s="16">
        <f t="shared" si="20"/>
        <v>0</v>
      </c>
      <c r="CB26" s="16">
        <f t="shared" si="21"/>
        <v>0</v>
      </c>
      <c r="CC26" s="19">
        <f t="shared" si="22"/>
        <v>0</v>
      </c>
    </row>
    <row r="27" spans="2:81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9"/>
        <v>0</v>
      </c>
      <c r="BM27" s="16">
        <f t="shared" si="10"/>
        <v>0</v>
      </c>
      <c r="BN27" s="16">
        <f t="shared" si="11"/>
        <v>0</v>
      </c>
      <c r="BO27" s="16">
        <f t="shared" si="12"/>
        <v>1</v>
      </c>
      <c r="BP27" s="8"/>
      <c r="BQ27" s="23">
        <v>22</v>
      </c>
      <c r="BR27" s="16">
        <f t="shared" si="13"/>
        <v>0</v>
      </c>
      <c r="BS27" s="16">
        <f t="shared" si="14"/>
        <v>0</v>
      </c>
      <c r="BT27" s="16">
        <f t="shared" si="15"/>
        <v>0</v>
      </c>
      <c r="BU27" s="16">
        <f t="shared" si="16"/>
        <v>0</v>
      </c>
      <c r="BV27" s="16">
        <f t="shared" si="17"/>
        <v>1</v>
      </c>
      <c r="BW27" s="8"/>
      <c r="BX27" s="23">
        <v>22</v>
      </c>
      <c r="BY27" s="16">
        <f t="shared" si="18"/>
        <v>0</v>
      </c>
      <c r="BZ27" s="16">
        <f t="shared" si="19"/>
        <v>0</v>
      </c>
      <c r="CA27" s="16">
        <f t="shared" si="20"/>
        <v>0</v>
      </c>
      <c r="CB27" s="16">
        <f t="shared" si="21"/>
        <v>0</v>
      </c>
      <c r="CC27" s="19">
        <f t="shared" si="22"/>
        <v>1</v>
      </c>
    </row>
    <row r="28" spans="2:81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1</v>
      </c>
      <c r="BP28" s="8"/>
      <c r="BQ28" s="23">
        <v>23</v>
      </c>
      <c r="BR28" s="16">
        <f t="shared" si="13"/>
        <v>0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1</v>
      </c>
      <c r="BW28" s="8"/>
      <c r="BX28" s="23">
        <v>23</v>
      </c>
      <c r="BY28" s="16">
        <f t="shared" si="18"/>
        <v>0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1</v>
      </c>
    </row>
    <row r="29" spans="2:81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2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1.7411011265922482</v>
      </c>
    </row>
    <row r="30" spans="2:81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9"/>
        <v>1</v>
      </c>
      <c r="BM30" s="16">
        <f t="shared" si="10"/>
        <v>0</v>
      </c>
      <c r="BN30" s="16">
        <f t="shared" si="11"/>
        <v>0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4</v>
      </c>
      <c r="BT30" s="16">
        <f t="shared" si="15"/>
        <v>0</v>
      </c>
      <c r="BU30" s="16">
        <f t="shared" si="16"/>
        <v>0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3.4822022531844965</v>
      </c>
      <c r="CA30" s="16">
        <f t="shared" si="20"/>
        <v>0</v>
      </c>
      <c r="CB30" s="16">
        <f t="shared" si="21"/>
        <v>0</v>
      </c>
      <c r="CC30" s="19">
        <f t="shared" si="22"/>
        <v>0</v>
      </c>
    </row>
    <row r="31" spans="2:81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32</v>
      </c>
      <c r="AI31" s="8">
        <v>1</v>
      </c>
      <c r="AJ31" s="8"/>
      <c r="AK31" s="8"/>
      <c r="AL31" s="8"/>
      <c r="AM31" s="8"/>
      <c r="AN31" s="8"/>
      <c r="AO31" s="8" t="s">
        <v>32</v>
      </c>
      <c r="AP31" s="8">
        <v>2</v>
      </c>
      <c r="AQ31" s="8"/>
      <c r="AR31" s="8"/>
      <c r="AS31" s="8"/>
      <c r="AT31" s="8"/>
      <c r="AU31" s="8"/>
      <c r="AV31" s="8" t="s">
        <v>32</v>
      </c>
      <c r="AW31" s="8">
        <v>3</v>
      </c>
      <c r="AX31" s="8"/>
      <c r="AY31" s="8"/>
      <c r="AZ31" s="8"/>
      <c r="BA31" s="8"/>
      <c r="BB31" s="8"/>
      <c r="BC31" s="8" t="s">
        <v>32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2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26</v>
      </c>
      <c r="AB34" s="8"/>
      <c r="AC34" s="8"/>
      <c r="AD34" s="8"/>
      <c r="AE34" s="8"/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BJ37" s="62" t="s">
        <v>1165</v>
      </c>
    </row>
    <row r="38" spans="2:81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</row>
    <row r="39" spans="2:8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BJ40" s="16">
        <v>2</v>
      </c>
      <c r="BK40" s="61" cm="1">
        <f t="array" aca="1" ref="BK40" ca="1">BY7*$C7*$L7*POWER($F7,$O7)*INDIRECT(ADDRESS(32+COLUMNS($A$1:A2),9))</f>
        <v>0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31.036911478307196</v>
      </c>
      <c r="BP40" s="1">
        <f t="shared" ref="BP40:BP64" ca="1" si="23">SUM(BK40:BO40)</f>
        <v>31.036911478307196</v>
      </c>
    </row>
    <row r="41" spans="2:81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23"/>
        <v>194.4787916031315</v>
      </c>
    </row>
    <row r="42" spans="2:81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23"/>
        <v>61.982472786971179</v>
      </c>
    </row>
    <row r="43" spans="2:81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23"/>
        <v>1383.6776951677273</v>
      </c>
    </row>
    <row r="44" spans="2:81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  <c r="BJ44" s="16">
        <v>6</v>
      </c>
      <c r="BK44" s="61" cm="1">
        <f t="array" aca="1" ref="BK44" ca="1">BY11*$C11*$L11*POWER($F11,$O11)*INDIRECT(ADDRESS(32+COLUMNS($A$1:A6),9))</f>
        <v>0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14.333707577554534</v>
      </c>
      <c r="BP44" s="1">
        <f t="shared" ca="1" si="23"/>
        <v>14.333707577554534</v>
      </c>
    </row>
    <row r="45" spans="2:8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23"/>
        <v>0</v>
      </c>
    </row>
    <row r="46" spans="2:81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  <c r="BJ46" s="16">
        <v>8</v>
      </c>
      <c r="BK46" s="61" cm="1">
        <f t="array" aca="1" ref="BK46" ca="1">BY13*$C13*$L13*POWER($F13,$O13)*INDIRECT(ADDRESS(32+COLUMNS($A$1:A8),9))</f>
        <v>14.585909370234862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0</v>
      </c>
      <c r="BP46" s="1">
        <f t="shared" ca="1" si="23"/>
        <v>14.585909370234862</v>
      </c>
    </row>
    <row r="47" spans="2:81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23"/>
        <v>293.2988134700031</v>
      </c>
    </row>
    <row r="48" spans="2:81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/>
      <c r="BJ48" s="16">
        <v>10</v>
      </c>
      <c r="BK48" s="61" cm="1">
        <f t="array" aca="1" ref="BK48" ca="1">BY15*$C15*$L15*POWER($F15,$O15)*INDIRECT(ADDRESS(32+COLUMNS($A$1:A10),9))</f>
        <v>0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125.3576818177493</v>
      </c>
      <c r="BP48" s="1">
        <f t="shared" ca="1" si="23"/>
        <v>125.3576818177493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BJ49" s="16">
        <v>11</v>
      </c>
      <c r="BK49" s="61" cm="1">
        <f t="array" aca="1" ref="BK49" ca="1">BY16*$C16*$L16*POWER($F16,$O16)*INDIRECT(ADDRESS(32+COLUMNS($A$1:A11),9))</f>
        <v>14.577768528468802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23"/>
        <v>14.577768528468802</v>
      </c>
    </row>
    <row r="50" spans="1:91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23"/>
        <v>369.11634255085556</v>
      </c>
    </row>
    <row r="51" spans="1:91" ht="16.2" thickBot="1" x14ac:dyDescent="0.35"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23"/>
        <v>0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23"/>
        <v>1871.9999999999998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4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23"/>
        <v>812.23925749895227</v>
      </c>
    </row>
    <row r="54" spans="1:91" x14ac:dyDescent="0.3">
      <c r="B54" s="7"/>
      <c r="C54" s="8"/>
      <c r="D54" s="8"/>
      <c r="E54" s="8"/>
      <c r="F54" s="9"/>
      <c r="H54" s="10" t="s">
        <v>1</v>
      </c>
      <c r="I54" s="11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23"/>
        <v>0</v>
      </c>
    </row>
    <row r="55" spans="1:91" ht="16.2" thickBot="1" x14ac:dyDescent="0.35">
      <c r="B55" s="25" cm="1">
        <f t="array" ref="B55">SUMPRODUCT(MMULT(BY6:CC30*C6:C30*L6:L30*POWER(F6:F30,O6:O30),I33:I37))</f>
        <v>6945.7335192189566</v>
      </c>
      <c r="C55" s="26"/>
      <c r="D55" s="26"/>
      <c r="E55" s="26"/>
      <c r="F55" s="27"/>
      <c r="H55" s="25" t="s">
        <v>1160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23"/>
        <v>0</v>
      </c>
    </row>
    <row r="56" spans="1:91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23"/>
        <v>0</v>
      </c>
    </row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23"/>
        <v>0</v>
      </c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23"/>
        <v>0</v>
      </c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6">
        <v>21</v>
      </c>
      <c r="BK59" s="61" cm="1">
        <f t="array" aca="1" ref="BK59" ca="1">BY26*$C26*$L26*POWER($F26,$O26)*INDIRECT(ADDRESS(32+COLUMNS($A$1:A21),9))</f>
        <v>146.33698473728819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0</v>
      </c>
      <c r="BP59" s="1">
        <f t="shared" ca="1" si="23"/>
        <v>146.33698473728819</v>
      </c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6">
        <v>22</v>
      </c>
      <c r="BK60" s="61" cm="1">
        <f t="array" aca="1" ref="BK60" ca="1">BY27*$C27*$L27*POWER($F27,$O27)*INDIRECT(ADDRESS(32+COLUMNS($A$1:A22),9))</f>
        <v>0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53.577862653738528</v>
      </c>
      <c r="BP60" s="1">
        <f t="shared" ca="1" si="23"/>
        <v>53.577862653738528</v>
      </c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6">
        <v>23</v>
      </c>
      <c r="BK61" s="61" cm="1">
        <f t="array" aca="1" ref="BK61" ca="1">BY28*$C28*$L28*POWER($F28,$O28)*INDIRECT(ADDRESS(32+COLUMNS($A$1:A23),9))</f>
        <v>0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56</v>
      </c>
      <c r="BP61" s="1">
        <f t="shared" ca="1" si="23"/>
        <v>56</v>
      </c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33</v>
      </c>
      <c r="H62" s="8"/>
      <c r="I62" s="8"/>
      <c r="J62" s="8"/>
      <c r="K62" s="8"/>
      <c r="L62" s="8" t="s">
        <v>23</v>
      </c>
      <c r="M62" s="8"/>
      <c r="N62" s="8"/>
      <c r="O62" s="8"/>
      <c r="P62" s="8"/>
      <c r="Q62" s="8" t="s">
        <v>36</v>
      </c>
      <c r="R62" s="8"/>
      <c r="S62" s="8"/>
      <c r="T62" s="8"/>
      <c r="U62" s="8"/>
      <c r="V62" s="8" t="s">
        <v>37</v>
      </c>
      <c r="W62" s="8"/>
      <c r="X62" s="8"/>
      <c r="Y62" s="8"/>
      <c r="Z62" s="8"/>
      <c r="AA62" s="8" t="s">
        <v>38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71.894626096254626</v>
      </c>
      <c r="BP62" s="1">
        <f t="shared" ca="1" si="23"/>
        <v>71.894626096254626</v>
      </c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6.2" thickBot="1" x14ac:dyDescent="0.35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1</v>
      </c>
      <c r="I63" s="8" t="s">
        <v>24</v>
      </c>
      <c r="J63" s="8">
        <v>0</v>
      </c>
      <c r="K63" s="8"/>
      <c r="L63" s="8"/>
      <c r="M63" s="8" cm="1">
        <f t="array" ref="M63">SUM(AA6:AE6*BR6:BV6-U6*BK6:BO6)</f>
        <v>-12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25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23"/>
        <v>1317.3966981156575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6.2" thickBot="1" x14ac:dyDescent="0.35">
      <c r="A64" s="8"/>
      <c r="B64" s="7"/>
      <c r="C64" s="8">
        <f t="shared" ref="C64:C86" si="24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3</v>
      </c>
      <c r="I64" s="8" t="s">
        <v>24</v>
      </c>
      <c r="J64" s="8">
        <v>0</v>
      </c>
      <c r="K64" s="8"/>
      <c r="L64" s="8"/>
      <c r="M64" s="8" cm="1">
        <f t="array" ref="M64">SUM(AA7:AE7*BR7:BV7-U7*BK7:BO7)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-1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25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1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0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62" t="s">
        <v>1168</v>
      </c>
      <c r="BK64" s="8">
        <f ca="1">SUM(BK39:BK63)</f>
        <v>175.50066263599186</v>
      </c>
      <c r="BL64" s="8">
        <f t="shared" ref="BL64:BO64" ca="1" si="25">SUM(BL39:BL63)</f>
        <v>1317.3966981156575</v>
      </c>
      <c r="BM64" s="8">
        <f t="shared" ca="1" si="25"/>
        <v>3512.1389595578294</v>
      </c>
      <c r="BN64" s="8">
        <f t="shared" ca="1" si="25"/>
        <v>1588.4964092858727</v>
      </c>
      <c r="BO64" s="8">
        <f t="shared" ca="1" si="25"/>
        <v>352.20078962360418</v>
      </c>
      <c r="BP64" s="59">
        <f t="shared" ca="1" si="23"/>
        <v>6945.7335192189557</v>
      </c>
      <c r="BQ64" s="8" t="s">
        <v>1167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 t="shared" si="24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1</v>
      </c>
      <c r="I65" s="8" t="s">
        <v>24</v>
      </c>
      <c r="J65" s="8">
        <v>0</v>
      </c>
      <c r="K65" s="8"/>
      <c r="L65" s="8"/>
      <c r="M65" s="8" cm="1">
        <f t="array" ref="M65">SUM(AA8:AE8*BR8:BV8-U8*BK8:BO8)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25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24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2</v>
      </c>
      <c r="I66" s="8" t="s">
        <v>24</v>
      </c>
      <c r="J66" s="8">
        <v>0</v>
      </c>
      <c r="K66" s="8"/>
      <c r="L66" s="8"/>
      <c r="M66" s="8" cm="1">
        <f t="array" ref="M66">SUM(AA9:AE9*BR9:BV9-U9*BK9:BO9)</f>
        <v>-6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-2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25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4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7</v>
      </c>
      <c r="I67" s="8" t="s">
        <v>24</v>
      </c>
      <c r="J67" s="8">
        <v>0</v>
      </c>
      <c r="K67" s="8"/>
      <c r="L67" s="8"/>
      <c r="M67" s="8" cm="1">
        <f t="array" ref="M67">SUM(AA10:AE10*BR10:BV10-U10*BK10:BO10)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-2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4"/>
        <v>1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2</v>
      </c>
      <c r="I68" s="8" t="s">
        <v>24</v>
      </c>
      <c r="J68" s="8">
        <v>0</v>
      </c>
      <c r="K68" s="8"/>
      <c r="L68" s="8"/>
      <c r="M68" s="8" cm="1">
        <f t="array" ref="M68">SUM(AA11:AE11*BR11:BV11-U11*BK11:BO11)</f>
        <v>-18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4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24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4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24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4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7</v>
      </c>
      <c r="I71" s="8" t="s">
        <v>24</v>
      </c>
      <c r="J71" s="8">
        <v>0</v>
      </c>
      <c r="K71" s="8"/>
      <c r="L71" s="8"/>
      <c r="M71" s="8" cm="1">
        <f t="array" ref="M71">SUM(AA14:AE14*BR14:BV14-U14*BK14:BO14)</f>
        <v>-2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4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8</v>
      </c>
      <c r="I72" s="8" t="s">
        <v>24</v>
      </c>
      <c r="J72" s="8">
        <v>0</v>
      </c>
      <c r="K72" s="8"/>
      <c r="L72" s="8"/>
      <c r="M72" s="8" cm="1">
        <f t="array" ref="M72">SUM(AA15:AE15*BR15:BV15-U15*BK15:BO15)</f>
        <v>-2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4"/>
        <v>1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4</v>
      </c>
      <c r="I73" s="8" t="s">
        <v>24</v>
      </c>
      <c r="J73" s="8">
        <v>0</v>
      </c>
      <c r="K73" s="8"/>
      <c r="L73" s="8"/>
      <c r="M73" s="8" cm="1">
        <f t="array" ref="M73">SUM(AA16:AE16*BR16:BV16-U16*BK16:BO16)</f>
        <v>-11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4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24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4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24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4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24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4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24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4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24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4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24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4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24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4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24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4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24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4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6</v>
      </c>
      <c r="I83" s="8" t="s">
        <v>24</v>
      </c>
      <c r="J83" s="8">
        <v>0</v>
      </c>
      <c r="K83" s="8"/>
      <c r="L83" s="8"/>
      <c r="M83" s="8" cm="1">
        <f t="array" ref="M83">SUM(AA26:AE26*BR26:BV26-U26*BK26:BO26)</f>
        <v>-16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4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24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4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24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4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9</v>
      </c>
      <c r="I86" s="8" t="s">
        <v>24</v>
      </c>
      <c r="J86" s="8">
        <v>0</v>
      </c>
      <c r="K86" s="8"/>
      <c r="L86" s="8"/>
      <c r="M86" s="8" cm="1">
        <f t="array" ref="M86">SUM(AA29:AE29*BR29:BV29-U29*BK29:BO29)</f>
        <v>-6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10</v>
      </c>
      <c r="I87" s="8" t="s">
        <v>24</v>
      </c>
      <c r="J87" s="8">
        <v>0</v>
      </c>
      <c r="K87" s="8"/>
      <c r="L87" s="8"/>
      <c r="M87" s="8" cm="1">
        <f t="array" ref="M87">SUM(AA30:AE30*BR30:BV30-U30*BK30:BO30)</f>
        <v>-2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9B71-5387-4853-AAF2-3FF0C2ED8987}">
  <dimension ref="A1:CG251"/>
  <sheetViews>
    <sheetView tabSelected="1" topLeftCell="A154" workbookViewId="0">
      <selection activeCell="E1" sqref="E1"/>
    </sheetView>
  </sheetViews>
  <sheetFormatPr defaultRowHeight="14.4" x14ac:dyDescent="0.3"/>
  <cols>
    <col min="5" max="5" width="9.5546875" bestFit="1" customWidth="1"/>
    <col min="34" max="34" width="21.109375" bestFit="1" customWidth="1"/>
  </cols>
  <sheetData>
    <row r="1" spans="1:85" ht="15.6" x14ac:dyDescent="0.3">
      <c r="A1" s="73" t="s">
        <v>1174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3" t="s">
        <v>8</v>
      </c>
      <c r="W1" s="74"/>
      <c r="X1" s="74"/>
      <c r="Y1" s="74"/>
      <c r="Z1" s="74"/>
      <c r="AA1" s="74"/>
      <c r="AB1" s="75"/>
      <c r="AG1" t="s">
        <v>1175</v>
      </c>
      <c r="AI1" s="73" t="s">
        <v>41</v>
      </c>
      <c r="AJ1" s="74"/>
      <c r="AK1" s="3" t="s">
        <v>1176</v>
      </c>
      <c r="AL1" s="74"/>
      <c r="AM1" s="74"/>
      <c r="AN1" s="74"/>
      <c r="AO1" s="74"/>
      <c r="AP1" s="74"/>
      <c r="AQ1" s="74"/>
      <c r="AR1" s="3" t="s">
        <v>1177</v>
      </c>
      <c r="AS1" s="74"/>
      <c r="AT1" s="74"/>
      <c r="AU1" s="74"/>
      <c r="AV1" s="74"/>
      <c r="AW1" s="74"/>
      <c r="AX1" s="74"/>
      <c r="AY1" s="3" t="s">
        <v>1178</v>
      </c>
      <c r="AZ1" s="74"/>
      <c r="BA1" s="74"/>
      <c r="BB1" s="74"/>
      <c r="BC1" s="74"/>
      <c r="BD1" s="74"/>
      <c r="BE1" s="74"/>
      <c r="BF1" s="3" t="s">
        <v>1179</v>
      </c>
      <c r="BG1" s="74"/>
      <c r="BH1" s="74"/>
      <c r="BI1" s="74"/>
      <c r="BJ1" s="74"/>
      <c r="BK1" s="75"/>
      <c r="BM1" s="73" t="s">
        <v>1180</v>
      </c>
      <c r="BN1" s="3" t="s">
        <v>35</v>
      </c>
      <c r="BO1" s="74"/>
      <c r="BP1" s="74"/>
      <c r="BQ1" s="74"/>
      <c r="BR1" s="74"/>
      <c r="BS1" s="74"/>
      <c r="BT1" s="74"/>
      <c r="BU1" s="3" t="s">
        <v>1162</v>
      </c>
      <c r="BV1" s="74"/>
      <c r="BW1" s="74"/>
      <c r="BX1" s="74"/>
      <c r="BY1" s="74"/>
      <c r="BZ1" s="76"/>
      <c r="CA1" s="74"/>
      <c r="CB1" s="3" t="s">
        <v>1181</v>
      </c>
      <c r="CC1" s="74"/>
      <c r="CD1" s="74"/>
      <c r="CE1" s="74"/>
      <c r="CF1" s="74"/>
      <c r="CG1" s="75"/>
    </row>
    <row r="2" spans="1:85" ht="15.6" x14ac:dyDescent="0.3">
      <c r="A2" s="77"/>
      <c r="B2" t="s">
        <v>9</v>
      </c>
      <c r="D2" t="s">
        <v>10</v>
      </c>
      <c r="G2" t="s">
        <v>1182</v>
      </c>
      <c r="J2" t="s">
        <v>1183</v>
      </c>
      <c r="M2" t="s">
        <v>1184</v>
      </c>
      <c r="P2" t="s">
        <v>1185</v>
      </c>
      <c r="S2" t="s">
        <v>1186</v>
      </c>
      <c r="V2" s="16" t="s">
        <v>7</v>
      </c>
      <c r="W2" s="78">
        <v>1</v>
      </c>
      <c r="X2" s="78">
        <v>2</v>
      </c>
      <c r="Y2" s="78">
        <v>3</v>
      </c>
      <c r="Z2" s="78">
        <v>4</v>
      </c>
      <c r="AA2" s="78">
        <v>5</v>
      </c>
      <c r="AB2" s="79"/>
      <c r="AI2" s="77" t="s">
        <v>1187</v>
      </c>
      <c r="AK2" s="16" t="s">
        <v>7</v>
      </c>
      <c r="AL2" s="78">
        <v>1</v>
      </c>
      <c r="AM2" s="78">
        <v>2</v>
      </c>
      <c r="AN2" s="78">
        <v>3</v>
      </c>
      <c r="AO2" s="78">
        <v>4</v>
      </c>
      <c r="AP2" s="78">
        <v>5</v>
      </c>
      <c r="AR2" s="16" t="s">
        <v>7</v>
      </c>
      <c r="AS2" s="78">
        <v>1</v>
      </c>
      <c r="AT2" s="78">
        <v>2</v>
      </c>
      <c r="AU2" s="78">
        <v>3</v>
      </c>
      <c r="AV2" s="78">
        <v>4</v>
      </c>
      <c r="AW2" s="78">
        <v>5</v>
      </c>
      <c r="AY2" s="16" t="s">
        <v>7</v>
      </c>
      <c r="AZ2" s="78">
        <v>1</v>
      </c>
      <c r="BA2" s="78">
        <v>2</v>
      </c>
      <c r="BB2" s="78">
        <v>3</v>
      </c>
      <c r="BC2" s="78">
        <v>4</v>
      </c>
      <c r="BD2" s="78">
        <v>5</v>
      </c>
      <c r="BF2" s="16" t="s">
        <v>7</v>
      </c>
      <c r="BG2" s="78">
        <v>1</v>
      </c>
      <c r="BH2" s="78">
        <v>2</v>
      </c>
      <c r="BI2" s="78">
        <v>3</v>
      </c>
      <c r="BJ2" s="78">
        <v>4</v>
      </c>
      <c r="BK2" s="80">
        <v>5</v>
      </c>
      <c r="BM2" s="77"/>
      <c r="BN2" s="16" t="s">
        <v>7</v>
      </c>
      <c r="BO2" s="78">
        <v>1</v>
      </c>
      <c r="BP2" s="78">
        <v>2</v>
      </c>
      <c r="BQ2" s="78">
        <v>3</v>
      </c>
      <c r="BR2" s="78">
        <v>4</v>
      </c>
      <c r="BS2" s="78">
        <v>5</v>
      </c>
      <c r="BU2" s="16" t="s">
        <v>7</v>
      </c>
      <c r="BV2" s="78">
        <v>1</v>
      </c>
      <c r="BW2" s="78">
        <v>2</v>
      </c>
      <c r="BX2" s="78">
        <v>3</v>
      </c>
      <c r="BY2" s="78">
        <v>4</v>
      </c>
      <c r="BZ2" s="80">
        <v>5</v>
      </c>
      <c r="CB2" s="16" t="s">
        <v>7</v>
      </c>
      <c r="CC2" s="78">
        <v>1</v>
      </c>
      <c r="CD2" s="78">
        <v>2</v>
      </c>
      <c r="CE2" s="78">
        <v>3</v>
      </c>
      <c r="CF2" s="78">
        <v>4</v>
      </c>
      <c r="CG2" s="80">
        <v>5</v>
      </c>
    </row>
    <row r="3" spans="1:85" x14ac:dyDescent="0.3">
      <c r="A3" s="81">
        <v>1</v>
      </c>
      <c r="B3" s="82">
        <v>15</v>
      </c>
      <c r="C3" s="83"/>
      <c r="D3" s="78">
        <v>1</v>
      </c>
      <c r="E3" s="82">
        <v>10</v>
      </c>
      <c r="F3" s="83"/>
      <c r="G3" s="78">
        <v>1</v>
      </c>
      <c r="H3" s="82">
        <v>3</v>
      </c>
      <c r="I3" s="83"/>
      <c r="J3" s="78">
        <v>1</v>
      </c>
      <c r="K3" s="82">
        <v>4</v>
      </c>
      <c r="L3" s="82"/>
      <c r="M3" s="78">
        <v>1</v>
      </c>
      <c r="N3" s="84">
        <v>0.5</v>
      </c>
      <c r="O3" s="84"/>
      <c r="P3" s="78">
        <v>1</v>
      </c>
      <c r="Q3" s="82">
        <v>2</v>
      </c>
      <c r="R3" s="82"/>
      <c r="S3" s="78">
        <v>1</v>
      </c>
      <c r="T3" s="82">
        <v>18</v>
      </c>
      <c r="V3" s="78">
        <v>1</v>
      </c>
      <c r="W3" s="85">
        <f>$E$134/$H3-MOD($E$134/$H3,1)</f>
        <v>11</v>
      </c>
      <c r="X3" s="85">
        <f>$E$135/$H3-MOD($E$135/$H3,1)</f>
        <v>10</v>
      </c>
      <c r="Y3" s="85">
        <f>$E$136/$H3-MOD($E$136/$H3,1)</f>
        <v>8</v>
      </c>
      <c r="Z3" s="85">
        <f>$E$137/$H3-MOD($E$137/$H3,1)</f>
        <v>9</v>
      </c>
      <c r="AA3" s="85">
        <f>$E$138/$H3-MOD($E$138/$H3,1)</f>
        <v>9</v>
      </c>
      <c r="AB3" s="79"/>
      <c r="AG3" s="78"/>
      <c r="AI3" s="77"/>
      <c r="AK3" s="78">
        <v>1</v>
      </c>
      <c r="AL3" s="85">
        <v>0</v>
      </c>
      <c r="AM3" s="85">
        <v>0</v>
      </c>
      <c r="AN3" s="85">
        <v>0</v>
      </c>
      <c r="AO3" s="85">
        <v>0</v>
      </c>
      <c r="AP3" s="85">
        <v>1</v>
      </c>
      <c r="AR3" s="78">
        <v>1</v>
      </c>
      <c r="AS3" s="85">
        <v>0</v>
      </c>
      <c r="AT3" s="85">
        <v>0</v>
      </c>
      <c r="AU3" s="85">
        <v>0</v>
      </c>
      <c r="AV3" s="85">
        <v>0</v>
      </c>
      <c r="AW3" s="85">
        <v>0</v>
      </c>
      <c r="AY3" s="78">
        <v>1</v>
      </c>
      <c r="AZ3" s="85">
        <v>0</v>
      </c>
      <c r="BA3" s="85">
        <v>0</v>
      </c>
      <c r="BB3" s="85">
        <v>0</v>
      </c>
      <c r="BC3" s="85">
        <v>0</v>
      </c>
      <c r="BD3" s="85">
        <v>0</v>
      </c>
      <c r="BF3" s="78">
        <v>1</v>
      </c>
      <c r="BG3" s="85">
        <v>0</v>
      </c>
      <c r="BH3" s="85">
        <v>0</v>
      </c>
      <c r="BI3" s="85">
        <v>0</v>
      </c>
      <c r="BJ3" s="85">
        <v>0</v>
      </c>
      <c r="BK3" s="86">
        <v>0</v>
      </c>
      <c r="BM3" s="77"/>
      <c r="BN3" s="78">
        <v>1</v>
      </c>
      <c r="BO3" s="85">
        <f>AL3+AS3+AZ3+BG3</f>
        <v>0</v>
      </c>
      <c r="BP3" s="85">
        <f>AM3+AT3+BA3+BH3</f>
        <v>0</v>
      </c>
      <c r="BQ3" s="85">
        <f>AN3+AU3+BB3+BI3</f>
        <v>0</v>
      </c>
      <c r="BR3" s="85">
        <f>AO3+AV3+BC3+BJ3</f>
        <v>0</v>
      </c>
      <c r="BS3" s="85">
        <f>AP3+AW3+BD3+BK3</f>
        <v>1</v>
      </c>
      <c r="BU3" s="78">
        <v>1</v>
      </c>
      <c r="BV3" s="85">
        <f>AL3+AS3*2+AZ3*3+BG3*4</f>
        <v>0</v>
      </c>
      <c r="BW3" s="85">
        <f>AM3+AT3*2+BA3*3+BH3*4</f>
        <v>0</v>
      </c>
      <c r="BX3" s="85">
        <f>AN3+AU3*2+BB3*3+BI3*4</f>
        <v>0</v>
      </c>
      <c r="BY3" s="85">
        <f>AO3+AV3*2+BC3*3+BJ3*4</f>
        <v>0</v>
      </c>
      <c r="BZ3" s="85">
        <f>AP3+AW3*2+BD3*3+BK3*4</f>
        <v>1</v>
      </c>
      <c r="CB3" s="78">
        <v>1</v>
      </c>
      <c r="CC3" s="78">
        <f>AL3+AS3*POWER(2,$N3)+AZ3*POWER(3,$N3)+BG3*POWER(4,$N3)</f>
        <v>0</v>
      </c>
      <c r="CD3" s="78">
        <f>AM3+AT3*POWER(2,$N3)+BA3*POWER(3,$N3)+BH3*POWER(4,$N3)</f>
        <v>0</v>
      </c>
      <c r="CE3" s="78">
        <f>AN3+AU3*POWER(2,$N3)+BB3*POWER(3,$N3)+BI3*POWER(4,$N3)</f>
        <v>0</v>
      </c>
      <c r="CF3" s="78">
        <f>AO3+AV3*POWER(2,$N3)+BC3*POWER(3,$N3)+BJ3*POWER(4,$N3)</f>
        <v>0</v>
      </c>
      <c r="CG3" s="80">
        <f>AP3+AW3*POWER(2,$N3)+BD3*POWER(3,$N3)+BK3*POWER(4,$N3)</f>
        <v>1</v>
      </c>
    </row>
    <row r="4" spans="1:85" x14ac:dyDescent="0.3">
      <c r="A4" s="81">
        <v>2</v>
      </c>
      <c r="B4" s="82">
        <v>8</v>
      </c>
      <c r="C4" s="83"/>
      <c r="D4" s="78">
        <v>2</v>
      </c>
      <c r="E4" s="82">
        <v>9</v>
      </c>
      <c r="F4" s="83"/>
      <c r="G4" s="78">
        <v>2</v>
      </c>
      <c r="H4" s="82">
        <v>8</v>
      </c>
      <c r="I4" s="83"/>
      <c r="J4" s="78">
        <v>2</v>
      </c>
      <c r="K4" s="82">
        <v>10</v>
      </c>
      <c r="L4" s="82"/>
      <c r="M4" s="78">
        <v>2</v>
      </c>
      <c r="N4" s="84">
        <v>0.2</v>
      </c>
      <c r="O4" s="84"/>
      <c r="P4" s="78">
        <v>2</v>
      </c>
      <c r="Q4" s="82">
        <v>2</v>
      </c>
      <c r="R4" s="82"/>
      <c r="S4" s="78">
        <v>2</v>
      </c>
      <c r="T4" s="82">
        <v>23</v>
      </c>
      <c r="V4" s="78">
        <v>2</v>
      </c>
      <c r="W4" s="85">
        <f t="shared" ref="W4:W67" si="0">$E$134/$H4-MOD($E$134/$H4,1)</f>
        <v>4</v>
      </c>
      <c r="X4" s="85">
        <f t="shared" ref="X4:X67" si="1">$E$135/$H4-MOD($E$135/$H4,1)</f>
        <v>3</v>
      </c>
      <c r="Y4" s="85">
        <f t="shared" ref="Y4:Y67" si="2">$E$136/$H4-MOD($E$136/$H4,1)</f>
        <v>3</v>
      </c>
      <c r="Z4" s="85">
        <f t="shared" ref="Z4:Z67" si="3">$E$137/$H4-MOD($E$137/$H4,1)</f>
        <v>3</v>
      </c>
      <c r="AA4" s="85">
        <f t="shared" ref="AA4:AA67" si="4">$E$138/$H4-MOD($E$138/$H4,1)</f>
        <v>3</v>
      </c>
      <c r="AB4" s="79"/>
      <c r="AG4" s="78"/>
      <c r="AI4" s="77"/>
      <c r="AK4" s="78">
        <v>2</v>
      </c>
      <c r="AL4" s="85">
        <v>0</v>
      </c>
      <c r="AM4" s="85">
        <v>0</v>
      </c>
      <c r="AN4" s="85">
        <v>0</v>
      </c>
      <c r="AO4" s="85">
        <v>0</v>
      </c>
      <c r="AP4" s="85">
        <v>0</v>
      </c>
      <c r="AR4" s="78">
        <v>2</v>
      </c>
      <c r="AS4" s="85">
        <v>0</v>
      </c>
      <c r="AT4" s="85">
        <v>0</v>
      </c>
      <c r="AU4" s="85">
        <v>0</v>
      </c>
      <c r="AV4" s="85">
        <v>0</v>
      </c>
      <c r="AW4" s="85">
        <v>0</v>
      </c>
      <c r="AY4" s="78">
        <v>2</v>
      </c>
      <c r="AZ4" s="85">
        <v>0</v>
      </c>
      <c r="BA4" s="85">
        <v>0</v>
      </c>
      <c r="BB4" s="85">
        <v>0</v>
      </c>
      <c r="BC4" s="85">
        <v>0</v>
      </c>
      <c r="BD4" s="85">
        <v>0</v>
      </c>
      <c r="BF4" s="78">
        <v>2</v>
      </c>
      <c r="BG4" s="85">
        <v>0</v>
      </c>
      <c r="BH4" s="85">
        <v>0</v>
      </c>
      <c r="BI4" s="85">
        <v>0</v>
      </c>
      <c r="BJ4" s="85">
        <v>0</v>
      </c>
      <c r="BK4" s="86">
        <v>0</v>
      </c>
      <c r="BM4" s="77"/>
      <c r="BN4" s="78">
        <v>2</v>
      </c>
      <c r="BO4" s="85">
        <f t="shared" ref="BO4:BS67" si="5">AL4+AS4+AZ4+BG4</f>
        <v>0</v>
      </c>
      <c r="BP4" s="85">
        <f t="shared" si="5"/>
        <v>0</v>
      </c>
      <c r="BQ4" s="85">
        <f t="shared" si="5"/>
        <v>0</v>
      </c>
      <c r="BR4" s="85">
        <f t="shared" si="5"/>
        <v>0</v>
      </c>
      <c r="BS4" s="85">
        <f t="shared" si="5"/>
        <v>0</v>
      </c>
      <c r="BU4" s="78">
        <v>2</v>
      </c>
      <c r="BV4" s="85">
        <f t="shared" ref="BV4:BZ67" si="6">AL4+AS4*2+AZ4*3+BG4*4</f>
        <v>0</v>
      </c>
      <c r="BW4" s="85">
        <f t="shared" si="6"/>
        <v>0</v>
      </c>
      <c r="BX4" s="85">
        <f t="shared" si="6"/>
        <v>0</v>
      </c>
      <c r="BY4" s="85">
        <f t="shared" si="6"/>
        <v>0</v>
      </c>
      <c r="BZ4" s="85">
        <f t="shared" si="6"/>
        <v>0</v>
      </c>
      <c r="CB4" s="78">
        <v>2</v>
      </c>
      <c r="CC4" s="78">
        <f t="shared" ref="CC4:CG67" si="7">AL4+AS4*POWER(2,$N4)+AZ4*POWER(3,$N4)+BG4*POWER(4,$N4)</f>
        <v>0</v>
      </c>
      <c r="CD4" s="78">
        <f t="shared" si="7"/>
        <v>0</v>
      </c>
      <c r="CE4" s="78">
        <f t="shared" si="7"/>
        <v>0</v>
      </c>
      <c r="CF4" s="78">
        <f t="shared" si="7"/>
        <v>0</v>
      </c>
      <c r="CG4" s="80">
        <f t="shared" si="7"/>
        <v>0</v>
      </c>
    </row>
    <row r="5" spans="1:85" x14ac:dyDescent="0.3">
      <c r="A5" s="81">
        <v>3</v>
      </c>
      <c r="B5" s="82">
        <v>12</v>
      </c>
      <c r="C5" s="83"/>
      <c r="D5" s="78">
        <v>3</v>
      </c>
      <c r="E5" s="82">
        <v>5</v>
      </c>
      <c r="F5" s="83"/>
      <c r="G5" s="78">
        <v>3</v>
      </c>
      <c r="H5" s="82">
        <v>5</v>
      </c>
      <c r="I5" s="83"/>
      <c r="J5" s="78">
        <v>3</v>
      </c>
      <c r="K5" s="82">
        <v>10</v>
      </c>
      <c r="L5" s="82"/>
      <c r="M5" s="78">
        <v>3</v>
      </c>
      <c r="N5" s="84">
        <v>0.3</v>
      </c>
      <c r="O5" s="84"/>
      <c r="P5" s="78">
        <v>3</v>
      </c>
      <c r="Q5" s="82">
        <v>3</v>
      </c>
      <c r="R5" s="82"/>
      <c r="S5" s="78">
        <v>3</v>
      </c>
      <c r="T5" s="82">
        <v>18</v>
      </c>
      <c r="V5" s="78">
        <v>3</v>
      </c>
      <c r="W5" s="85">
        <f t="shared" si="0"/>
        <v>6</v>
      </c>
      <c r="X5" s="85">
        <f t="shared" si="1"/>
        <v>6</v>
      </c>
      <c r="Y5" s="85">
        <f t="shared" si="2"/>
        <v>5</v>
      </c>
      <c r="Z5" s="85">
        <f t="shared" si="3"/>
        <v>5</v>
      </c>
      <c r="AA5" s="85">
        <f t="shared" si="4"/>
        <v>5</v>
      </c>
      <c r="AB5" s="79"/>
      <c r="AG5" s="78"/>
      <c r="AI5" s="77"/>
      <c r="AK5" s="78">
        <v>3</v>
      </c>
      <c r="AL5" s="85">
        <v>1</v>
      </c>
      <c r="AM5" s="85">
        <v>0</v>
      </c>
      <c r="AN5" s="85">
        <v>0</v>
      </c>
      <c r="AO5" s="85">
        <v>0</v>
      </c>
      <c r="AP5" s="85">
        <v>0</v>
      </c>
      <c r="AR5" s="78">
        <v>3</v>
      </c>
      <c r="AS5" s="85">
        <v>0</v>
      </c>
      <c r="AT5" s="85">
        <v>0</v>
      </c>
      <c r="AU5" s="85">
        <v>0</v>
      </c>
      <c r="AV5" s="85">
        <v>0</v>
      </c>
      <c r="AW5" s="85">
        <v>0</v>
      </c>
      <c r="AY5" s="78">
        <v>3</v>
      </c>
      <c r="AZ5" s="85">
        <v>0</v>
      </c>
      <c r="BA5" s="85">
        <v>0</v>
      </c>
      <c r="BB5" s="85">
        <v>0</v>
      </c>
      <c r="BC5" s="85">
        <v>0</v>
      </c>
      <c r="BD5" s="85">
        <v>0</v>
      </c>
      <c r="BF5" s="78">
        <v>3</v>
      </c>
      <c r="BG5" s="85">
        <v>0</v>
      </c>
      <c r="BH5" s="85">
        <v>0</v>
      </c>
      <c r="BI5" s="85">
        <v>0</v>
      </c>
      <c r="BJ5" s="85">
        <v>0</v>
      </c>
      <c r="BK5" s="86">
        <v>0</v>
      </c>
      <c r="BM5" s="77"/>
      <c r="BN5" s="78">
        <v>3</v>
      </c>
      <c r="BO5" s="85">
        <f t="shared" si="5"/>
        <v>1</v>
      </c>
      <c r="BP5" s="85">
        <f t="shared" si="5"/>
        <v>0</v>
      </c>
      <c r="BQ5" s="85">
        <f t="shared" si="5"/>
        <v>0</v>
      </c>
      <c r="BR5" s="85">
        <f t="shared" si="5"/>
        <v>0</v>
      </c>
      <c r="BS5" s="85">
        <f t="shared" si="5"/>
        <v>0</v>
      </c>
      <c r="BU5" s="78">
        <v>3</v>
      </c>
      <c r="BV5" s="85">
        <f t="shared" si="6"/>
        <v>1</v>
      </c>
      <c r="BW5" s="85">
        <f t="shared" si="6"/>
        <v>0</v>
      </c>
      <c r="BX5" s="85">
        <f t="shared" si="6"/>
        <v>0</v>
      </c>
      <c r="BY5" s="85">
        <f t="shared" si="6"/>
        <v>0</v>
      </c>
      <c r="BZ5" s="85">
        <f t="shared" si="6"/>
        <v>0</v>
      </c>
      <c r="CB5" s="78">
        <v>3</v>
      </c>
      <c r="CC5" s="78">
        <f t="shared" si="7"/>
        <v>1</v>
      </c>
      <c r="CD5" s="78">
        <f t="shared" si="7"/>
        <v>0</v>
      </c>
      <c r="CE5" s="78">
        <f t="shared" si="7"/>
        <v>0</v>
      </c>
      <c r="CF5" s="78">
        <f t="shared" si="7"/>
        <v>0</v>
      </c>
      <c r="CG5" s="80">
        <f t="shared" si="7"/>
        <v>0</v>
      </c>
    </row>
    <row r="6" spans="1:85" x14ac:dyDescent="0.3">
      <c r="A6" s="81">
        <v>4</v>
      </c>
      <c r="B6" s="82">
        <v>6</v>
      </c>
      <c r="C6" s="83"/>
      <c r="D6" s="78">
        <v>4</v>
      </c>
      <c r="E6" s="82">
        <v>7</v>
      </c>
      <c r="F6" s="83"/>
      <c r="G6" s="78">
        <v>4</v>
      </c>
      <c r="H6" s="82">
        <v>6</v>
      </c>
      <c r="I6" s="83"/>
      <c r="J6" s="78">
        <v>4</v>
      </c>
      <c r="K6" s="82">
        <v>7</v>
      </c>
      <c r="L6" s="82"/>
      <c r="M6" s="78">
        <v>4</v>
      </c>
      <c r="N6" s="84">
        <v>0.2</v>
      </c>
      <c r="O6" s="84"/>
      <c r="P6" s="78">
        <v>4</v>
      </c>
      <c r="Q6" s="82">
        <v>2</v>
      </c>
      <c r="R6" s="82"/>
      <c r="S6" s="78">
        <v>4</v>
      </c>
      <c r="T6" s="82">
        <v>19</v>
      </c>
      <c r="V6" s="78">
        <v>4</v>
      </c>
      <c r="W6" s="85">
        <f t="shared" si="0"/>
        <v>5</v>
      </c>
      <c r="X6" s="85">
        <f t="shared" si="1"/>
        <v>5</v>
      </c>
      <c r="Y6" s="85">
        <f t="shared" si="2"/>
        <v>4</v>
      </c>
      <c r="Z6" s="85">
        <f t="shared" si="3"/>
        <v>4</v>
      </c>
      <c r="AA6" s="85">
        <f t="shared" si="4"/>
        <v>4</v>
      </c>
      <c r="AB6" s="79"/>
      <c r="AG6" s="78"/>
      <c r="AI6" s="77"/>
      <c r="AK6" s="78">
        <v>4</v>
      </c>
      <c r="AL6" s="85">
        <v>0</v>
      </c>
      <c r="AM6" s="85">
        <v>0</v>
      </c>
      <c r="AN6" s="85">
        <v>0</v>
      </c>
      <c r="AO6" s="85">
        <v>0</v>
      </c>
      <c r="AP6" s="85">
        <v>0</v>
      </c>
      <c r="AR6" s="78">
        <v>4</v>
      </c>
      <c r="AS6" s="85">
        <v>0</v>
      </c>
      <c r="AT6" s="85">
        <v>0</v>
      </c>
      <c r="AU6" s="85">
        <v>0</v>
      </c>
      <c r="AV6" s="85">
        <v>0</v>
      </c>
      <c r="AW6" s="85">
        <v>0</v>
      </c>
      <c r="AY6" s="78">
        <v>4</v>
      </c>
      <c r="AZ6" s="85">
        <v>0</v>
      </c>
      <c r="BA6" s="85">
        <v>0</v>
      </c>
      <c r="BB6" s="85">
        <v>0</v>
      </c>
      <c r="BC6" s="85">
        <v>0</v>
      </c>
      <c r="BD6" s="85">
        <v>0</v>
      </c>
      <c r="BF6" s="78">
        <v>4</v>
      </c>
      <c r="BG6" s="85">
        <v>0</v>
      </c>
      <c r="BH6" s="85">
        <v>0</v>
      </c>
      <c r="BI6" s="85">
        <v>0</v>
      </c>
      <c r="BJ6" s="85">
        <v>0</v>
      </c>
      <c r="BK6" s="86">
        <v>0</v>
      </c>
      <c r="BM6" s="77"/>
      <c r="BN6" s="78">
        <v>4</v>
      </c>
      <c r="BO6" s="85">
        <f t="shared" si="5"/>
        <v>0</v>
      </c>
      <c r="BP6" s="85">
        <f t="shared" si="5"/>
        <v>0</v>
      </c>
      <c r="BQ6" s="85">
        <f t="shared" si="5"/>
        <v>0</v>
      </c>
      <c r="BR6" s="85">
        <f t="shared" si="5"/>
        <v>0</v>
      </c>
      <c r="BS6" s="85">
        <f t="shared" si="5"/>
        <v>0</v>
      </c>
      <c r="BU6" s="78">
        <v>4</v>
      </c>
      <c r="BV6" s="85">
        <f t="shared" si="6"/>
        <v>0</v>
      </c>
      <c r="BW6" s="85">
        <f t="shared" si="6"/>
        <v>0</v>
      </c>
      <c r="BX6" s="85">
        <f t="shared" si="6"/>
        <v>0</v>
      </c>
      <c r="BY6" s="85">
        <f t="shared" si="6"/>
        <v>0</v>
      </c>
      <c r="BZ6" s="85">
        <f t="shared" si="6"/>
        <v>0</v>
      </c>
      <c r="CB6" s="78">
        <v>4</v>
      </c>
      <c r="CC6" s="78">
        <f t="shared" si="7"/>
        <v>0</v>
      </c>
      <c r="CD6" s="78">
        <f t="shared" si="7"/>
        <v>0</v>
      </c>
      <c r="CE6" s="78">
        <f t="shared" si="7"/>
        <v>0</v>
      </c>
      <c r="CF6" s="78">
        <f t="shared" si="7"/>
        <v>0</v>
      </c>
      <c r="CG6" s="80">
        <f t="shared" si="7"/>
        <v>0</v>
      </c>
    </row>
    <row r="7" spans="1:85" x14ac:dyDescent="0.3">
      <c r="A7" s="81">
        <v>5</v>
      </c>
      <c r="B7" s="82">
        <v>11</v>
      </c>
      <c r="C7" s="83"/>
      <c r="D7" s="78">
        <v>5</v>
      </c>
      <c r="E7" s="82">
        <v>9</v>
      </c>
      <c r="F7" s="83"/>
      <c r="G7" s="78">
        <v>5</v>
      </c>
      <c r="H7" s="82">
        <v>2</v>
      </c>
      <c r="I7" s="83"/>
      <c r="J7" s="78">
        <v>5</v>
      </c>
      <c r="K7" s="82">
        <v>5</v>
      </c>
      <c r="L7" s="82"/>
      <c r="M7" s="78">
        <v>5</v>
      </c>
      <c r="N7" s="84">
        <v>0.9</v>
      </c>
      <c r="O7" s="84"/>
      <c r="P7" s="78">
        <v>5</v>
      </c>
      <c r="Q7" s="82">
        <v>2</v>
      </c>
      <c r="R7" s="82"/>
      <c r="S7" s="78">
        <v>5</v>
      </c>
      <c r="T7" s="82">
        <v>17</v>
      </c>
      <c r="V7" s="78">
        <v>5</v>
      </c>
      <c r="W7" s="85">
        <f t="shared" si="0"/>
        <v>17</v>
      </c>
      <c r="X7" s="85">
        <f t="shared" si="1"/>
        <v>15</v>
      </c>
      <c r="Y7" s="85">
        <f t="shared" si="2"/>
        <v>13</v>
      </c>
      <c r="Z7" s="85">
        <f t="shared" si="3"/>
        <v>13</v>
      </c>
      <c r="AA7" s="85">
        <f t="shared" si="4"/>
        <v>14</v>
      </c>
      <c r="AB7" s="79"/>
      <c r="AG7" s="78"/>
      <c r="AI7" s="77"/>
      <c r="AK7" s="78">
        <v>5</v>
      </c>
      <c r="AL7" s="85">
        <v>0</v>
      </c>
      <c r="AM7" s="85">
        <v>1</v>
      </c>
      <c r="AN7" s="85">
        <v>0</v>
      </c>
      <c r="AO7" s="85">
        <v>0</v>
      </c>
      <c r="AP7" s="85">
        <v>0</v>
      </c>
      <c r="AR7" s="78">
        <v>5</v>
      </c>
      <c r="AS7" s="85">
        <v>0</v>
      </c>
      <c r="AT7" s="85">
        <v>0</v>
      </c>
      <c r="AU7" s="85">
        <v>0</v>
      </c>
      <c r="AV7" s="85">
        <v>0</v>
      </c>
      <c r="AW7" s="85">
        <v>0</v>
      </c>
      <c r="AY7" s="78">
        <v>5</v>
      </c>
      <c r="AZ7" s="85">
        <v>0</v>
      </c>
      <c r="BA7" s="85">
        <v>0</v>
      </c>
      <c r="BB7" s="85">
        <v>0</v>
      </c>
      <c r="BC7" s="85">
        <v>0</v>
      </c>
      <c r="BD7" s="85">
        <v>0</v>
      </c>
      <c r="BF7" s="78">
        <v>5</v>
      </c>
      <c r="BG7" s="85">
        <v>0</v>
      </c>
      <c r="BH7" s="85">
        <v>0</v>
      </c>
      <c r="BI7" s="85">
        <v>0</v>
      </c>
      <c r="BJ7" s="85">
        <v>0</v>
      </c>
      <c r="BK7" s="86">
        <v>0</v>
      </c>
      <c r="BM7" s="77"/>
      <c r="BN7" s="78">
        <v>5</v>
      </c>
      <c r="BO7" s="85">
        <f t="shared" si="5"/>
        <v>0</v>
      </c>
      <c r="BP7" s="85">
        <f t="shared" si="5"/>
        <v>1</v>
      </c>
      <c r="BQ7" s="85">
        <f t="shared" si="5"/>
        <v>0</v>
      </c>
      <c r="BR7" s="85">
        <f t="shared" si="5"/>
        <v>0</v>
      </c>
      <c r="BS7" s="85">
        <f t="shared" si="5"/>
        <v>0</v>
      </c>
      <c r="BU7" s="78">
        <v>5</v>
      </c>
      <c r="BV7" s="85">
        <f t="shared" si="6"/>
        <v>0</v>
      </c>
      <c r="BW7" s="85">
        <f t="shared" si="6"/>
        <v>1</v>
      </c>
      <c r="BX7" s="85">
        <f t="shared" si="6"/>
        <v>0</v>
      </c>
      <c r="BY7" s="85">
        <f t="shared" si="6"/>
        <v>0</v>
      </c>
      <c r="BZ7" s="85">
        <f t="shared" si="6"/>
        <v>0</v>
      </c>
      <c r="CB7" s="78">
        <v>5</v>
      </c>
      <c r="CC7" s="78">
        <f t="shared" si="7"/>
        <v>0</v>
      </c>
      <c r="CD7" s="78">
        <f t="shared" si="7"/>
        <v>1</v>
      </c>
      <c r="CE7" s="78">
        <f t="shared" si="7"/>
        <v>0</v>
      </c>
      <c r="CF7" s="78">
        <f t="shared" si="7"/>
        <v>0</v>
      </c>
      <c r="CG7" s="80">
        <f t="shared" si="7"/>
        <v>0</v>
      </c>
    </row>
    <row r="8" spans="1:85" x14ac:dyDescent="0.3">
      <c r="A8" s="81">
        <v>6</v>
      </c>
      <c r="B8" s="82">
        <v>14</v>
      </c>
      <c r="C8" s="83"/>
      <c r="D8" s="78">
        <v>6</v>
      </c>
      <c r="E8" s="82">
        <v>6</v>
      </c>
      <c r="F8" s="83"/>
      <c r="G8" s="78">
        <v>6</v>
      </c>
      <c r="H8" s="82">
        <v>4</v>
      </c>
      <c r="I8" s="83"/>
      <c r="J8" s="78">
        <v>6</v>
      </c>
      <c r="K8" s="82">
        <v>2</v>
      </c>
      <c r="L8" s="82"/>
      <c r="M8" s="78">
        <v>6</v>
      </c>
      <c r="N8" s="84">
        <v>0.4</v>
      </c>
      <c r="O8" s="84"/>
      <c r="P8" s="78">
        <v>6</v>
      </c>
      <c r="Q8" s="82">
        <v>2</v>
      </c>
      <c r="R8" s="82"/>
      <c r="S8" s="78">
        <v>6</v>
      </c>
      <c r="T8" s="82">
        <v>22</v>
      </c>
      <c r="V8" s="78">
        <v>6</v>
      </c>
      <c r="W8" s="85">
        <f t="shared" si="0"/>
        <v>8</v>
      </c>
      <c r="X8" s="85">
        <f t="shared" si="1"/>
        <v>7</v>
      </c>
      <c r="Y8" s="85">
        <f t="shared" si="2"/>
        <v>6</v>
      </c>
      <c r="Z8" s="85">
        <f t="shared" si="3"/>
        <v>6</v>
      </c>
      <c r="AA8" s="85">
        <f t="shared" si="4"/>
        <v>7</v>
      </c>
      <c r="AB8" s="79"/>
      <c r="AG8" s="78"/>
      <c r="AI8" s="77"/>
      <c r="AK8" s="78">
        <v>6</v>
      </c>
      <c r="AL8" s="85">
        <v>0</v>
      </c>
      <c r="AM8" s="85">
        <v>0</v>
      </c>
      <c r="AN8" s="85">
        <v>0</v>
      </c>
      <c r="AO8" s="85">
        <v>0</v>
      </c>
      <c r="AP8" s="85">
        <v>0</v>
      </c>
      <c r="AR8" s="78">
        <v>6</v>
      </c>
      <c r="AS8" s="85">
        <v>0</v>
      </c>
      <c r="AT8" s="85">
        <v>0</v>
      </c>
      <c r="AU8" s="85">
        <v>0</v>
      </c>
      <c r="AV8" s="85">
        <v>0</v>
      </c>
      <c r="AW8" s="85">
        <v>0</v>
      </c>
      <c r="AY8" s="78">
        <v>6</v>
      </c>
      <c r="AZ8" s="85">
        <v>0</v>
      </c>
      <c r="BA8" s="85">
        <v>0</v>
      </c>
      <c r="BB8" s="85">
        <v>0</v>
      </c>
      <c r="BC8" s="85">
        <v>0</v>
      </c>
      <c r="BD8" s="85">
        <v>0</v>
      </c>
      <c r="BF8" s="78">
        <v>6</v>
      </c>
      <c r="BG8" s="85">
        <v>0</v>
      </c>
      <c r="BH8" s="85">
        <v>0</v>
      </c>
      <c r="BI8" s="85">
        <v>0</v>
      </c>
      <c r="BJ8" s="85">
        <v>0</v>
      </c>
      <c r="BK8" s="86">
        <v>0</v>
      </c>
      <c r="BM8" s="77"/>
      <c r="BN8" s="78">
        <v>6</v>
      </c>
      <c r="BO8" s="85">
        <f t="shared" si="5"/>
        <v>0</v>
      </c>
      <c r="BP8" s="85">
        <f t="shared" si="5"/>
        <v>0</v>
      </c>
      <c r="BQ8" s="85">
        <f t="shared" si="5"/>
        <v>0</v>
      </c>
      <c r="BR8" s="85">
        <f t="shared" si="5"/>
        <v>0</v>
      </c>
      <c r="BS8" s="85">
        <f t="shared" si="5"/>
        <v>0</v>
      </c>
      <c r="BU8" s="78">
        <v>6</v>
      </c>
      <c r="BV8" s="85">
        <f t="shared" si="6"/>
        <v>0</v>
      </c>
      <c r="BW8" s="85">
        <f t="shared" si="6"/>
        <v>0</v>
      </c>
      <c r="BX8" s="85">
        <f t="shared" si="6"/>
        <v>0</v>
      </c>
      <c r="BY8" s="85">
        <f t="shared" si="6"/>
        <v>0</v>
      </c>
      <c r="BZ8" s="85">
        <f t="shared" si="6"/>
        <v>0</v>
      </c>
      <c r="CB8" s="78">
        <v>6</v>
      </c>
      <c r="CC8" s="78">
        <f t="shared" si="7"/>
        <v>0</v>
      </c>
      <c r="CD8" s="78">
        <f t="shared" si="7"/>
        <v>0</v>
      </c>
      <c r="CE8" s="78">
        <f t="shared" si="7"/>
        <v>0</v>
      </c>
      <c r="CF8" s="78">
        <f t="shared" si="7"/>
        <v>0</v>
      </c>
      <c r="CG8" s="80">
        <f t="shared" si="7"/>
        <v>0</v>
      </c>
    </row>
    <row r="9" spans="1:85" x14ac:dyDescent="0.3">
      <c r="A9" s="81">
        <v>7</v>
      </c>
      <c r="B9" s="82">
        <v>14</v>
      </c>
      <c r="C9" s="83"/>
      <c r="D9" s="78">
        <v>7</v>
      </c>
      <c r="E9" s="82">
        <v>9</v>
      </c>
      <c r="F9" s="83"/>
      <c r="G9" s="78">
        <v>7</v>
      </c>
      <c r="H9" s="82">
        <v>6</v>
      </c>
      <c r="I9" s="83"/>
      <c r="J9" s="78">
        <v>7</v>
      </c>
      <c r="K9" s="82">
        <v>1</v>
      </c>
      <c r="L9" s="82"/>
      <c r="M9" s="78">
        <v>7</v>
      </c>
      <c r="N9" s="84">
        <v>0.5</v>
      </c>
      <c r="O9" s="84"/>
      <c r="P9" s="78">
        <v>7</v>
      </c>
      <c r="Q9" s="82">
        <v>5</v>
      </c>
      <c r="R9" s="82"/>
      <c r="S9" s="78">
        <v>7</v>
      </c>
      <c r="T9" s="82">
        <v>21</v>
      </c>
      <c r="V9" s="78">
        <v>7</v>
      </c>
      <c r="W9" s="85">
        <f t="shared" si="0"/>
        <v>5</v>
      </c>
      <c r="X9" s="85">
        <f t="shared" si="1"/>
        <v>5</v>
      </c>
      <c r="Y9" s="85">
        <f t="shared" si="2"/>
        <v>4</v>
      </c>
      <c r="Z9" s="85">
        <f t="shared" si="3"/>
        <v>4</v>
      </c>
      <c r="AA9" s="85">
        <f t="shared" si="4"/>
        <v>4</v>
      </c>
      <c r="AB9" s="79"/>
      <c r="AG9" s="78"/>
      <c r="AI9" s="77"/>
      <c r="AK9" s="78">
        <v>7</v>
      </c>
      <c r="AL9" s="85">
        <v>0</v>
      </c>
      <c r="AM9" s="85">
        <v>0</v>
      </c>
      <c r="AN9" s="85">
        <v>0</v>
      </c>
      <c r="AO9" s="85">
        <v>0</v>
      </c>
      <c r="AP9" s="85">
        <v>0</v>
      </c>
      <c r="AR9" s="78">
        <v>7</v>
      </c>
      <c r="AS9" s="85">
        <v>0</v>
      </c>
      <c r="AT9" s="85">
        <v>0</v>
      </c>
      <c r="AU9" s="85">
        <v>0</v>
      </c>
      <c r="AV9" s="85">
        <v>0</v>
      </c>
      <c r="AW9" s="85">
        <v>0</v>
      </c>
      <c r="AY9" s="78">
        <v>7</v>
      </c>
      <c r="AZ9" s="85">
        <v>0</v>
      </c>
      <c r="BA9" s="85">
        <v>0</v>
      </c>
      <c r="BB9" s="85">
        <v>0</v>
      </c>
      <c r="BC9" s="85">
        <v>0</v>
      </c>
      <c r="BD9" s="85">
        <v>0</v>
      </c>
      <c r="BF9" s="78">
        <v>7</v>
      </c>
      <c r="BG9" s="85">
        <v>0</v>
      </c>
      <c r="BH9" s="85">
        <v>0</v>
      </c>
      <c r="BI9" s="85">
        <v>0</v>
      </c>
      <c r="BJ9" s="85">
        <v>0</v>
      </c>
      <c r="BK9" s="86">
        <v>0</v>
      </c>
      <c r="BM9" s="77"/>
      <c r="BN9" s="78">
        <v>7</v>
      </c>
      <c r="BO9" s="85">
        <f t="shared" si="5"/>
        <v>0</v>
      </c>
      <c r="BP9" s="85">
        <f t="shared" si="5"/>
        <v>0</v>
      </c>
      <c r="BQ9" s="85">
        <f t="shared" si="5"/>
        <v>0</v>
      </c>
      <c r="BR9" s="85">
        <f t="shared" si="5"/>
        <v>0</v>
      </c>
      <c r="BS9" s="85">
        <f t="shared" si="5"/>
        <v>0</v>
      </c>
      <c r="BU9" s="78">
        <v>7</v>
      </c>
      <c r="BV9" s="85">
        <f t="shared" si="6"/>
        <v>0</v>
      </c>
      <c r="BW9" s="85">
        <f t="shared" si="6"/>
        <v>0</v>
      </c>
      <c r="BX9" s="85">
        <f t="shared" si="6"/>
        <v>0</v>
      </c>
      <c r="BY9" s="85">
        <f t="shared" si="6"/>
        <v>0</v>
      </c>
      <c r="BZ9" s="85">
        <f t="shared" si="6"/>
        <v>0</v>
      </c>
      <c r="CB9" s="78">
        <v>7</v>
      </c>
      <c r="CC9" s="78">
        <f t="shared" si="7"/>
        <v>0</v>
      </c>
      <c r="CD9" s="78">
        <f t="shared" si="7"/>
        <v>0</v>
      </c>
      <c r="CE9" s="78">
        <f t="shared" si="7"/>
        <v>0</v>
      </c>
      <c r="CF9" s="78">
        <f t="shared" si="7"/>
        <v>0</v>
      </c>
      <c r="CG9" s="80">
        <f t="shared" si="7"/>
        <v>0</v>
      </c>
    </row>
    <row r="10" spans="1:85" x14ac:dyDescent="0.3">
      <c r="A10" s="81">
        <v>8</v>
      </c>
      <c r="B10" s="82">
        <v>6</v>
      </c>
      <c r="C10" s="83"/>
      <c r="D10" s="78">
        <v>8</v>
      </c>
      <c r="E10" s="82">
        <v>5</v>
      </c>
      <c r="F10" s="83"/>
      <c r="G10" s="78">
        <v>8</v>
      </c>
      <c r="H10" s="82">
        <v>5</v>
      </c>
      <c r="I10" s="83"/>
      <c r="J10" s="78">
        <v>8</v>
      </c>
      <c r="K10" s="82">
        <v>6</v>
      </c>
      <c r="L10" s="82"/>
      <c r="M10" s="78">
        <v>8</v>
      </c>
      <c r="N10" s="84">
        <v>0.3</v>
      </c>
      <c r="O10" s="84"/>
      <c r="P10" s="78">
        <v>8</v>
      </c>
      <c r="Q10" s="82">
        <v>5</v>
      </c>
      <c r="R10" s="82"/>
      <c r="S10" s="78">
        <v>8</v>
      </c>
      <c r="T10" s="82">
        <v>16</v>
      </c>
      <c r="V10" s="78">
        <v>8</v>
      </c>
      <c r="W10" s="85">
        <f t="shared" si="0"/>
        <v>6</v>
      </c>
      <c r="X10" s="85">
        <f t="shared" si="1"/>
        <v>6</v>
      </c>
      <c r="Y10" s="85">
        <f t="shared" si="2"/>
        <v>5</v>
      </c>
      <c r="Z10" s="85">
        <f t="shared" si="3"/>
        <v>5</v>
      </c>
      <c r="AA10" s="85">
        <f t="shared" si="4"/>
        <v>5</v>
      </c>
      <c r="AB10" s="79"/>
      <c r="AG10" s="78"/>
      <c r="AI10" s="77"/>
      <c r="AK10" s="78">
        <v>8</v>
      </c>
      <c r="AL10" s="85">
        <v>0</v>
      </c>
      <c r="AM10" s="85">
        <v>0</v>
      </c>
      <c r="AN10" s="85">
        <v>0</v>
      </c>
      <c r="AO10" s="85">
        <v>0</v>
      </c>
      <c r="AP10" s="85">
        <v>1</v>
      </c>
      <c r="AR10" s="78">
        <v>8</v>
      </c>
      <c r="AS10" s="85">
        <v>0</v>
      </c>
      <c r="AT10" s="85">
        <v>0</v>
      </c>
      <c r="AU10" s="85">
        <v>0</v>
      </c>
      <c r="AV10" s="85">
        <v>0</v>
      </c>
      <c r="AW10" s="85">
        <v>0</v>
      </c>
      <c r="AY10" s="78">
        <v>8</v>
      </c>
      <c r="AZ10" s="85">
        <v>0</v>
      </c>
      <c r="BA10" s="85">
        <v>0</v>
      </c>
      <c r="BB10" s="85">
        <v>0</v>
      </c>
      <c r="BC10" s="85">
        <v>0</v>
      </c>
      <c r="BD10" s="85">
        <v>0</v>
      </c>
      <c r="BF10" s="78">
        <v>8</v>
      </c>
      <c r="BG10" s="85">
        <v>0</v>
      </c>
      <c r="BH10" s="85">
        <v>0</v>
      </c>
      <c r="BI10" s="85">
        <v>0</v>
      </c>
      <c r="BJ10" s="85">
        <v>0</v>
      </c>
      <c r="BK10" s="86">
        <v>0</v>
      </c>
      <c r="BM10" s="77"/>
      <c r="BN10" s="78">
        <v>8</v>
      </c>
      <c r="BO10" s="85">
        <f t="shared" si="5"/>
        <v>0</v>
      </c>
      <c r="BP10" s="85">
        <f t="shared" si="5"/>
        <v>0</v>
      </c>
      <c r="BQ10" s="85">
        <f t="shared" si="5"/>
        <v>0</v>
      </c>
      <c r="BR10" s="85">
        <f t="shared" si="5"/>
        <v>0</v>
      </c>
      <c r="BS10" s="85">
        <f t="shared" si="5"/>
        <v>1</v>
      </c>
      <c r="BU10" s="78">
        <v>8</v>
      </c>
      <c r="BV10" s="85">
        <f t="shared" si="6"/>
        <v>0</v>
      </c>
      <c r="BW10" s="85">
        <f t="shared" si="6"/>
        <v>0</v>
      </c>
      <c r="BX10" s="85">
        <f t="shared" si="6"/>
        <v>0</v>
      </c>
      <c r="BY10" s="85">
        <f t="shared" si="6"/>
        <v>0</v>
      </c>
      <c r="BZ10" s="85">
        <f t="shared" si="6"/>
        <v>1</v>
      </c>
      <c r="CB10" s="78">
        <v>8</v>
      </c>
      <c r="CC10" s="78">
        <f t="shared" si="7"/>
        <v>0</v>
      </c>
      <c r="CD10" s="78">
        <f t="shared" si="7"/>
        <v>0</v>
      </c>
      <c r="CE10" s="78">
        <f t="shared" si="7"/>
        <v>0</v>
      </c>
      <c r="CF10" s="78">
        <f t="shared" si="7"/>
        <v>0</v>
      </c>
      <c r="CG10" s="80">
        <f t="shared" si="7"/>
        <v>1</v>
      </c>
    </row>
    <row r="11" spans="1:85" x14ac:dyDescent="0.3">
      <c r="A11" s="81">
        <v>9</v>
      </c>
      <c r="B11" s="82">
        <v>5</v>
      </c>
      <c r="C11" s="83"/>
      <c r="D11" s="78">
        <v>9</v>
      </c>
      <c r="E11" s="82">
        <v>9</v>
      </c>
      <c r="F11" s="83"/>
      <c r="G11" s="78">
        <v>9</v>
      </c>
      <c r="H11" s="82">
        <v>7</v>
      </c>
      <c r="I11" s="83"/>
      <c r="J11" s="78">
        <v>9</v>
      </c>
      <c r="K11" s="82">
        <v>7</v>
      </c>
      <c r="L11" s="82"/>
      <c r="M11" s="78">
        <v>9</v>
      </c>
      <c r="N11" s="84">
        <v>0.8</v>
      </c>
      <c r="O11" s="84"/>
      <c r="P11" s="78">
        <v>9</v>
      </c>
      <c r="Q11" s="82">
        <v>3</v>
      </c>
      <c r="R11" s="82"/>
      <c r="S11" s="78">
        <v>9</v>
      </c>
      <c r="T11" s="82">
        <v>17</v>
      </c>
      <c r="V11" s="78">
        <v>9</v>
      </c>
      <c r="W11" s="85">
        <f t="shared" si="0"/>
        <v>4</v>
      </c>
      <c r="X11" s="85">
        <f t="shared" si="1"/>
        <v>4</v>
      </c>
      <c r="Y11" s="85">
        <f t="shared" si="2"/>
        <v>3</v>
      </c>
      <c r="Z11" s="85">
        <f t="shared" si="3"/>
        <v>3</v>
      </c>
      <c r="AA11" s="85">
        <f t="shared" si="4"/>
        <v>4</v>
      </c>
      <c r="AB11" s="79"/>
      <c r="AG11" s="78"/>
      <c r="AI11" s="77"/>
      <c r="AK11" s="78">
        <v>9</v>
      </c>
      <c r="AL11" s="85">
        <v>1</v>
      </c>
      <c r="AM11" s="85">
        <v>0</v>
      </c>
      <c r="AN11" s="85">
        <v>0</v>
      </c>
      <c r="AO11" s="85">
        <v>0</v>
      </c>
      <c r="AP11" s="85">
        <v>0</v>
      </c>
      <c r="AR11" s="78">
        <v>9</v>
      </c>
      <c r="AS11" s="85">
        <v>0</v>
      </c>
      <c r="AT11" s="85">
        <v>0</v>
      </c>
      <c r="AU11" s="85">
        <v>0</v>
      </c>
      <c r="AV11" s="85">
        <v>0</v>
      </c>
      <c r="AW11" s="85">
        <v>0</v>
      </c>
      <c r="AY11" s="78">
        <v>9</v>
      </c>
      <c r="AZ11" s="85">
        <v>0</v>
      </c>
      <c r="BA11" s="85">
        <v>0</v>
      </c>
      <c r="BB11" s="85">
        <v>0</v>
      </c>
      <c r="BC11" s="85">
        <v>0</v>
      </c>
      <c r="BD11" s="85">
        <v>0</v>
      </c>
      <c r="BF11" s="78">
        <v>9</v>
      </c>
      <c r="BG11" s="85">
        <v>0</v>
      </c>
      <c r="BH11" s="85">
        <v>0</v>
      </c>
      <c r="BI11" s="85">
        <v>0</v>
      </c>
      <c r="BJ11" s="85">
        <v>0</v>
      </c>
      <c r="BK11" s="86">
        <v>0</v>
      </c>
      <c r="BM11" s="77"/>
      <c r="BN11" s="78">
        <v>9</v>
      </c>
      <c r="BO11" s="85">
        <f t="shared" si="5"/>
        <v>1</v>
      </c>
      <c r="BP11" s="85">
        <f t="shared" si="5"/>
        <v>0</v>
      </c>
      <c r="BQ11" s="85">
        <f t="shared" si="5"/>
        <v>0</v>
      </c>
      <c r="BR11" s="85">
        <f t="shared" si="5"/>
        <v>0</v>
      </c>
      <c r="BS11" s="85">
        <f t="shared" si="5"/>
        <v>0</v>
      </c>
      <c r="BU11" s="78">
        <v>9</v>
      </c>
      <c r="BV11" s="85">
        <f t="shared" si="6"/>
        <v>1</v>
      </c>
      <c r="BW11" s="85">
        <f t="shared" si="6"/>
        <v>0</v>
      </c>
      <c r="BX11" s="85">
        <f t="shared" si="6"/>
        <v>0</v>
      </c>
      <c r="BY11" s="85">
        <f t="shared" si="6"/>
        <v>0</v>
      </c>
      <c r="BZ11" s="85">
        <f t="shared" si="6"/>
        <v>0</v>
      </c>
      <c r="CB11" s="78">
        <v>9</v>
      </c>
      <c r="CC11" s="78">
        <f t="shared" si="7"/>
        <v>1</v>
      </c>
      <c r="CD11" s="78">
        <f t="shared" si="7"/>
        <v>0</v>
      </c>
      <c r="CE11" s="78">
        <f t="shared" si="7"/>
        <v>0</v>
      </c>
      <c r="CF11" s="78">
        <f t="shared" si="7"/>
        <v>0</v>
      </c>
      <c r="CG11" s="80">
        <f t="shared" si="7"/>
        <v>0</v>
      </c>
    </row>
    <row r="12" spans="1:85" x14ac:dyDescent="0.3">
      <c r="A12" s="81">
        <v>10</v>
      </c>
      <c r="B12" s="82">
        <v>11</v>
      </c>
      <c r="C12" s="83"/>
      <c r="D12" s="78">
        <v>10</v>
      </c>
      <c r="E12" s="82">
        <v>10</v>
      </c>
      <c r="F12" s="83"/>
      <c r="G12" s="78">
        <v>10</v>
      </c>
      <c r="H12" s="82">
        <v>6</v>
      </c>
      <c r="I12" s="83"/>
      <c r="J12" s="78">
        <v>10</v>
      </c>
      <c r="K12" s="82">
        <v>3</v>
      </c>
      <c r="L12" s="82"/>
      <c r="M12" s="78">
        <v>10</v>
      </c>
      <c r="N12" s="84">
        <v>0.8</v>
      </c>
      <c r="O12" s="84"/>
      <c r="P12" s="78">
        <v>10</v>
      </c>
      <c r="Q12" s="82">
        <v>1</v>
      </c>
      <c r="R12" s="82"/>
      <c r="S12" s="78">
        <v>10</v>
      </c>
      <c r="T12" s="82">
        <v>15</v>
      </c>
      <c r="V12" s="78">
        <v>10</v>
      </c>
      <c r="W12" s="85">
        <f t="shared" si="0"/>
        <v>5</v>
      </c>
      <c r="X12" s="85">
        <f t="shared" si="1"/>
        <v>5</v>
      </c>
      <c r="Y12" s="85">
        <f t="shared" si="2"/>
        <v>4</v>
      </c>
      <c r="Z12" s="85">
        <f t="shared" si="3"/>
        <v>4</v>
      </c>
      <c r="AA12" s="85">
        <f t="shared" si="4"/>
        <v>4</v>
      </c>
      <c r="AB12" s="79"/>
      <c r="AG12" s="78"/>
      <c r="AI12" s="77"/>
      <c r="AK12" s="78">
        <v>10</v>
      </c>
      <c r="AL12" s="85">
        <v>0</v>
      </c>
      <c r="AM12" s="85">
        <v>0</v>
      </c>
      <c r="AN12" s="85">
        <v>0</v>
      </c>
      <c r="AO12" s="85">
        <v>0</v>
      </c>
      <c r="AP12" s="85">
        <v>0</v>
      </c>
      <c r="AR12" s="78">
        <v>10</v>
      </c>
      <c r="AS12" s="85">
        <v>0</v>
      </c>
      <c r="AT12" s="85">
        <v>0</v>
      </c>
      <c r="AU12" s="85">
        <v>0</v>
      </c>
      <c r="AV12" s="85">
        <v>0</v>
      </c>
      <c r="AW12" s="85">
        <v>0</v>
      </c>
      <c r="AY12" s="78">
        <v>10</v>
      </c>
      <c r="AZ12" s="85">
        <v>0</v>
      </c>
      <c r="BA12" s="85">
        <v>0</v>
      </c>
      <c r="BB12" s="85">
        <v>0</v>
      </c>
      <c r="BC12" s="85">
        <v>0</v>
      </c>
      <c r="BD12" s="85">
        <v>0</v>
      </c>
      <c r="BF12" s="78">
        <v>10</v>
      </c>
      <c r="BG12" s="85">
        <v>0</v>
      </c>
      <c r="BH12" s="85">
        <v>0</v>
      </c>
      <c r="BI12" s="85">
        <v>0</v>
      </c>
      <c r="BJ12" s="85">
        <v>0</v>
      </c>
      <c r="BK12" s="86">
        <v>0</v>
      </c>
      <c r="BM12" s="77"/>
      <c r="BN12" s="78">
        <v>10</v>
      </c>
      <c r="BO12" s="85">
        <f t="shared" si="5"/>
        <v>0</v>
      </c>
      <c r="BP12" s="85">
        <f t="shared" si="5"/>
        <v>0</v>
      </c>
      <c r="BQ12" s="85">
        <f t="shared" si="5"/>
        <v>0</v>
      </c>
      <c r="BR12" s="85">
        <f t="shared" si="5"/>
        <v>0</v>
      </c>
      <c r="BS12" s="85">
        <f t="shared" si="5"/>
        <v>0</v>
      </c>
      <c r="BU12" s="78">
        <v>10</v>
      </c>
      <c r="BV12" s="85">
        <f t="shared" si="6"/>
        <v>0</v>
      </c>
      <c r="BW12" s="85">
        <f t="shared" si="6"/>
        <v>0</v>
      </c>
      <c r="BX12" s="85">
        <f t="shared" si="6"/>
        <v>0</v>
      </c>
      <c r="BY12" s="85">
        <f t="shared" si="6"/>
        <v>0</v>
      </c>
      <c r="BZ12" s="85">
        <f t="shared" si="6"/>
        <v>0</v>
      </c>
      <c r="CB12" s="78">
        <v>10</v>
      </c>
      <c r="CC12" s="78">
        <f t="shared" si="7"/>
        <v>0</v>
      </c>
      <c r="CD12" s="78">
        <f t="shared" si="7"/>
        <v>0</v>
      </c>
      <c r="CE12" s="78">
        <f t="shared" si="7"/>
        <v>0</v>
      </c>
      <c r="CF12" s="78">
        <f t="shared" si="7"/>
        <v>0</v>
      </c>
      <c r="CG12" s="80">
        <f t="shared" si="7"/>
        <v>0</v>
      </c>
    </row>
    <row r="13" spans="1:85" x14ac:dyDescent="0.3">
      <c r="A13" s="81">
        <v>11</v>
      </c>
      <c r="B13" s="82">
        <v>12</v>
      </c>
      <c r="C13" s="83"/>
      <c r="D13" s="78">
        <v>11</v>
      </c>
      <c r="E13" s="82">
        <v>7</v>
      </c>
      <c r="F13" s="83"/>
      <c r="G13" s="78">
        <v>11</v>
      </c>
      <c r="H13" s="82">
        <v>8</v>
      </c>
      <c r="I13" s="83"/>
      <c r="J13" s="78">
        <v>11</v>
      </c>
      <c r="K13" s="82">
        <v>4</v>
      </c>
      <c r="L13" s="82"/>
      <c r="M13" s="78">
        <v>11</v>
      </c>
      <c r="N13" s="84">
        <v>0.1</v>
      </c>
      <c r="O13" s="84"/>
      <c r="P13" s="78">
        <v>11</v>
      </c>
      <c r="Q13" s="82">
        <v>2</v>
      </c>
      <c r="R13" s="82"/>
      <c r="S13" s="78">
        <v>11</v>
      </c>
      <c r="T13" s="82">
        <v>17</v>
      </c>
      <c r="V13" s="78">
        <v>11</v>
      </c>
      <c r="W13" s="85">
        <f t="shared" si="0"/>
        <v>4</v>
      </c>
      <c r="X13" s="85">
        <f t="shared" si="1"/>
        <v>3</v>
      </c>
      <c r="Y13" s="85">
        <f t="shared" si="2"/>
        <v>3</v>
      </c>
      <c r="Z13" s="85">
        <f t="shared" si="3"/>
        <v>3</v>
      </c>
      <c r="AA13" s="85">
        <f t="shared" si="4"/>
        <v>3</v>
      </c>
      <c r="AB13" s="79"/>
      <c r="AG13" s="78"/>
      <c r="AI13" s="77"/>
      <c r="AK13" s="78">
        <v>11</v>
      </c>
      <c r="AL13" s="85">
        <v>0</v>
      </c>
      <c r="AM13" s="85">
        <v>0</v>
      </c>
      <c r="AN13" s="85">
        <v>0</v>
      </c>
      <c r="AO13" s="85">
        <v>0</v>
      </c>
      <c r="AP13" s="85">
        <v>0</v>
      </c>
      <c r="AR13" s="78">
        <v>11</v>
      </c>
      <c r="AS13" s="85">
        <v>0</v>
      </c>
      <c r="AT13" s="85">
        <v>0</v>
      </c>
      <c r="AU13" s="85">
        <v>0</v>
      </c>
      <c r="AV13" s="85">
        <v>0</v>
      </c>
      <c r="AW13" s="85">
        <v>0</v>
      </c>
      <c r="AY13" s="78">
        <v>11</v>
      </c>
      <c r="AZ13" s="85">
        <v>0</v>
      </c>
      <c r="BA13" s="85">
        <v>0</v>
      </c>
      <c r="BB13" s="85">
        <v>0</v>
      </c>
      <c r="BC13" s="85">
        <v>0</v>
      </c>
      <c r="BD13" s="85">
        <v>0</v>
      </c>
      <c r="BF13" s="78">
        <v>11</v>
      </c>
      <c r="BG13" s="85">
        <v>0</v>
      </c>
      <c r="BH13" s="85">
        <v>0</v>
      </c>
      <c r="BI13" s="85">
        <v>0</v>
      </c>
      <c r="BJ13" s="85">
        <v>0</v>
      </c>
      <c r="BK13" s="86">
        <v>0</v>
      </c>
      <c r="BM13" s="77"/>
      <c r="BN13" s="78">
        <v>11</v>
      </c>
      <c r="BO13" s="85">
        <f t="shared" si="5"/>
        <v>0</v>
      </c>
      <c r="BP13" s="85">
        <f t="shared" si="5"/>
        <v>0</v>
      </c>
      <c r="BQ13" s="85">
        <f t="shared" si="5"/>
        <v>0</v>
      </c>
      <c r="BR13" s="85">
        <f t="shared" si="5"/>
        <v>0</v>
      </c>
      <c r="BS13" s="85">
        <f t="shared" si="5"/>
        <v>0</v>
      </c>
      <c r="BU13" s="78">
        <v>11</v>
      </c>
      <c r="BV13" s="85">
        <f t="shared" si="6"/>
        <v>0</v>
      </c>
      <c r="BW13" s="85">
        <f t="shared" si="6"/>
        <v>0</v>
      </c>
      <c r="BX13" s="85">
        <f t="shared" si="6"/>
        <v>0</v>
      </c>
      <c r="BY13" s="85">
        <f t="shared" si="6"/>
        <v>0</v>
      </c>
      <c r="BZ13" s="85">
        <f t="shared" si="6"/>
        <v>0</v>
      </c>
      <c r="CB13" s="78">
        <v>11</v>
      </c>
      <c r="CC13" s="78">
        <f t="shared" si="7"/>
        <v>0</v>
      </c>
      <c r="CD13" s="78">
        <f t="shared" si="7"/>
        <v>0</v>
      </c>
      <c r="CE13" s="78">
        <f t="shared" si="7"/>
        <v>0</v>
      </c>
      <c r="CF13" s="78">
        <f t="shared" si="7"/>
        <v>0</v>
      </c>
      <c r="CG13" s="80">
        <f t="shared" si="7"/>
        <v>0</v>
      </c>
    </row>
    <row r="14" spans="1:85" x14ac:dyDescent="0.3">
      <c r="A14" s="81">
        <v>12</v>
      </c>
      <c r="B14" s="82">
        <v>8</v>
      </c>
      <c r="C14" s="83"/>
      <c r="D14" s="78">
        <v>12</v>
      </c>
      <c r="E14" s="82">
        <v>5</v>
      </c>
      <c r="F14" s="83"/>
      <c r="G14" s="78">
        <v>12</v>
      </c>
      <c r="H14" s="82">
        <v>7</v>
      </c>
      <c r="I14" s="83"/>
      <c r="J14" s="78">
        <v>12</v>
      </c>
      <c r="K14" s="82">
        <v>7</v>
      </c>
      <c r="L14" s="82"/>
      <c r="M14" s="78">
        <v>12</v>
      </c>
      <c r="N14" s="84">
        <v>0.8</v>
      </c>
      <c r="O14" s="84"/>
      <c r="P14" s="78">
        <v>12</v>
      </c>
      <c r="Q14" s="82">
        <v>5</v>
      </c>
      <c r="R14" s="82"/>
      <c r="S14" s="78">
        <v>12</v>
      </c>
      <c r="T14" s="82">
        <v>22</v>
      </c>
      <c r="V14" s="78">
        <v>12</v>
      </c>
      <c r="W14" s="85">
        <f t="shared" si="0"/>
        <v>4</v>
      </c>
      <c r="X14" s="85">
        <f t="shared" si="1"/>
        <v>4</v>
      </c>
      <c r="Y14" s="85">
        <f t="shared" si="2"/>
        <v>3</v>
      </c>
      <c r="Z14" s="85">
        <f t="shared" si="3"/>
        <v>3</v>
      </c>
      <c r="AA14" s="85">
        <f t="shared" si="4"/>
        <v>4</v>
      </c>
      <c r="AB14" s="79"/>
      <c r="AG14" s="78"/>
      <c r="AI14" s="77"/>
      <c r="AK14" s="78">
        <v>12</v>
      </c>
      <c r="AL14" s="85">
        <v>0</v>
      </c>
      <c r="AM14" s="85">
        <v>0</v>
      </c>
      <c r="AN14" s="85">
        <v>0</v>
      </c>
      <c r="AO14" s="85">
        <v>0</v>
      </c>
      <c r="AP14" s="85">
        <v>0</v>
      </c>
      <c r="AR14" s="78">
        <v>12</v>
      </c>
      <c r="AS14" s="85">
        <v>0</v>
      </c>
      <c r="AT14" s="85">
        <v>0</v>
      </c>
      <c r="AU14" s="85">
        <v>0</v>
      </c>
      <c r="AV14" s="85">
        <v>0</v>
      </c>
      <c r="AW14" s="85">
        <v>0</v>
      </c>
      <c r="AY14" s="78">
        <v>12</v>
      </c>
      <c r="AZ14" s="85">
        <v>0</v>
      </c>
      <c r="BA14" s="85">
        <v>0</v>
      </c>
      <c r="BB14" s="85">
        <v>0</v>
      </c>
      <c r="BC14" s="85">
        <v>0</v>
      </c>
      <c r="BD14" s="85">
        <v>1</v>
      </c>
      <c r="BF14" s="78">
        <v>12</v>
      </c>
      <c r="BG14" s="85">
        <v>0</v>
      </c>
      <c r="BH14" s="85">
        <v>0</v>
      </c>
      <c r="BI14" s="85">
        <v>0</v>
      </c>
      <c r="BJ14" s="85">
        <v>0</v>
      </c>
      <c r="BK14" s="86">
        <v>0</v>
      </c>
      <c r="BM14" s="77"/>
      <c r="BN14" s="78">
        <v>12</v>
      </c>
      <c r="BO14" s="85">
        <f t="shared" si="5"/>
        <v>0</v>
      </c>
      <c r="BP14" s="85">
        <f t="shared" si="5"/>
        <v>0</v>
      </c>
      <c r="BQ14" s="85">
        <f t="shared" si="5"/>
        <v>0</v>
      </c>
      <c r="BR14" s="85">
        <f t="shared" si="5"/>
        <v>0</v>
      </c>
      <c r="BS14" s="85">
        <f t="shared" si="5"/>
        <v>1</v>
      </c>
      <c r="BU14" s="78">
        <v>12</v>
      </c>
      <c r="BV14" s="85">
        <f t="shared" si="6"/>
        <v>0</v>
      </c>
      <c r="BW14" s="85">
        <f t="shared" si="6"/>
        <v>0</v>
      </c>
      <c r="BX14" s="85">
        <f t="shared" si="6"/>
        <v>0</v>
      </c>
      <c r="BY14" s="85">
        <f t="shared" si="6"/>
        <v>0</v>
      </c>
      <c r="BZ14" s="85">
        <f t="shared" si="6"/>
        <v>3</v>
      </c>
      <c r="CB14" s="78">
        <v>12</v>
      </c>
      <c r="CC14" s="78">
        <f t="shared" si="7"/>
        <v>0</v>
      </c>
      <c r="CD14" s="78">
        <f t="shared" si="7"/>
        <v>0</v>
      </c>
      <c r="CE14" s="78">
        <f t="shared" si="7"/>
        <v>0</v>
      </c>
      <c r="CF14" s="78">
        <f t="shared" si="7"/>
        <v>0</v>
      </c>
      <c r="CG14" s="80">
        <f t="shared" si="7"/>
        <v>2.4082246852806923</v>
      </c>
    </row>
    <row r="15" spans="1:85" x14ac:dyDescent="0.3">
      <c r="A15" s="81">
        <v>13</v>
      </c>
      <c r="B15" s="82">
        <v>11</v>
      </c>
      <c r="C15" s="83"/>
      <c r="D15" s="78">
        <v>13</v>
      </c>
      <c r="E15" s="82">
        <v>7</v>
      </c>
      <c r="F15" s="83"/>
      <c r="G15" s="78">
        <v>13</v>
      </c>
      <c r="H15" s="82">
        <v>2</v>
      </c>
      <c r="I15" s="83"/>
      <c r="J15" s="78">
        <v>13</v>
      </c>
      <c r="K15" s="82">
        <v>2</v>
      </c>
      <c r="L15" s="82"/>
      <c r="M15" s="78">
        <v>13</v>
      </c>
      <c r="N15" s="84">
        <v>0.1</v>
      </c>
      <c r="O15" s="84"/>
      <c r="P15" s="78">
        <v>13</v>
      </c>
      <c r="Q15" s="82">
        <v>3</v>
      </c>
      <c r="R15" s="82"/>
      <c r="S15" s="78">
        <v>13</v>
      </c>
      <c r="T15" s="82">
        <v>19</v>
      </c>
      <c r="V15" s="78">
        <v>13</v>
      </c>
      <c r="W15" s="85">
        <f t="shared" si="0"/>
        <v>17</v>
      </c>
      <c r="X15" s="85">
        <f t="shared" si="1"/>
        <v>15</v>
      </c>
      <c r="Y15" s="85">
        <f t="shared" si="2"/>
        <v>13</v>
      </c>
      <c r="Z15" s="85">
        <f t="shared" si="3"/>
        <v>13</v>
      </c>
      <c r="AA15" s="85">
        <f t="shared" si="4"/>
        <v>14</v>
      </c>
      <c r="AB15" s="79"/>
      <c r="AG15" s="78"/>
      <c r="AI15" s="77"/>
      <c r="AK15" s="78">
        <v>13</v>
      </c>
      <c r="AL15" s="85">
        <v>0</v>
      </c>
      <c r="AM15" s="85">
        <v>0</v>
      </c>
      <c r="AN15" s="85">
        <v>0</v>
      </c>
      <c r="AO15" s="85">
        <v>0</v>
      </c>
      <c r="AP15" s="85">
        <v>0</v>
      </c>
      <c r="AR15" s="78">
        <v>13</v>
      </c>
      <c r="AS15" s="85">
        <v>0</v>
      </c>
      <c r="AT15" s="85">
        <v>0</v>
      </c>
      <c r="AU15" s="85">
        <v>0</v>
      </c>
      <c r="AV15" s="85">
        <v>0</v>
      </c>
      <c r="AW15" s="85">
        <v>0</v>
      </c>
      <c r="AY15" s="78">
        <v>13</v>
      </c>
      <c r="AZ15" s="85">
        <v>0</v>
      </c>
      <c r="BA15" s="85">
        <v>0</v>
      </c>
      <c r="BB15" s="85">
        <v>0</v>
      </c>
      <c r="BC15" s="85">
        <v>0</v>
      </c>
      <c r="BD15" s="85">
        <v>0</v>
      </c>
      <c r="BF15" s="78">
        <v>13</v>
      </c>
      <c r="BG15" s="85">
        <v>0</v>
      </c>
      <c r="BH15" s="85">
        <v>0</v>
      </c>
      <c r="BI15" s="85">
        <v>0</v>
      </c>
      <c r="BJ15" s="85">
        <v>0</v>
      </c>
      <c r="BK15" s="86">
        <v>0</v>
      </c>
      <c r="BM15" s="77"/>
      <c r="BN15" s="78">
        <v>13</v>
      </c>
      <c r="BO15" s="85">
        <f t="shared" si="5"/>
        <v>0</v>
      </c>
      <c r="BP15" s="85">
        <f t="shared" si="5"/>
        <v>0</v>
      </c>
      <c r="BQ15" s="85">
        <f t="shared" si="5"/>
        <v>0</v>
      </c>
      <c r="BR15" s="85">
        <f t="shared" si="5"/>
        <v>0</v>
      </c>
      <c r="BS15" s="85">
        <f t="shared" si="5"/>
        <v>0</v>
      </c>
      <c r="BU15" s="78">
        <v>13</v>
      </c>
      <c r="BV15" s="85">
        <f t="shared" si="6"/>
        <v>0</v>
      </c>
      <c r="BW15" s="85">
        <f t="shared" si="6"/>
        <v>0</v>
      </c>
      <c r="BX15" s="85">
        <f t="shared" si="6"/>
        <v>0</v>
      </c>
      <c r="BY15" s="85">
        <f t="shared" si="6"/>
        <v>0</v>
      </c>
      <c r="BZ15" s="85">
        <f t="shared" si="6"/>
        <v>0</v>
      </c>
      <c r="CB15" s="78">
        <v>13</v>
      </c>
      <c r="CC15" s="78">
        <f t="shared" si="7"/>
        <v>0</v>
      </c>
      <c r="CD15" s="78">
        <f t="shared" si="7"/>
        <v>0</v>
      </c>
      <c r="CE15" s="78">
        <f t="shared" si="7"/>
        <v>0</v>
      </c>
      <c r="CF15" s="78">
        <f t="shared" si="7"/>
        <v>0</v>
      </c>
      <c r="CG15" s="80">
        <f t="shared" si="7"/>
        <v>0</v>
      </c>
    </row>
    <row r="16" spans="1:85" x14ac:dyDescent="0.3">
      <c r="A16" s="81">
        <v>14</v>
      </c>
      <c r="B16" s="82">
        <v>13</v>
      </c>
      <c r="C16" s="83"/>
      <c r="D16" s="78">
        <v>14</v>
      </c>
      <c r="E16" s="82">
        <v>8</v>
      </c>
      <c r="F16" s="83"/>
      <c r="G16" s="78">
        <v>14</v>
      </c>
      <c r="H16" s="82">
        <v>5</v>
      </c>
      <c r="I16" s="83"/>
      <c r="J16" s="78">
        <v>14</v>
      </c>
      <c r="K16" s="82">
        <v>9</v>
      </c>
      <c r="L16" s="82"/>
      <c r="M16" s="78">
        <v>14</v>
      </c>
      <c r="N16" s="84">
        <v>0.8</v>
      </c>
      <c r="O16" s="84"/>
      <c r="P16" s="78">
        <v>14</v>
      </c>
      <c r="Q16" s="82">
        <v>3</v>
      </c>
      <c r="R16" s="82"/>
      <c r="S16" s="78">
        <v>14</v>
      </c>
      <c r="T16" s="82">
        <v>15</v>
      </c>
      <c r="V16" s="78">
        <v>14</v>
      </c>
      <c r="W16" s="85">
        <f t="shared" si="0"/>
        <v>6</v>
      </c>
      <c r="X16" s="85">
        <f t="shared" si="1"/>
        <v>6</v>
      </c>
      <c r="Y16" s="85">
        <f t="shared" si="2"/>
        <v>5</v>
      </c>
      <c r="Z16" s="85">
        <f t="shared" si="3"/>
        <v>5</v>
      </c>
      <c r="AA16" s="85">
        <f t="shared" si="4"/>
        <v>5</v>
      </c>
      <c r="AB16" s="79"/>
      <c r="AG16" s="78"/>
      <c r="AI16" s="77"/>
      <c r="AK16" s="78">
        <v>14</v>
      </c>
      <c r="AL16" s="85">
        <v>0</v>
      </c>
      <c r="AM16" s="85">
        <v>0</v>
      </c>
      <c r="AN16" s="85">
        <v>0</v>
      </c>
      <c r="AO16" s="85">
        <v>0</v>
      </c>
      <c r="AP16" s="85">
        <v>0</v>
      </c>
      <c r="AR16" s="78">
        <v>14</v>
      </c>
      <c r="AS16" s="85">
        <v>0</v>
      </c>
      <c r="AT16" s="85">
        <v>0</v>
      </c>
      <c r="AU16" s="85">
        <v>0</v>
      </c>
      <c r="AV16" s="85">
        <v>0</v>
      </c>
      <c r="AW16" s="85">
        <v>0</v>
      </c>
      <c r="AY16" s="78">
        <v>14</v>
      </c>
      <c r="AZ16" s="85">
        <v>0</v>
      </c>
      <c r="BA16" s="85">
        <v>0</v>
      </c>
      <c r="BB16" s="85">
        <v>0</v>
      </c>
      <c r="BC16" s="85">
        <v>1</v>
      </c>
      <c r="BD16" s="85">
        <v>0</v>
      </c>
      <c r="BF16" s="78">
        <v>14</v>
      </c>
      <c r="BG16" s="85">
        <v>0</v>
      </c>
      <c r="BH16" s="85">
        <v>0</v>
      </c>
      <c r="BI16" s="85">
        <v>0</v>
      </c>
      <c r="BJ16" s="85">
        <v>0</v>
      </c>
      <c r="BK16" s="86">
        <v>0</v>
      </c>
      <c r="BM16" s="77"/>
      <c r="BN16" s="78">
        <v>14</v>
      </c>
      <c r="BO16" s="85">
        <f t="shared" si="5"/>
        <v>0</v>
      </c>
      <c r="BP16" s="85">
        <f t="shared" si="5"/>
        <v>0</v>
      </c>
      <c r="BQ16" s="85">
        <f t="shared" si="5"/>
        <v>0</v>
      </c>
      <c r="BR16" s="85">
        <f t="shared" si="5"/>
        <v>1</v>
      </c>
      <c r="BS16" s="85">
        <f t="shared" si="5"/>
        <v>0</v>
      </c>
      <c r="BU16" s="78">
        <v>14</v>
      </c>
      <c r="BV16" s="85">
        <f t="shared" si="6"/>
        <v>0</v>
      </c>
      <c r="BW16" s="85">
        <f t="shared" si="6"/>
        <v>0</v>
      </c>
      <c r="BX16" s="85">
        <f t="shared" si="6"/>
        <v>0</v>
      </c>
      <c r="BY16" s="85">
        <f t="shared" si="6"/>
        <v>3</v>
      </c>
      <c r="BZ16" s="85">
        <f t="shared" si="6"/>
        <v>0</v>
      </c>
      <c r="CB16" s="78">
        <v>14</v>
      </c>
      <c r="CC16" s="78">
        <f t="shared" si="7"/>
        <v>0</v>
      </c>
      <c r="CD16" s="78">
        <f t="shared" si="7"/>
        <v>0</v>
      </c>
      <c r="CE16" s="78">
        <f t="shared" si="7"/>
        <v>0</v>
      </c>
      <c r="CF16" s="78">
        <f t="shared" si="7"/>
        <v>2.4082246852806923</v>
      </c>
      <c r="CG16" s="80">
        <f t="shared" si="7"/>
        <v>0</v>
      </c>
    </row>
    <row r="17" spans="1:85" x14ac:dyDescent="0.3">
      <c r="A17" s="81">
        <v>15</v>
      </c>
      <c r="B17" s="82">
        <v>7</v>
      </c>
      <c r="C17" s="83"/>
      <c r="D17" s="78">
        <v>15</v>
      </c>
      <c r="E17" s="82">
        <v>9</v>
      </c>
      <c r="F17" s="83"/>
      <c r="G17" s="78">
        <v>15</v>
      </c>
      <c r="H17" s="82">
        <v>4</v>
      </c>
      <c r="I17" s="83"/>
      <c r="J17" s="78">
        <v>15</v>
      </c>
      <c r="K17" s="82">
        <v>11</v>
      </c>
      <c r="L17" s="82"/>
      <c r="M17" s="78">
        <v>15</v>
      </c>
      <c r="N17" s="84">
        <v>0.8</v>
      </c>
      <c r="O17" s="84"/>
      <c r="P17" s="78">
        <v>15</v>
      </c>
      <c r="Q17" s="82">
        <v>3</v>
      </c>
      <c r="R17" s="82"/>
      <c r="S17" s="78">
        <v>15</v>
      </c>
      <c r="T17" s="82">
        <v>21</v>
      </c>
      <c r="V17" s="78">
        <v>15</v>
      </c>
      <c r="W17" s="85">
        <f t="shared" si="0"/>
        <v>8</v>
      </c>
      <c r="X17" s="85">
        <f t="shared" si="1"/>
        <v>7</v>
      </c>
      <c r="Y17" s="85">
        <f t="shared" si="2"/>
        <v>6</v>
      </c>
      <c r="Z17" s="85">
        <f t="shared" si="3"/>
        <v>6</v>
      </c>
      <c r="AA17" s="85">
        <f t="shared" si="4"/>
        <v>7</v>
      </c>
      <c r="AB17" s="79"/>
      <c r="AG17" s="78"/>
      <c r="AI17" s="77"/>
      <c r="AK17" s="78">
        <v>15</v>
      </c>
      <c r="AL17" s="85">
        <v>0</v>
      </c>
      <c r="AM17" s="85">
        <v>0</v>
      </c>
      <c r="AN17" s="85">
        <v>0</v>
      </c>
      <c r="AO17" s="85">
        <v>0</v>
      </c>
      <c r="AP17" s="85">
        <v>0</v>
      </c>
      <c r="AR17" s="78">
        <v>15</v>
      </c>
      <c r="AS17" s="85">
        <v>0</v>
      </c>
      <c r="AT17" s="85">
        <v>0</v>
      </c>
      <c r="AU17" s="85">
        <v>0</v>
      </c>
      <c r="AV17" s="85">
        <v>0</v>
      </c>
      <c r="AW17" s="85">
        <v>0</v>
      </c>
      <c r="AY17" s="78">
        <v>15</v>
      </c>
      <c r="AZ17" s="85">
        <v>0</v>
      </c>
      <c r="BA17" s="85">
        <v>0</v>
      </c>
      <c r="BB17" s="85">
        <v>0</v>
      </c>
      <c r="BC17" s="85">
        <v>0</v>
      </c>
      <c r="BD17" s="85">
        <v>1</v>
      </c>
      <c r="BF17" s="78">
        <v>15</v>
      </c>
      <c r="BG17" s="85">
        <v>0</v>
      </c>
      <c r="BH17" s="85">
        <v>0</v>
      </c>
      <c r="BI17" s="85">
        <v>0</v>
      </c>
      <c r="BJ17" s="85">
        <v>0</v>
      </c>
      <c r="BK17" s="86">
        <v>0</v>
      </c>
      <c r="BM17" s="77"/>
      <c r="BN17" s="78">
        <v>15</v>
      </c>
      <c r="BO17" s="85">
        <f t="shared" si="5"/>
        <v>0</v>
      </c>
      <c r="BP17" s="85">
        <f t="shared" si="5"/>
        <v>0</v>
      </c>
      <c r="BQ17" s="85">
        <f t="shared" si="5"/>
        <v>0</v>
      </c>
      <c r="BR17" s="85">
        <f t="shared" si="5"/>
        <v>0</v>
      </c>
      <c r="BS17" s="85">
        <f t="shared" si="5"/>
        <v>1</v>
      </c>
      <c r="BU17" s="78">
        <v>15</v>
      </c>
      <c r="BV17" s="85">
        <f t="shared" si="6"/>
        <v>0</v>
      </c>
      <c r="BW17" s="85">
        <f t="shared" si="6"/>
        <v>0</v>
      </c>
      <c r="BX17" s="85">
        <f t="shared" si="6"/>
        <v>0</v>
      </c>
      <c r="BY17" s="85">
        <f t="shared" si="6"/>
        <v>0</v>
      </c>
      <c r="BZ17" s="85">
        <f t="shared" si="6"/>
        <v>3</v>
      </c>
      <c r="CB17" s="78">
        <v>15</v>
      </c>
      <c r="CC17" s="78">
        <f t="shared" si="7"/>
        <v>0</v>
      </c>
      <c r="CD17" s="78">
        <f t="shared" si="7"/>
        <v>0</v>
      </c>
      <c r="CE17" s="78">
        <f t="shared" si="7"/>
        <v>0</v>
      </c>
      <c r="CF17" s="78">
        <f t="shared" si="7"/>
        <v>0</v>
      </c>
      <c r="CG17" s="80">
        <f t="shared" si="7"/>
        <v>2.4082246852806923</v>
      </c>
    </row>
    <row r="18" spans="1:85" x14ac:dyDescent="0.3">
      <c r="A18" s="81">
        <v>16</v>
      </c>
      <c r="B18" s="82">
        <v>14</v>
      </c>
      <c r="C18" s="83"/>
      <c r="D18" s="78">
        <v>16</v>
      </c>
      <c r="E18" s="82">
        <v>6</v>
      </c>
      <c r="F18" s="83"/>
      <c r="G18" s="78">
        <v>16</v>
      </c>
      <c r="H18" s="82">
        <v>3</v>
      </c>
      <c r="I18" s="83"/>
      <c r="J18" s="78">
        <v>16</v>
      </c>
      <c r="K18" s="82">
        <v>2</v>
      </c>
      <c r="L18" s="82"/>
      <c r="M18" s="78">
        <v>16</v>
      </c>
      <c r="N18" s="84">
        <v>0.1</v>
      </c>
      <c r="O18" s="84"/>
      <c r="P18" s="78">
        <v>16</v>
      </c>
      <c r="Q18" s="82">
        <v>5</v>
      </c>
      <c r="R18" s="82"/>
      <c r="S18" s="78">
        <v>16</v>
      </c>
      <c r="T18" s="82">
        <v>22</v>
      </c>
      <c r="V18" s="78">
        <v>16</v>
      </c>
      <c r="W18" s="85">
        <f t="shared" si="0"/>
        <v>11</v>
      </c>
      <c r="X18" s="85">
        <f t="shared" si="1"/>
        <v>10</v>
      </c>
      <c r="Y18" s="85">
        <f t="shared" si="2"/>
        <v>8</v>
      </c>
      <c r="Z18" s="85">
        <f t="shared" si="3"/>
        <v>9</v>
      </c>
      <c r="AA18" s="85">
        <f t="shared" si="4"/>
        <v>9</v>
      </c>
      <c r="AB18" s="79"/>
      <c r="AG18" s="78"/>
      <c r="AI18" s="77"/>
      <c r="AK18" s="78">
        <v>16</v>
      </c>
      <c r="AL18" s="85">
        <v>0</v>
      </c>
      <c r="AM18" s="85">
        <v>0</v>
      </c>
      <c r="AN18" s="85">
        <v>0</v>
      </c>
      <c r="AO18" s="85">
        <v>0</v>
      </c>
      <c r="AP18" s="85">
        <v>0</v>
      </c>
      <c r="AR18" s="78">
        <v>16</v>
      </c>
      <c r="AS18" s="85">
        <v>0</v>
      </c>
      <c r="AT18" s="85">
        <v>0</v>
      </c>
      <c r="AU18" s="85">
        <v>0</v>
      </c>
      <c r="AV18" s="85">
        <v>0</v>
      </c>
      <c r="AW18" s="85">
        <v>0</v>
      </c>
      <c r="AY18" s="78">
        <v>16</v>
      </c>
      <c r="AZ18" s="85">
        <v>0</v>
      </c>
      <c r="BA18" s="85">
        <v>0</v>
      </c>
      <c r="BB18" s="85">
        <v>0</v>
      </c>
      <c r="BC18" s="85">
        <v>0</v>
      </c>
      <c r="BD18" s="85">
        <v>0</v>
      </c>
      <c r="BF18" s="78">
        <v>16</v>
      </c>
      <c r="BG18" s="85">
        <v>0</v>
      </c>
      <c r="BH18" s="85">
        <v>0</v>
      </c>
      <c r="BI18" s="85">
        <v>0</v>
      </c>
      <c r="BJ18" s="85">
        <v>0</v>
      </c>
      <c r="BK18" s="86">
        <v>0</v>
      </c>
      <c r="BM18" s="77"/>
      <c r="BN18" s="78">
        <v>16</v>
      </c>
      <c r="BO18" s="85">
        <f t="shared" si="5"/>
        <v>0</v>
      </c>
      <c r="BP18" s="85">
        <f t="shared" si="5"/>
        <v>0</v>
      </c>
      <c r="BQ18" s="85">
        <f t="shared" si="5"/>
        <v>0</v>
      </c>
      <c r="BR18" s="85">
        <f t="shared" si="5"/>
        <v>0</v>
      </c>
      <c r="BS18" s="85">
        <f t="shared" si="5"/>
        <v>0</v>
      </c>
      <c r="BU18" s="78">
        <v>16</v>
      </c>
      <c r="BV18" s="85">
        <f t="shared" si="6"/>
        <v>0</v>
      </c>
      <c r="BW18" s="85">
        <f t="shared" si="6"/>
        <v>0</v>
      </c>
      <c r="BX18" s="85">
        <f t="shared" si="6"/>
        <v>0</v>
      </c>
      <c r="BY18" s="85">
        <f t="shared" si="6"/>
        <v>0</v>
      </c>
      <c r="BZ18" s="85">
        <f t="shared" si="6"/>
        <v>0</v>
      </c>
      <c r="CB18" s="78">
        <v>16</v>
      </c>
      <c r="CC18" s="78">
        <f t="shared" si="7"/>
        <v>0</v>
      </c>
      <c r="CD18" s="78">
        <f t="shared" si="7"/>
        <v>0</v>
      </c>
      <c r="CE18" s="78">
        <f t="shared" si="7"/>
        <v>0</v>
      </c>
      <c r="CF18" s="78">
        <f t="shared" si="7"/>
        <v>0</v>
      </c>
      <c r="CG18" s="80">
        <f t="shared" si="7"/>
        <v>0</v>
      </c>
    </row>
    <row r="19" spans="1:85" x14ac:dyDescent="0.3">
      <c r="A19" s="81">
        <v>17</v>
      </c>
      <c r="B19" s="82">
        <v>9</v>
      </c>
      <c r="C19" s="83"/>
      <c r="D19" s="78">
        <v>17</v>
      </c>
      <c r="E19" s="82">
        <v>6</v>
      </c>
      <c r="F19" s="83"/>
      <c r="G19" s="78">
        <v>17</v>
      </c>
      <c r="H19" s="82">
        <v>8</v>
      </c>
      <c r="I19" s="83"/>
      <c r="J19" s="78">
        <v>17</v>
      </c>
      <c r="K19" s="82">
        <v>9</v>
      </c>
      <c r="L19" s="82"/>
      <c r="M19" s="78">
        <v>17</v>
      </c>
      <c r="N19" s="84">
        <v>0.1</v>
      </c>
      <c r="O19" s="84"/>
      <c r="P19" s="78">
        <v>17</v>
      </c>
      <c r="Q19" s="82">
        <v>3</v>
      </c>
      <c r="R19" s="82"/>
      <c r="S19" s="78">
        <v>17</v>
      </c>
      <c r="T19" s="82">
        <v>21</v>
      </c>
      <c r="V19" s="78">
        <v>17</v>
      </c>
      <c r="W19" s="85">
        <f t="shared" si="0"/>
        <v>4</v>
      </c>
      <c r="X19" s="85">
        <f t="shared" si="1"/>
        <v>3</v>
      </c>
      <c r="Y19" s="85">
        <f t="shared" si="2"/>
        <v>3</v>
      </c>
      <c r="Z19" s="85">
        <f t="shared" si="3"/>
        <v>3</v>
      </c>
      <c r="AA19" s="85">
        <f t="shared" si="4"/>
        <v>3</v>
      </c>
      <c r="AB19" s="79"/>
      <c r="AG19" s="78"/>
      <c r="AI19" s="77"/>
      <c r="AK19" s="78">
        <v>17</v>
      </c>
      <c r="AL19" s="85">
        <v>0</v>
      </c>
      <c r="AM19" s="85">
        <v>0</v>
      </c>
      <c r="AN19" s="85">
        <v>0</v>
      </c>
      <c r="AO19" s="85">
        <v>0</v>
      </c>
      <c r="AP19" s="85">
        <v>0</v>
      </c>
      <c r="AR19" s="78">
        <v>17</v>
      </c>
      <c r="AS19" s="85">
        <v>0</v>
      </c>
      <c r="AT19" s="85">
        <v>0</v>
      </c>
      <c r="AU19" s="85">
        <v>0</v>
      </c>
      <c r="AV19" s="85">
        <v>0</v>
      </c>
      <c r="AW19" s="85">
        <v>0</v>
      </c>
      <c r="AY19" s="78">
        <v>17</v>
      </c>
      <c r="AZ19" s="85">
        <v>0</v>
      </c>
      <c r="BA19" s="85">
        <v>0</v>
      </c>
      <c r="BB19" s="85">
        <v>0</v>
      </c>
      <c r="BC19" s="85">
        <v>0</v>
      </c>
      <c r="BD19" s="85">
        <v>0</v>
      </c>
      <c r="BF19" s="78">
        <v>17</v>
      </c>
      <c r="BG19" s="85">
        <v>0</v>
      </c>
      <c r="BH19" s="85">
        <v>0</v>
      </c>
      <c r="BI19" s="85">
        <v>0</v>
      </c>
      <c r="BJ19" s="85">
        <v>0</v>
      </c>
      <c r="BK19" s="86">
        <v>0</v>
      </c>
      <c r="BM19" s="77"/>
      <c r="BN19" s="78">
        <v>17</v>
      </c>
      <c r="BO19" s="85">
        <f t="shared" si="5"/>
        <v>0</v>
      </c>
      <c r="BP19" s="85">
        <f t="shared" si="5"/>
        <v>0</v>
      </c>
      <c r="BQ19" s="85">
        <f t="shared" si="5"/>
        <v>0</v>
      </c>
      <c r="BR19" s="85">
        <f t="shared" si="5"/>
        <v>0</v>
      </c>
      <c r="BS19" s="85">
        <f t="shared" si="5"/>
        <v>0</v>
      </c>
      <c r="BU19" s="78">
        <v>17</v>
      </c>
      <c r="BV19" s="85">
        <f t="shared" si="6"/>
        <v>0</v>
      </c>
      <c r="BW19" s="85">
        <f t="shared" si="6"/>
        <v>0</v>
      </c>
      <c r="BX19" s="85">
        <f t="shared" si="6"/>
        <v>0</v>
      </c>
      <c r="BY19" s="85">
        <f t="shared" si="6"/>
        <v>0</v>
      </c>
      <c r="BZ19" s="85">
        <f t="shared" si="6"/>
        <v>0</v>
      </c>
      <c r="CB19" s="78">
        <v>17</v>
      </c>
      <c r="CC19" s="78">
        <f t="shared" si="7"/>
        <v>0</v>
      </c>
      <c r="CD19" s="78">
        <f t="shared" si="7"/>
        <v>0</v>
      </c>
      <c r="CE19" s="78">
        <f t="shared" si="7"/>
        <v>0</v>
      </c>
      <c r="CF19" s="78">
        <f t="shared" si="7"/>
        <v>0</v>
      </c>
      <c r="CG19" s="80">
        <f t="shared" si="7"/>
        <v>0</v>
      </c>
    </row>
    <row r="20" spans="1:85" x14ac:dyDescent="0.3">
      <c r="A20" s="81">
        <v>18</v>
      </c>
      <c r="B20" s="82">
        <v>10</v>
      </c>
      <c r="C20" s="83"/>
      <c r="D20" s="78">
        <v>18</v>
      </c>
      <c r="E20" s="82">
        <v>5</v>
      </c>
      <c r="F20" s="83"/>
      <c r="G20" s="78">
        <v>18</v>
      </c>
      <c r="H20" s="82">
        <v>2</v>
      </c>
      <c r="I20" s="83"/>
      <c r="J20" s="78">
        <v>18</v>
      </c>
      <c r="K20" s="82">
        <v>1</v>
      </c>
      <c r="L20" s="82"/>
      <c r="M20" s="78">
        <v>18</v>
      </c>
      <c r="N20" s="84">
        <v>0.8</v>
      </c>
      <c r="O20" s="84"/>
      <c r="P20" s="78">
        <v>18</v>
      </c>
      <c r="Q20" s="82">
        <v>4</v>
      </c>
      <c r="R20" s="82"/>
      <c r="S20" s="78">
        <v>18</v>
      </c>
      <c r="T20" s="82">
        <v>20</v>
      </c>
      <c r="V20" s="78">
        <v>18</v>
      </c>
      <c r="W20" s="85">
        <f t="shared" si="0"/>
        <v>17</v>
      </c>
      <c r="X20" s="85">
        <f t="shared" si="1"/>
        <v>15</v>
      </c>
      <c r="Y20" s="85">
        <f t="shared" si="2"/>
        <v>13</v>
      </c>
      <c r="Z20" s="85">
        <f t="shared" si="3"/>
        <v>13</v>
      </c>
      <c r="AA20" s="85">
        <f t="shared" si="4"/>
        <v>14</v>
      </c>
      <c r="AB20" s="79"/>
      <c r="AG20" s="78"/>
      <c r="AI20" s="77"/>
      <c r="AK20" s="78">
        <v>18</v>
      </c>
      <c r="AL20" s="85">
        <v>0</v>
      </c>
      <c r="AM20" s="85">
        <v>0</v>
      </c>
      <c r="AN20" s="85">
        <v>0</v>
      </c>
      <c r="AO20" s="85">
        <v>0</v>
      </c>
      <c r="AP20" s="85">
        <v>0</v>
      </c>
      <c r="AR20" s="78">
        <v>18</v>
      </c>
      <c r="AS20" s="85">
        <v>0</v>
      </c>
      <c r="AT20" s="85">
        <v>0</v>
      </c>
      <c r="AU20" s="85">
        <v>0</v>
      </c>
      <c r="AV20" s="85">
        <v>0</v>
      </c>
      <c r="AW20" s="85">
        <v>0</v>
      </c>
      <c r="AY20" s="78">
        <v>18</v>
      </c>
      <c r="AZ20" s="85">
        <v>0</v>
      </c>
      <c r="BA20" s="85">
        <v>0</v>
      </c>
      <c r="BB20" s="85">
        <v>0</v>
      </c>
      <c r="BC20" s="85">
        <v>0</v>
      </c>
      <c r="BD20" s="85">
        <v>0</v>
      </c>
      <c r="BF20" s="78">
        <v>18</v>
      </c>
      <c r="BG20" s="85">
        <v>0</v>
      </c>
      <c r="BH20" s="85">
        <v>0</v>
      </c>
      <c r="BI20" s="85">
        <v>0</v>
      </c>
      <c r="BJ20" s="85">
        <v>0</v>
      </c>
      <c r="BK20" s="86">
        <v>0</v>
      </c>
      <c r="BM20" s="77"/>
      <c r="BN20" s="78">
        <v>18</v>
      </c>
      <c r="BO20" s="85">
        <f t="shared" si="5"/>
        <v>0</v>
      </c>
      <c r="BP20" s="85">
        <f t="shared" si="5"/>
        <v>0</v>
      </c>
      <c r="BQ20" s="85">
        <f t="shared" si="5"/>
        <v>0</v>
      </c>
      <c r="BR20" s="85">
        <f t="shared" si="5"/>
        <v>0</v>
      </c>
      <c r="BS20" s="85">
        <f t="shared" si="5"/>
        <v>0</v>
      </c>
      <c r="BU20" s="78">
        <v>18</v>
      </c>
      <c r="BV20" s="85">
        <f t="shared" si="6"/>
        <v>0</v>
      </c>
      <c r="BW20" s="85">
        <f t="shared" si="6"/>
        <v>0</v>
      </c>
      <c r="BX20" s="85">
        <f t="shared" si="6"/>
        <v>0</v>
      </c>
      <c r="BY20" s="85">
        <f t="shared" si="6"/>
        <v>0</v>
      </c>
      <c r="BZ20" s="85">
        <f t="shared" si="6"/>
        <v>0</v>
      </c>
      <c r="CB20" s="78">
        <v>18</v>
      </c>
      <c r="CC20" s="78">
        <f t="shared" si="7"/>
        <v>0</v>
      </c>
      <c r="CD20" s="78">
        <f t="shared" si="7"/>
        <v>0</v>
      </c>
      <c r="CE20" s="78">
        <f t="shared" si="7"/>
        <v>0</v>
      </c>
      <c r="CF20" s="78">
        <f t="shared" si="7"/>
        <v>0</v>
      </c>
      <c r="CG20" s="80">
        <f t="shared" si="7"/>
        <v>0</v>
      </c>
    </row>
    <row r="21" spans="1:85" x14ac:dyDescent="0.3">
      <c r="A21" s="81">
        <v>19</v>
      </c>
      <c r="B21" s="82">
        <v>13</v>
      </c>
      <c r="C21" s="83"/>
      <c r="D21" s="78">
        <v>19</v>
      </c>
      <c r="E21" s="82">
        <v>6</v>
      </c>
      <c r="F21" s="83"/>
      <c r="G21" s="78">
        <v>19</v>
      </c>
      <c r="H21" s="82">
        <v>3</v>
      </c>
      <c r="I21" s="83"/>
      <c r="J21" s="78">
        <v>19</v>
      </c>
      <c r="K21" s="82">
        <v>4</v>
      </c>
      <c r="L21" s="82"/>
      <c r="M21" s="78">
        <v>19</v>
      </c>
      <c r="N21" s="84">
        <v>0.2</v>
      </c>
      <c r="O21" s="84"/>
      <c r="P21" s="78">
        <v>19</v>
      </c>
      <c r="Q21" s="82">
        <v>1</v>
      </c>
      <c r="R21" s="82"/>
      <c r="S21" s="78">
        <v>19</v>
      </c>
      <c r="T21" s="82">
        <v>17</v>
      </c>
      <c r="V21" s="78">
        <v>19</v>
      </c>
      <c r="W21" s="85">
        <f t="shared" si="0"/>
        <v>11</v>
      </c>
      <c r="X21" s="85">
        <f t="shared" si="1"/>
        <v>10</v>
      </c>
      <c r="Y21" s="85">
        <f t="shared" si="2"/>
        <v>8</v>
      </c>
      <c r="Z21" s="85">
        <f t="shared" si="3"/>
        <v>9</v>
      </c>
      <c r="AA21" s="85">
        <f t="shared" si="4"/>
        <v>9</v>
      </c>
      <c r="AB21" s="79"/>
      <c r="AG21" s="78"/>
      <c r="AI21" s="77"/>
      <c r="AK21" s="78">
        <v>19</v>
      </c>
      <c r="AL21" s="85">
        <v>0</v>
      </c>
      <c r="AM21" s="85">
        <v>0</v>
      </c>
      <c r="AN21" s="85">
        <v>0</v>
      </c>
      <c r="AO21" s="85">
        <v>0</v>
      </c>
      <c r="AP21" s="85">
        <v>0</v>
      </c>
      <c r="AR21" s="78">
        <v>19</v>
      </c>
      <c r="AS21" s="85">
        <v>0</v>
      </c>
      <c r="AT21" s="85">
        <v>0</v>
      </c>
      <c r="AU21" s="85">
        <v>0</v>
      </c>
      <c r="AV21" s="85">
        <v>0</v>
      </c>
      <c r="AW21" s="85">
        <v>0</v>
      </c>
      <c r="AY21" s="78">
        <v>19</v>
      </c>
      <c r="AZ21" s="85">
        <v>0</v>
      </c>
      <c r="BA21" s="85">
        <v>0</v>
      </c>
      <c r="BB21" s="85">
        <v>0</v>
      </c>
      <c r="BC21" s="85">
        <v>0</v>
      </c>
      <c r="BD21" s="85">
        <v>0</v>
      </c>
      <c r="BF21" s="78">
        <v>19</v>
      </c>
      <c r="BG21" s="85">
        <v>0</v>
      </c>
      <c r="BH21" s="85">
        <v>0</v>
      </c>
      <c r="BI21" s="85">
        <v>0</v>
      </c>
      <c r="BJ21" s="85">
        <v>0</v>
      </c>
      <c r="BK21" s="86">
        <v>0</v>
      </c>
      <c r="BM21" s="77"/>
      <c r="BN21" s="78">
        <v>19</v>
      </c>
      <c r="BO21" s="85">
        <f t="shared" si="5"/>
        <v>0</v>
      </c>
      <c r="BP21" s="85">
        <f t="shared" si="5"/>
        <v>0</v>
      </c>
      <c r="BQ21" s="85">
        <f t="shared" si="5"/>
        <v>0</v>
      </c>
      <c r="BR21" s="85">
        <f t="shared" si="5"/>
        <v>0</v>
      </c>
      <c r="BS21" s="85">
        <f t="shared" si="5"/>
        <v>0</v>
      </c>
      <c r="BU21" s="78">
        <v>19</v>
      </c>
      <c r="BV21" s="85">
        <f t="shared" si="6"/>
        <v>0</v>
      </c>
      <c r="BW21" s="85">
        <f t="shared" si="6"/>
        <v>0</v>
      </c>
      <c r="BX21" s="85">
        <f t="shared" si="6"/>
        <v>0</v>
      </c>
      <c r="BY21" s="85">
        <f t="shared" si="6"/>
        <v>0</v>
      </c>
      <c r="BZ21" s="85">
        <f t="shared" si="6"/>
        <v>0</v>
      </c>
      <c r="CB21" s="78">
        <v>19</v>
      </c>
      <c r="CC21" s="78">
        <f t="shared" si="7"/>
        <v>0</v>
      </c>
      <c r="CD21" s="78">
        <f t="shared" si="7"/>
        <v>0</v>
      </c>
      <c r="CE21" s="78">
        <f t="shared" si="7"/>
        <v>0</v>
      </c>
      <c r="CF21" s="78">
        <f t="shared" si="7"/>
        <v>0</v>
      </c>
      <c r="CG21" s="80">
        <f t="shared" si="7"/>
        <v>0</v>
      </c>
    </row>
    <row r="22" spans="1:85" x14ac:dyDescent="0.3">
      <c r="A22" s="81">
        <v>20</v>
      </c>
      <c r="B22" s="82">
        <v>5</v>
      </c>
      <c r="C22" s="83"/>
      <c r="D22" s="78">
        <v>20</v>
      </c>
      <c r="E22" s="82">
        <v>9</v>
      </c>
      <c r="F22" s="83"/>
      <c r="G22" s="78">
        <v>20</v>
      </c>
      <c r="H22" s="82">
        <v>6</v>
      </c>
      <c r="I22" s="83"/>
      <c r="J22" s="78">
        <v>20</v>
      </c>
      <c r="K22" s="82">
        <v>2</v>
      </c>
      <c r="L22" s="82"/>
      <c r="M22" s="78">
        <v>20</v>
      </c>
      <c r="N22" s="84">
        <v>0.6</v>
      </c>
      <c r="O22" s="84"/>
      <c r="P22" s="78">
        <v>20</v>
      </c>
      <c r="Q22" s="82">
        <v>2</v>
      </c>
      <c r="R22" s="82"/>
      <c r="S22" s="78">
        <v>20</v>
      </c>
      <c r="T22" s="82">
        <v>24</v>
      </c>
      <c r="V22" s="78">
        <v>20</v>
      </c>
      <c r="W22" s="85">
        <f t="shared" si="0"/>
        <v>5</v>
      </c>
      <c r="X22" s="85">
        <f t="shared" si="1"/>
        <v>5</v>
      </c>
      <c r="Y22" s="85">
        <f t="shared" si="2"/>
        <v>4</v>
      </c>
      <c r="Z22" s="85">
        <f t="shared" si="3"/>
        <v>4</v>
      </c>
      <c r="AA22" s="85">
        <f t="shared" si="4"/>
        <v>4</v>
      </c>
      <c r="AB22" s="79"/>
      <c r="AG22" s="78"/>
      <c r="AI22" s="77"/>
      <c r="AK22" s="78">
        <v>20</v>
      </c>
      <c r="AL22" s="85">
        <v>0</v>
      </c>
      <c r="AM22" s="85">
        <v>0</v>
      </c>
      <c r="AN22" s="85">
        <v>0</v>
      </c>
      <c r="AO22" s="85">
        <v>0</v>
      </c>
      <c r="AP22" s="85">
        <v>0</v>
      </c>
      <c r="AR22" s="78">
        <v>20</v>
      </c>
      <c r="AS22" s="85">
        <v>0</v>
      </c>
      <c r="AT22" s="85">
        <v>0</v>
      </c>
      <c r="AU22" s="85">
        <v>0</v>
      </c>
      <c r="AV22" s="85">
        <v>0</v>
      </c>
      <c r="AW22" s="85">
        <v>0</v>
      </c>
      <c r="AY22" s="78">
        <v>20</v>
      </c>
      <c r="AZ22" s="85">
        <v>0</v>
      </c>
      <c r="BA22" s="85">
        <v>0</v>
      </c>
      <c r="BB22" s="85">
        <v>0</v>
      </c>
      <c r="BC22" s="85">
        <v>0</v>
      </c>
      <c r="BD22" s="85">
        <v>0</v>
      </c>
      <c r="BF22" s="78">
        <v>20</v>
      </c>
      <c r="BG22" s="85">
        <v>0</v>
      </c>
      <c r="BH22" s="85">
        <v>0</v>
      </c>
      <c r="BI22" s="85">
        <v>0</v>
      </c>
      <c r="BJ22" s="85">
        <v>0</v>
      </c>
      <c r="BK22" s="86">
        <v>0</v>
      </c>
      <c r="BM22" s="77"/>
      <c r="BN22" s="78">
        <v>20</v>
      </c>
      <c r="BO22" s="85">
        <f t="shared" si="5"/>
        <v>0</v>
      </c>
      <c r="BP22" s="85">
        <f t="shared" si="5"/>
        <v>0</v>
      </c>
      <c r="BQ22" s="85">
        <f t="shared" si="5"/>
        <v>0</v>
      </c>
      <c r="BR22" s="85">
        <f t="shared" si="5"/>
        <v>0</v>
      </c>
      <c r="BS22" s="85">
        <f t="shared" si="5"/>
        <v>0</v>
      </c>
      <c r="BU22" s="78">
        <v>20</v>
      </c>
      <c r="BV22" s="85">
        <f t="shared" si="6"/>
        <v>0</v>
      </c>
      <c r="BW22" s="85">
        <f t="shared" si="6"/>
        <v>0</v>
      </c>
      <c r="BX22" s="85">
        <f t="shared" si="6"/>
        <v>0</v>
      </c>
      <c r="BY22" s="85">
        <f t="shared" si="6"/>
        <v>0</v>
      </c>
      <c r="BZ22" s="85">
        <f t="shared" si="6"/>
        <v>0</v>
      </c>
      <c r="CB22" s="78">
        <v>20</v>
      </c>
      <c r="CC22" s="78">
        <f t="shared" si="7"/>
        <v>0</v>
      </c>
      <c r="CD22" s="78">
        <f t="shared" si="7"/>
        <v>0</v>
      </c>
      <c r="CE22" s="78">
        <f t="shared" si="7"/>
        <v>0</v>
      </c>
      <c r="CF22" s="78">
        <f t="shared" si="7"/>
        <v>0</v>
      </c>
      <c r="CG22" s="80">
        <f t="shared" si="7"/>
        <v>0</v>
      </c>
    </row>
    <row r="23" spans="1:85" x14ac:dyDescent="0.3">
      <c r="A23" s="81">
        <v>21</v>
      </c>
      <c r="B23" s="82">
        <v>11</v>
      </c>
      <c r="C23" s="83"/>
      <c r="D23" s="78">
        <v>21</v>
      </c>
      <c r="E23" s="82">
        <v>7</v>
      </c>
      <c r="F23" s="83"/>
      <c r="G23" s="78">
        <v>21</v>
      </c>
      <c r="H23" s="82">
        <v>2</v>
      </c>
      <c r="I23" s="83"/>
      <c r="J23" s="78">
        <v>21</v>
      </c>
      <c r="K23" s="82">
        <v>6</v>
      </c>
      <c r="L23" s="82"/>
      <c r="M23" s="78">
        <v>21</v>
      </c>
      <c r="N23" s="84">
        <v>0.6</v>
      </c>
      <c r="O23" s="84"/>
      <c r="P23" s="78">
        <v>21</v>
      </c>
      <c r="Q23" s="82">
        <v>3</v>
      </c>
      <c r="R23" s="82"/>
      <c r="S23" s="78">
        <v>21</v>
      </c>
      <c r="T23" s="82">
        <v>23</v>
      </c>
      <c r="V23" s="78">
        <v>21</v>
      </c>
      <c r="W23" s="85">
        <f t="shared" si="0"/>
        <v>17</v>
      </c>
      <c r="X23" s="85">
        <f t="shared" si="1"/>
        <v>15</v>
      </c>
      <c r="Y23" s="85">
        <f t="shared" si="2"/>
        <v>13</v>
      </c>
      <c r="Z23" s="85">
        <f t="shared" si="3"/>
        <v>13</v>
      </c>
      <c r="AA23" s="85">
        <f t="shared" si="4"/>
        <v>14</v>
      </c>
      <c r="AB23" s="79"/>
      <c r="AG23" s="78"/>
      <c r="AI23" s="77"/>
      <c r="AK23" s="78">
        <v>21</v>
      </c>
      <c r="AL23" s="85">
        <v>0</v>
      </c>
      <c r="AM23" s="85">
        <v>0</v>
      </c>
      <c r="AN23" s="85">
        <v>0</v>
      </c>
      <c r="AO23" s="85">
        <v>0</v>
      </c>
      <c r="AP23" s="85">
        <v>1</v>
      </c>
      <c r="AR23" s="78">
        <v>21</v>
      </c>
      <c r="AS23" s="85">
        <v>0</v>
      </c>
      <c r="AT23" s="85">
        <v>0</v>
      </c>
      <c r="AU23" s="85">
        <v>0</v>
      </c>
      <c r="AV23" s="85">
        <v>0</v>
      </c>
      <c r="AW23" s="85">
        <v>0</v>
      </c>
      <c r="AY23" s="78">
        <v>21</v>
      </c>
      <c r="AZ23" s="85">
        <v>0</v>
      </c>
      <c r="BA23" s="85">
        <v>0</v>
      </c>
      <c r="BB23" s="85">
        <v>0</v>
      </c>
      <c r="BC23" s="85">
        <v>0</v>
      </c>
      <c r="BD23" s="85">
        <v>0</v>
      </c>
      <c r="BF23" s="78">
        <v>21</v>
      </c>
      <c r="BG23" s="85">
        <v>0</v>
      </c>
      <c r="BH23" s="85">
        <v>0</v>
      </c>
      <c r="BI23" s="85">
        <v>0</v>
      </c>
      <c r="BJ23" s="85">
        <v>0</v>
      </c>
      <c r="BK23" s="86">
        <v>0</v>
      </c>
      <c r="BM23" s="77"/>
      <c r="BN23" s="78">
        <v>21</v>
      </c>
      <c r="BO23" s="85">
        <f t="shared" si="5"/>
        <v>0</v>
      </c>
      <c r="BP23" s="85">
        <f t="shared" si="5"/>
        <v>0</v>
      </c>
      <c r="BQ23" s="85">
        <f t="shared" si="5"/>
        <v>0</v>
      </c>
      <c r="BR23" s="85">
        <f t="shared" si="5"/>
        <v>0</v>
      </c>
      <c r="BS23" s="85">
        <f t="shared" si="5"/>
        <v>1</v>
      </c>
      <c r="BU23" s="78">
        <v>21</v>
      </c>
      <c r="BV23" s="85">
        <f t="shared" si="6"/>
        <v>0</v>
      </c>
      <c r="BW23" s="85">
        <f t="shared" si="6"/>
        <v>0</v>
      </c>
      <c r="BX23" s="85">
        <f t="shared" si="6"/>
        <v>0</v>
      </c>
      <c r="BY23" s="85">
        <f t="shared" si="6"/>
        <v>0</v>
      </c>
      <c r="BZ23" s="85">
        <f t="shared" si="6"/>
        <v>1</v>
      </c>
      <c r="CB23" s="78">
        <v>21</v>
      </c>
      <c r="CC23" s="78">
        <f t="shared" si="7"/>
        <v>0</v>
      </c>
      <c r="CD23" s="78">
        <f t="shared" si="7"/>
        <v>0</v>
      </c>
      <c r="CE23" s="78">
        <f t="shared" si="7"/>
        <v>0</v>
      </c>
      <c r="CF23" s="78">
        <f t="shared" si="7"/>
        <v>0</v>
      </c>
      <c r="CG23" s="80">
        <f t="shared" si="7"/>
        <v>1</v>
      </c>
    </row>
    <row r="24" spans="1:85" x14ac:dyDescent="0.3">
      <c r="A24" s="81">
        <v>22</v>
      </c>
      <c r="B24" s="82">
        <v>11</v>
      </c>
      <c r="C24" s="83"/>
      <c r="D24" s="78">
        <v>22</v>
      </c>
      <c r="E24" s="82">
        <v>7</v>
      </c>
      <c r="F24" s="83"/>
      <c r="G24" s="78">
        <v>22</v>
      </c>
      <c r="H24" s="82">
        <v>3</v>
      </c>
      <c r="I24" s="83"/>
      <c r="J24" s="78">
        <v>22</v>
      </c>
      <c r="K24" s="82">
        <v>6</v>
      </c>
      <c r="L24" s="82"/>
      <c r="M24" s="78">
        <v>22</v>
      </c>
      <c r="N24" s="84">
        <v>0.4</v>
      </c>
      <c r="O24" s="84"/>
      <c r="P24" s="78">
        <v>22</v>
      </c>
      <c r="Q24" s="82">
        <v>3</v>
      </c>
      <c r="R24" s="82"/>
      <c r="S24" s="78">
        <v>22</v>
      </c>
      <c r="T24" s="82">
        <v>21</v>
      </c>
      <c r="V24" s="78">
        <v>22</v>
      </c>
      <c r="W24" s="85">
        <f t="shared" si="0"/>
        <v>11</v>
      </c>
      <c r="X24" s="85">
        <f t="shared" si="1"/>
        <v>10</v>
      </c>
      <c r="Y24" s="85">
        <f t="shared" si="2"/>
        <v>8</v>
      </c>
      <c r="Z24" s="85">
        <f t="shared" si="3"/>
        <v>9</v>
      </c>
      <c r="AA24" s="85">
        <f t="shared" si="4"/>
        <v>9</v>
      </c>
      <c r="AB24" s="79"/>
      <c r="AG24" s="78"/>
      <c r="AI24" s="77"/>
      <c r="AK24" s="78">
        <v>22</v>
      </c>
      <c r="AL24" s="85">
        <v>0</v>
      </c>
      <c r="AM24" s="85">
        <v>0</v>
      </c>
      <c r="AN24" s="85">
        <v>0</v>
      </c>
      <c r="AO24" s="85">
        <v>0</v>
      </c>
      <c r="AP24" s="85">
        <v>0</v>
      </c>
      <c r="AR24" s="78">
        <v>22</v>
      </c>
      <c r="AS24" s="85">
        <v>0</v>
      </c>
      <c r="AT24" s="85">
        <v>0</v>
      </c>
      <c r="AU24" s="85">
        <v>0</v>
      </c>
      <c r="AV24" s="85">
        <v>0</v>
      </c>
      <c r="AW24" s="85">
        <v>0</v>
      </c>
      <c r="AY24" s="78">
        <v>22</v>
      </c>
      <c r="AZ24" s="85">
        <v>0</v>
      </c>
      <c r="BA24" s="85">
        <v>0</v>
      </c>
      <c r="BB24" s="85">
        <v>0</v>
      </c>
      <c r="BC24" s="85">
        <v>0</v>
      </c>
      <c r="BD24" s="85">
        <v>0</v>
      </c>
      <c r="BF24" s="78">
        <v>22</v>
      </c>
      <c r="BG24" s="85">
        <v>0</v>
      </c>
      <c r="BH24" s="85">
        <v>0</v>
      </c>
      <c r="BI24" s="85">
        <v>0</v>
      </c>
      <c r="BJ24" s="85">
        <v>0</v>
      </c>
      <c r="BK24" s="86">
        <v>0</v>
      </c>
      <c r="BM24" s="77"/>
      <c r="BN24" s="78">
        <v>22</v>
      </c>
      <c r="BO24" s="85">
        <f t="shared" si="5"/>
        <v>0</v>
      </c>
      <c r="BP24" s="85">
        <f t="shared" si="5"/>
        <v>0</v>
      </c>
      <c r="BQ24" s="85">
        <f t="shared" si="5"/>
        <v>0</v>
      </c>
      <c r="BR24" s="85">
        <f t="shared" si="5"/>
        <v>0</v>
      </c>
      <c r="BS24" s="85">
        <f t="shared" si="5"/>
        <v>0</v>
      </c>
      <c r="BU24" s="78">
        <v>22</v>
      </c>
      <c r="BV24" s="85">
        <f t="shared" si="6"/>
        <v>0</v>
      </c>
      <c r="BW24" s="85">
        <f t="shared" si="6"/>
        <v>0</v>
      </c>
      <c r="BX24" s="85">
        <f t="shared" si="6"/>
        <v>0</v>
      </c>
      <c r="BY24" s="85">
        <f t="shared" si="6"/>
        <v>0</v>
      </c>
      <c r="BZ24" s="85">
        <f t="shared" si="6"/>
        <v>0</v>
      </c>
      <c r="CB24" s="78">
        <v>22</v>
      </c>
      <c r="CC24" s="78">
        <f t="shared" si="7"/>
        <v>0</v>
      </c>
      <c r="CD24" s="78">
        <f t="shared" si="7"/>
        <v>0</v>
      </c>
      <c r="CE24" s="78">
        <f t="shared" si="7"/>
        <v>0</v>
      </c>
      <c r="CF24" s="78">
        <f t="shared" si="7"/>
        <v>0</v>
      </c>
      <c r="CG24" s="80">
        <f t="shared" si="7"/>
        <v>0</v>
      </c>
    </row>
    <row r="25" spans="1:85" x14ac:dyDescent="0.3">
      <c r="A25" s="81">
        <v>23</v>
      </c>
      <c r="B25" s="82">
        <v>7</v>
      </c>
      <c r="C25" s="83"/>
      <c r="D25" s="78">
        <v>23</v>
      </c>
      <c r="E25" s="82">
        <v>8</v>
      </c>
      <c r="F25" s="83"/>
      <c r="G25" s="78">
        <v>23</v>
      </c>
      <c r="H25" s="82">
        <v>6</v>
      </c>
      <c r="I25" s="83"/>
      <c r="J25" s="78">
        <v>23</v>
      </c>
      <c r="K25" s="82">
        <v>8</v>
      </c>
      <c r="L25" s="82"/>
      <c r="M25" s="78">
        <v>23</v>
      </c>
      <c r="N25" s="84">
        <v>0.5</v>
      </c>
      <c r="O25" s="84"/>
      <c r="P25" s="78">
        <v>23</v>
      </c>
      <c r="Q25" s="82">
        <v>1</v>
      </c>
      <c r="R25" s="82"/>
      <c r="S25" s="78">
        <v>23</v>
      </c>
      <c r="T25" s="82">
        <v>15</v>
      </c>
      <c r="V25" s="78">
        <v>23</v>
      </c>
      <c r="W25" s="85">
        <f t="shared" si="0"/>
        <v>5</v>
      </c>
      <c r="X25" s="85">
        <f t="shared" si="1"/>
        <v>5</v>
      </c>
      <c r="Y25" s="85">
        <f t="shared" si="2"/>
        <v>4</v>
      </c>
      <c r="Z25" s="85">
        <f t="shared" si="3"/>
        <v>4</v>
      </c>
      <c r="AA25" s="85">
        <f t="shared" si="4"/>
        <v>4</v>
      </c>
      <c r="AB25" s="79"/>
      <c r="AG25" s="78"/>
      <c r="AI25" s="77"/>
      <c r="AK25" s="78">
        <v>23</v>
      </c>
      <c r="AL25" s="85">
        <v>0</v>
      </c>
      <c r="AM25" s="85">
        <v>0</v>
      </c>
      <c r="AN25" s="85">
        <v>0</v>
      </c>
      <c r="AO25" s="85">
        <v>0</v>
      </c>
      <c r="AP25" s="85">
        <v>0</v>
      </c>
      <c r="AR25" s="78">
        <v>23</v>
      </c>
      <c r="AS25" s="85">
        <v>0</v>
      </c>
      <c r="AT25" s="85">
        <v>0</v>
      </c>
      <c r="AU25" s="85">
        <v>0</v>
      </c>
      <c r="AV25" s="85">
        <v>0</v>
      </c>
      <c r="AW25" s="85">
        <v>0</v>
      </c>
      <c r="AY25" s="78">
        <v>23</v>
      </c>
      <c r="AZ25" s="85">
        <v>0</v>
      </c>
      <c r="BA25" s="85">
        <v>0</v>
      </c>
      <c r="BB25" s="85">
        <v>0</v>
      </c>
      <c r="BC25" s="85">
        <v>0</v>
      </c>
      <c r="BD25" s="85">
        <v>0</v>
      </c>
      <c r="BF25" s="78">
        <v>23</v>
      </c>
      <c r="BG25" s="85">
        <v>0</v>
      </c>
      <c r="BH25" s="85">
        <v>0</v>
      </c>
      <c r="BI25" s="85">
        <v>0</v>
      </c>
      <c r="BJ25" s="85">
        <v>0</v>
      </c>
      <c r="BK25" s="86">
        <v>0</v>
      </c>
      <c r="BM25" s="77"/>
      <c r="BN25" s="78">
        <v>23</v>
      </c>
      <c r="BO25" s="85">
        <f t="shared" si="5"/>
        <v>0</v>
      </c>
      <c r="BP25" s="85">
        <f t="shared" si="5"/>
        <v>0</v>
      </c>
      <c r="BQ25" s="85">
        <f t="shared" si="5"/>
        <v>0</v>
      </c>
      <c r="BR25" s="85">
        <f t="shared" si="5"/>
        <v>0</v>
      </c>
      <c r="BS25" s="85">
        <f t="shared" si="5"/>
        <v>0</v>
      </c>
      <c r="BU25" s="78">
        <v>23</v>
      </c>
      <c r="BV25" s="85">
        <f t="shared" si="6"/>
        <v>0</v>
      </c>
      <c r="BW25" s="85">
        <f t="shared" si="6"/>
        <v>0</v>
      </c>
      <c r="BX25" s="85">
        <f t="shared" si="6"/>
        <v>0</v>
      </c>
      <c r="BY25" s="85">
        <f t="shared" si="6"/>
        <v>0</v>
      </c>
      <c r="BZ25" s="85">
        <f t="shared" si="6"/>
        <v>0</v>
      </c>
      <c r="CB25" s="78">
        <v>23</v>
      </c>
      <c r="CC25" s="78">
        <f t="shared" si="7"/>
        <v>0</v>
      </c>
      <c r="CD25" s="78">
        <f t="shared" si="7"/>
        <v>0</v>
      </c>
      <c r="CE25" s="78">
        <f t="shared" si="7"/>
        <v>0</v>
      </c>
      <c r="CF25" s="78">
        <f t="shared" si="7"/>
        <v>0</v>
      </c>
      <c r="CG25" s="80">
        <f t="shared" si="7"/>
        <v>0</v>
      </c>
    </row>
    <row r="26" spans="1:85" x14ac:dyDescent="0.3">
      <c r="A26" s="81">
        <v>24</v>
      </c>
      <c r="B26" s="82">
        <v>10</v>
      </c>
      <c r="C26" s="83"/>
      <c r="D26" s="78">
        <v>24</v>
      </c>
      <c r="E26" s="82">
        <v>10</v>
      </c>
      <c r="F26" s="83"/>
      <c r="G26" s="78">
        <v>24</v>
      </c>
      <c r="H26" s="82">
        <v>5</v>
      </c>
      <c r="I26" s="83"/>
      <c r="J26" s="78">
        <v>24</v>
      </c>
      <c r="K26" s="82">
        <v>2</v>
      </c>
      <c r="L26" s="82"/>
      <c r="M26" s="78">
        <v>24</v>
      </c>
      <c r="N26" s="84">
        <v>0.8</v>
      </c>
      <c r="O26" s="84"/>
      <c r="P26" s="78">
        <v>24</v>
      </c>
      <c r="Q26" s="82">
        <v>3</v>
      </c>
      <c r="R26" s="82"/>
      <c r="S26" s="78">
        <v>24</v>
      </c>
      <c r="T26" s="82">
        <v>23</v>
      </c>
      <c r="V26" s="78">
        <v>24</v>
      </c>
      <c r="W26" s="85">
        <f t="shared" si="0"/>
        <v>6</v>
      </c>
      <c r="X26" s="85">
        <f t="shared" si="1"/>
        <v>6</v>
      </c>
      <c r="Y26" s="85">
        <f t="shared" si="2"/>
        <v>5</v>
      </c>
      <c r="Z26" s="85">
        <f t="shared" si="3"/>
        <v>5</v>
      </c>
      <c r="AA26" s="85">
        <f t="shared" si="4"/>
        <v>5</v>
      </c>
      <c r="AB26" s="79"/>
      <c r="AG26" s="78"/>
      <c r="AI26" s="77"/>
      <c r="AK26" s="78">
        <v>24</v>
      </c>
      <c r="AL26" s="85">
        <v>0</v>
      </c>
      <c r="AM26" s="85">
        <v>0</v>
      </c>
      <c r="AN26" s="85">
        <v>0</v>
      </c>
      <c r="AO26" s="85">
        <v>0</v>
      </c>
      <c r="AP26" s="85">
        <v>0</v>
      </c>
      <c r="AR26" s="78">
        <v>24</v>
      </c>
      <c r="AS26" s="85">
        <v>0</v>
      </c>
      <c r="AT26" s="85">
        <v>0</v>
      </c>
      <c r="AU26" s="85">
        <v>0</v>
      </c>
      <c r="AV26" s="85">
        <v>0</v>
      </c>
      <c r="AW26" s="85">
        <v>0</v>
      </c>
      <c r="AY26" s="78">
        <v>24</v>
      </c>
      <c r="AZ26" s="85">
        <v>0</v>
      </c>
      <c r="BA26" s="85">
        <v>0</v>
      </c>
      <c r="BB26" s="85">
        <v>0</v>
      </c>
      <c r="BC26" s="85">
        <v>0</v>
      </c>
      <c r="BD26" s="85">
        <v>0</v>
      </c>
      <c r="BF26" s="78">
        <v>24</v>
      </c>
      <c r="BG26" s="85">
        <v>0</v>
      </c>
      <c r="BH26" s="85">
        <v>0</v>
      </c>
      <c r="BI26" s="85">
        <v>0</v>
      </c>
      <c r="BJ26" s="85">
        <v>0</v>
      </c>
      <c r="BK26" s="86">
        <v>0</v>
      </c>
      <c r="BM26" s="77"/>
      <c r="BN26" s="78">
        <v>24</v>
      </c>
      <c r="BO26" s="85">
        <f t="shared" si="5"/>
        <v>0</v>
      </c>
      <c r="BP26" s="85">
        <f t="shared" si="5"/>
        <v>0</v>
      </c>
      <c r="BQ26" s="85">
        <f t="shared" si="5"/>
        <v>0</v>
      </c>
      <c r="BR26" s="85">
        <f t="shared" si="5"/>
        <v>0</v>
      </c>
      <c r="BS26" s="85">
        <f t="shared" si="5"/>
        <v>0</v>
      </c>
      <c r="BU26" s="78">
        <v>24</v>
      </c>
      <c r="BV26" s="85">
        <f t="shared" si="6"/>
        <v>0</v>
      </c>
      <c r="BW26" s="85">
        <f t="shared" si="6"/>
        <v>0</v>
      </c>
      <c r="BX26" s="85">
        <f t="shared" si="6"/>
        <v>0</v>
      </c>
      <c r="BY26" s="85">
        <f t="shared" si="6"/>
        <v>0</v>
      </c>
      <c r="BZ26" s="85">
        <f t="shared" si="6"/>
        <v>0</v>
      </c>
      <c r="CB26" s="78">
        <v>24</v>
      </c>
      <c r="CC26" s="78">
        <f t="shared" si="7"/>
        <v>0</v>
      </c>
      <c r="CD26" s="78">
        <f t="shared" si="7"/>
        <v>0</v>
      </c>
      <c r="CE26" s="78">
        <f t="shared" si="7"/>
        <v>0</v>
      </c>
      <c r="CF26" s="78">
        <f t="shared" si="7"/>
        <v>0</v>
      </c>
      <c r="CG26" s="80">
        <f t="shared" si="7"/>
        <v>0</v>
      </c>
    </row>
    <row r="27" spans="1:85" x14ac:dyDescent="0.3">
      <c r="A27" s="81">
        <v>25</v>
      </c>
      <c r="B27" s="82">
        <v>13</v>
      </c>
      <c r="C27" s="83"/>
      <c r="D27" s="78">
        <v>25</v>
      </c>
      <c r="E27" s="82">
        <v>6</v>
      </c>
      <c r="F27" s="83"/>
      <c r="G27" s="78">
        <v>25</v>
      </c>
      <c r="H27" s="82">
        <v>6</v>
      </c>
      <c r="I27" s="83"/>
      <c r="J27" s="78">
        <v>25</v>
      </c>
      <c r="K27" s="82">
        <v>4</v>
      </c>
      <c r="L27" s="82"/>
      <c r="M27" s="78">
        <v>25</v>
      </c>
      <c r="N27" s="84">
        <v>0.9</v>
      </c>
      <c r="O27" s="84"/>
      <c r="P27" s="78">
        <v>25</v>
      </c>
      <c r="Q27" s="82">
        <v>3</v>
      </c>
      <c r="R27" s="82"/>
      <c r="S27" s="78">
        <v>25</v>
      </c>
      <c r="T27" s="82">
        <v>25</v>
      </c>
      <c r="V27" s="78">
        <v>25</v>
      </c>
      <c r="W27" s="85">
        <f t="shared" si="0"/>
        <v>5</v>
      </c>
      <c r="X27" s="85">
        <f t="shared" si="1"/>
        <v>5</v>
      </c>
      <c r="Y27" s="85">
        <f t="shared" si="2"/>
        <v>4</v>
      </c>
      <c r="Z27" s="85">
        <f t="shared" si="3"/>
        <v>4</v>
      </c>
      <c r="AA27" s="85">
        <f t="shared" si="4"/>
        <v>4</v>
      </c>
      <c r="AB27" s="79"/>
      <c r="AG27" s="78"/>
      <c r="AI27" s="77"/>
      <c r="AK27" s="78">
        <v>25</v>
      </c>
      <c r="AL27" s="85">
        <v>0</v>
      </c>
      <c r="AM27" s="85">
        <v>0</v>
      </c>
      <c r="AN27" s="85">
        <v>0</v>
      </c>
      <c r="AO27" s="85">
        <v>0</v>
      </c>
      <c r="AP27" s="85">
        <v>0</v>
      </c>
      <c r="AR27" s="78">
        <v>25</v>
      </c>
      <c r="AS27" s="85">
        <v>0</v>
      </c>
      <c r="AT27" s="85">
        <v>0</v>
      </c>
      <c r="AU27" s="85">
        <v>0</v>
      </c>
      <c r="AV27" s="85">
        <v>0</v>
      </c>
      <c r="AW27" s="85">
        <v>0</v>
      </c>
      <c r="AY27" s="78">
        <v>25</v>
      </c>
      <c r="AZ27" s="85">
        <v>0</v>
      </c>
      <c r="BA27" s="85">
        <v>0</v>
      </c>
      <c r="BB27" s="85">
        <v>0</v>
      </c>
      <c r="BC27" s="85">
        <v>0</v>
      </c>
      <c r="BD27" s="85">
        <v>0</v>
      </c>
      <c r="BF27" s="78">
        <v>25</v>
      </c>
      <c r="BG27" s="85">
        <v>0</v>
      </c>
      <c r="BH27" s="85">
        <v>0</v>
      </c>
      <c r="BI27" s="85">
        <v>0</v>
      </c>
      <c r="BJ27" s="85">
        <v>0</v>
      </c>
      <c r="BK27" s="86">
        <v>1</v>
      </c>
      <c r="BM27" s="77"/>
      <c r="BN27" s="78">
        <v>25</v>
      </c>
      <c r="BO27" s="85">
        <f t="shared" si="5"/>
        <v>0</v>
      </c>
      <c r="BP27" s="85">
        <f t="shared" si="5"/>
        <v>0</v>
      </c>
      <c r="BQ27" s="85">
        <f t="shared" si="5"/>
        <v>0</v>
      </c>
      <c r="BR27" s="85">
        <f t="shared" si="5"/>
        <v>0</v>
      </c>
      <c r="BS27" s="85">
        <f t="shared" si="5"/>
        <v>1</v>
      </c>
      <c r="BU27" s="78">
        <v>25</v>
      </c>
      <c r="BV27" s="85">
        <f t="shared" si="6"/>
        <v>0</v>
      </c>
      <c r="BW27" s="85">
        <f t="shared" si="6"/>
        <v>0</v>
      </c>
      <c r="BX27" s="85">
        <f t="shared" si="6"/>
        <v>0</v>
      </c>
      <c r="BY27" s="85">
        <f t="shared" si="6"/>
        <v>0</v>
      </c>
      <c r="BZ27" s="85">
        <f t="shared" si="6"/>
        <v>4</v>
      </c>
      <c r="CB27" s="78">
        <v>25</v>
      </c>
      <c r="CC27" s="78">
        <f t="shared" si="7"/>
        <v>0</v>
      </c>
      <c r="CD27" s="78">
        <f t="shared" si="7"/>
        <v>0</v>
      </c>
      <c r="CE27" s="78">
        <f t="shared" si="7"/>
        <v>0</v>
      </c>
      <c r="CF27" s="78">
        <f t="shared" si="7"/>
        <v>0</v>
      </c>
      <c r="CG27" s="80">
        <f t="shared" si="7"/>
        <v>3.4822022531844965</v>
      </c>
    </row>
    <row r="28" spans="1:85" x14ac:dyDescent="0.3">
      <c r="A28" s="81">
        <v>26</v>
      </c>
      <c r="B28" s="82">
        <v>9</v>
      </c>
      <c r="C28" s="83"/>
      <c r="D28" s="78">
        <v>26</v>
      </c>
      <c r="E28" s="82">
        <v>9</v>
      </c>
      <c r="F28" s="83"/>
      <c r="G28" s="78">
        <v>26</v>
      </c>
      <c r="H28" s="82">
        <v>5</v>
      </c>
      <c r="I28" s="83"/>
      <c r="J28" s="78">
        <v>26</v>
      </c>
      <c r="K28" s="82">
        <v>14</v>
      </c>
      <c r="L28" s="82"/>
      <c r="M28" s="78">
        <v>26</v>
      </c>
      <c r="N28" s="84">
        <v>0.7</v>
      </c>
      <c r="O28" s="84"/>
      <c r="P28" s="78">
        <v>26</v>
      </c>
      <c r="Q28" s="82">
        <v>4</v>
      </c>
      <c r="R28" s="82"/>
      <c r="S28" s="78">
        <v>26</v>
      </c>
      <c r="T28" s="82">
        <v>23</v>
      </c>
      <c r="V28" s="78">
        <v>26</v>
      </c>
      <c r="W28" s="85">
        <f t="shared" si="0"/>
        <v>6</v>
      </c>
      <c r="X28" s="85">
        <f t="shared" si="1"/>
        <v>6</v>
      </c>
      <c r="Y28" s="85">
        <f t="shared" si="2"/>
        <v>5</v>
      </c>
      <c r="Z28" s="85">
        <f t="shared" si="3"/>
        <v>5</v>
      </c>
      <c r="AA28" s="85">
        <f t="shared" si="4"/>
        <v>5</v>
      </c>
      <c r="AB28" s="79"/>
      <c r="AG28" s="78"/>
      <c r="AI28" s="77"/>
      <c r="AK28" s="78">
        <v>26</v>
      </c>
      <c r="AL28" s="85">
        <v>0</v>
      </c>
      <c r="AM28" s="85">
        <v>0</v>
      </c>
      <c r="AN28" s="85">
        <v>0</v>
      </c>
      <c r="AO28" s="85">
        <v>0</v>
      </c>
      <c r="AP28" s="85">
        <v>0</v>
      </c>
      <c r="AR28" s="78">
        <v>26</v>
      </c>
      <c r="AS28" s="85">
        <v>0</v>
      </c>
      <c r="AT28" s="85">
        <v>1</v>
      </c>
      <c r="AU28" s="85">
        <v>0</v>
      </c>
      <c r="AV28" s="85">
        <v>0</v>
      </c>
      <c r="AW28" s="85">
        <v>0</v>
      </c>
      <c r="AY28" s="78">
        <v>26</v>
      </c>
      <c r="AZ28" s="85">
        <v>0</v>
      </c>
      <c r="BA28" s="85">
        <v>0</v>
      </c>
      <c r="BB28" s="85">
        <v>0</v>
      </c>
      <c r="BC28" s="85">
        <v>0</v>
      </c>
      <c r="BD28" s="85">
        <v>0</v>
      </c>
      <c r="BF28" s="78">
        <v>26</v>
      </c>
      <c r="BG28" s="85">
        <v>0</v>
      </c>
      <c r="BH28" s="85">
        <v>0</v>
      </c>
      <c r="BI28" s="85">
        <v>0</v>
      </c>
      <c r="BJ28" s="85">
        <v>0</v>
      </c>
      <c r="BK28" s="86">
        <v>0</v>
      </c>
      <c r="BM28" s="77"/>
      <c r="BN28" s="78">
        <v>26</v>
      </c>
      <c r="BO28" s="85">
        <f t="shared" si="5"/>
        <v>0</v>
      </c>
      <c r="BP28" s="85">
        <f t="shared" si="5"/>
        <v>1</v>
      </c>
      <c r="BQ28" s="85">
        <f t="shared" si="5"/>
        <v>0</v>
      </c>
      <c r="BR28" s="85">
        <f t="shared" si="5"/>
        <v>0</v>
      </c>
      <c r="BS28" s="85">
        <f t="shared" si="5"/>
        <v>0</v>
      </c>
      <c r="BU28" s="78">
        <v>26</v>
      </c>
      <c r="BV28" s="85">
        <f t="shared" si="6"/>
        <v>0</v>
      </c>
      <c r="BW28" s="85">
        <f t="shared" si="6"/>
        <v>2</v>
      </c>
      <c r="BX28" s="85">
        <f t="shared" si="6"/>
        <v>0</v>
      </c>
      <c r="BY28" s="85">
        <f t="shared" si="6"/>
        <v>0</v>
      </c>
      <c r="BZ28" s="85">
        <f t="shared" si="6"/>
        <v>0</v>
      </c>
      <c r="CB28" s="78">
        <v>26</v>
      </c>
      <c r="CC28" s="78">
        <f t="shared" si="7"/>
        <v>0</v>
      </c>
      <c r="CD28" s="78">
        <f t="shared" si="7"/>
        <v>1.6245047927124709</v>
      </c>
      <c r="CE28" s="78">
        <f t="shared" si="7"/>
        <v>0</v>
      </c>
      <c r="CF28" s="78">
        <f t="shared" si="7"/>
        <v>0</v>
      </c>
      <c r="CG28" s="80">
        <f t="shared" si="7"/>
        <v>0</v>
      </c>
    </row>
    <row r="29" spans="1:85" x14ac:dyDescent="0.3">
      <c r="A29" s="81">
        <v>27</v>
      </c>
      <c r="B29" s="82">
        <v>9</v>
      </c>
      <c r="C29" s="83"/>
      <c r="D29" s="78">
        <v>27</v>
      </c>
      <c r="E29" s="82">
        <v>9</v>
      </c>
      <c r="F29" s="83"/>
      <c r="G29" s="78">
        <v>27</v>
      </c>
      <c r="H29" s="82">
        <v>4</v>
      </c>
      <c r="I29" s="83"/>
      <c r="J29" s="78">
        <v>27</v>
      </c>
      <c r="K29" s="82">
        <v>3</v>
      </c>
      <c r="L29" s="82"/>
      <c r="M29" s="78">
        <v>27</v>
      </c>
      <c r="N29" s="84">
        <v>0.7</v>
      </c>
      <c r="O29" s="84"/>
      <c r="P29" s="78">
        <v>27</v>
      </c>
      <c r="Q29" s="82">
        <v>3</v>
      </c>
      <c r="R29" s="82"/>
      <c r="S29" s="78">
        <v>27</v>
      </c>
      <c r="T29" s="82">
        <v>16</v>
      </c>
      <c r="V29" s="78">
        <v>27</v>
      </c>
      <c r="W29" s="85">
        <f t="shared" si="0"/>
        <v>8</v>
      </c>
      <c r="X29" s="85">
        <f t="shared" si="1"/>
        <v>7</v>
      </c>
      <c r="Y29" s="85">
        <f t="shared" si="2"/>
        <v>6</v>
      </c>
      <c r="Z29" s="85">
        <f t="shared" si="3"/>
        <v>6</v>
      </c>
      <c r="AA29" s="85">
        <f t="shared" si="4"/>
        <v>7</v>
      </c>
      <c r="AB29" s="79"/>
      <c r="AG29" s="78"/>
      <c r="AI29" s="77"/>
      <c r="AK29" s="78">
        <v>27</v>
      </c>
      <c r="AL29" s="85">
        <v>0</v>
      </c>
      <c r="AM29" s="85">
        <v>0</v>
      </c>
      <c r="AN29" s="85">
        <v>0</v>
      </c>
      <c r="AO29" s="85">
        <v>0</v>
      </c>
      <c r="AP29" s="85">
        <v>0</v>
      </c>
      <c r="AR29" s="78">
        <v>27</v>
      </c>
      <c r="AS29" s="85">
        <v>0</v>
      </c>
      <c r="AT29" s="85">
        <v>0</v>
      </c>
      <c r="AU29" s="85">
        <v>0</v>
      </c>
      <c r="AV29" s="85">
        <v>0</v>
      </c>
      <c r="AW29" s="85">
        <v>0</v>
      </c>
      <c r="AY29" s="78">
        <v>27</v>
      </c>
      <c r="AZ29" s="85">
        <v>0</v>
      </c>
      <c r="BA29" s="85">
        <v>0</v>
      </c>
      <c r="BB29" s="85">
        <v>0</v>
      </c>
      <c r="BC29" s="85">
        <v>0</v>
      </c>
      <c r="BD29" s="85">
        <v>0</v>
      </c>
      <c r="BF29" s="78">
        <v>27</v>
      </c>
      <c r="BG29" s="85">
        <v>0</v>
      </c>
      <c r="BH29" s="85">
        <v>0</v>
      </c>
      <c r="BI29" s="85">
        <v>0</v>
      </c>
      <c r="BJ29" s="85">
        <v>0</v>
      </c>
      <c r="BK29" s="86">
        <v>0</v>
      </c>
      <c r="BM29" s="77"/>
      <c r="BN29" s="78">
        <v>27</v>
      </c>
      <c r="BO29" s="85">
        <f t="shared" si="5"/>
        <v>0</v>
      </c>
      <c r="BP29" s="85">
        <f t="shared" si="5"/>
        <v>0</v>
      </c>
      <c r="BQ29" s="85">
        <f t="shared" si="5"/>
        <v>0</v>
      </c>
      <c r="BR29" s="85">
        <f t="shared" si="5"/>
        <v>0</v>
      </c>
      <c r="BS29" s="85">
        <f t="shared" si="5"/>
        <v>0</v>
      </c>
      <c r="BU29" s="78">
        <v>27</v>
      </c>
      <c r="BV29" s="85">
        <f t="shared" si="6"/>
        <v>0</v>
      </c>
      <c r="BW29" s="85">
        <f t="shared" si="6"/>
        <v>0</v>
      </c>
      <c r="BX29" s="85">
        <f t="shared" si="6"/>
        <v>0</v>
      </c>
      <c r="BY29" s="85">
        <f t="shared" si="6"/>
        <v>0</v>
      </c>
      <c r="BZ29" s="85">
        <f t="shared" si="6"/>
        <v>0</v>
      </c>
      <c r="CB29" s="78">
        <v>27</v>
      </c>
      <c r="CC29" s="78">
        <f t="shared" si="7"/>
        <v>0</v>
      </c>
      <c r="CD29" s="78">
        <f t="shared" si="7"/>
        <v>0</v>
      </c>
      <c r="CE29" s="78">
        <f t="shared" si="7"/>
        <v>0</v>
      </c>
      <c r="CF29" s="78">
        <f t="shared" si="7"/>
        <v>0</v>
      </c>
      <c r="CG29" s="80">
        <f t="shared" si="7"/>
        <v>0</v>
      </c>
    </row>
    <row r="30" spans="1:85" x14ac:dyDescent="0.3">
      <c r="A30" s="81">
        <v>28</v>
      </c>
      <c r="B30" s="82">
        <v>12</v>
      </c>
      <c r="C30" s="83"/>
      <c r="D30" s="78">
        <v>28</v>
      </c>
      <c r="E30" s="82">
        <v>10</v>
      </c>
      <c r="F30" s="83"/>
      <c r="G30" s="78">
        <v>28</v>
      </c>
      <c r="H30" s="82">
        <v>4</v>
      </c>
      <c r="I30" s="83"/>
      <c r="J30" s="78">
        <v>28</v>
      </c>
      <c r="K30" s="82">
        <v>12</v>
      </c>
      <c r="L30" s="82"/>
      <c r="M30" s="78">
        <v>28</v>
      </c>
      <c r="N30" s="84">
        <v>0.6</v>
      </c>
      <c r="O30" s="84"/>
      <c r="P30" s="78">
        <v>28</v>
      </c>
      <c r="Q30" s="82">
        <v>4</v>
      </c>
      <c r="R30" s="82"/>
      <c r="S30" s="78">
        <v>28</v>
      </c>
      <c r="T30" s="82">
        <v>18</v>
      </c>
      <c r="V30" s="78">
        <v>28</v>
      </c>
      <c r="W30" s="85">
        <f t="shared" si="0"/>
        <v>8</v>
      </c>
      <c r="X30" s="85">
        <f t="shared" si="1"/>
        <v>7</v>
      </c>
      <c r="Y30" s="85">
        <f t="shared" si="2"/>
        <v>6</v>
      </c>
      <c r="Z30" s="85">
        <f t="shared" si="3"/>
        <v>6</v>
      </c>
      <c r="AA30" s="85">
        <f t="shared" si="4"/>
        <v>7</v>
      </c>
      <c r="AB30" s="79"/>
      <c r="AG30" s="78"/>
      <c r="AI30" s="77"/>
      <c r="AK30" s="78">
        <v>28</v>
      </c>
      <c r="AL30" s="85">
        <v>0</v>
      </c>
      <c r="AM30" s="85">
        <v>1</v>
      </c>
      <c r="AN30" s="85">
        <v>0</v>
      </c>
      <c r="AO30" s="85">
        <v>0</v>
      </c>
      <c r="AP30" s="85">
        <v>0</v>
      </c>
      <c r="AR30" s="78">
        <v>28</v>
      </c>
      <c r="AS30" s="85">
        <v>0</v>
      </c>
      <c r="AT30" s="85">
        <v>0</v>
      </c>
      <c r="AU30" s="85">
        <v>0</v>
      </c>
      <c r="AV30" s="85">
        <v>0</v>
      </c>
      <c r="AW30" s="85">
        <v>0</v>
      </c>
      <c r="AY30" s="78">
        <v>28</v>
      </c>
      <c r="AZ30" s="85">
        <v>0</v>
      </c>
      <c r="BA30" s="85">
        <v>0</v>
      </c>
      <c r="BB30" s="85">
        <v>0</v>
      </c>
      <c r="BC30" s="85">
        <v>0</v>
      </c>
      <c r="BD30" s="85">
        <v>0</v>
      </c>
      <c r="BF30" s="78">
        <v>28</v>
      </c>
      <c r="BG30" s="85">
        <v>0</v>
      </c>
      <c r="BH30" s="85">
        <v>0</v>
      </c>
      <c r="BI30" s="85">
        <v>0</v>
      </c>
      <c r="BJ30" s="85">
        <v>0</v>
      </c>
      <c r="BK30" s="86">
        <v>0</v>
      </c>
      <c r="BM30" s="77"/>
      <c r="BN30" s="78">
        <v>28</v>
      </c>
      <c r="BO30" s="85">
        <f t="shared" si="5"/>
        <v>0</v>
      </c>
      <c r="BP30" s="85">
        <f t="shared" si="5"/>
        <v>1</v>
      </c>
      <c r="BQ30" s="85">
        <f t="shared" si="5"/>
        <v>0</v>
      </c>
      <c r="BR30" s="85">
        <f t="shared" si="5"/>
        <v>0</v>
      </c>
      <c r="BS30" s="85">
        <f t="shared" si="5"/>
        <v>0</v>
      </c>
      <c r="BU30" s="78">
        <v>28</v>
      </c>
      <c r="BV30" s="85">
        <f t="shared" si="6"/>
        <v>0</v>
      </c>
      <c r="BW30" s="85">
        <f t="shared" si="6"/>
        <v>1</v>
      </c>
      <c r="BX30" s="85">
        <f t="shared" si="6"/>
        <v>0</v>
      </c>
      <c r="BY30" s="85">
        <f t="shared" si="6"/>
        <v>0</v>
      </c>
      <c r="BZ30" s="85">
        <f t="shared" si="6"/>
        <v>0</v>
      </c>
      <c r="CB30" s="78">
        <v>28</v>
      </c>
      <c r="CC30" s="78">
        <f t="shared" si="7"/>
        <v>0</v>
      </c>
      <c r="CD30" s="78">
        <f t="shared" si="7"/>
        <v>1</v>
      </c>
      <c r="CE30" s="78">
        <f t="shared" si="7"/>
        <v>0</v>
      </c>
      <c r="CF30" s="78">
        <f t="shared" si="7"/>
        <v>0</v>
      </c>
      <c r="CG30" s="80">
        <f t="shared" si="7"/>
        <v>0</v>
      </c>
    </row>
    <row r="31" spans="1:85" x14ac:dyDescent="0.3">
      <c r="A31" s="81">
        <v>29</v>
      </c>
      <c r="B31" s="82">
        <v>9</v>
      </c>
      <c r="C31" s="83"/>
      <c r="D31" s="78">
        <v>29</v>
      </c>
      <c r="E31" s="82">
        <v>6</v>
      </c>
      <c r="F31" s="83"/>
      <c r="G31" s="78">
        <v>29</v>
      </c>
      <c r="H31" s="82">
        <v>6</v>
      </c>
      <c r="I31" s="83"/>
      <c r="J31" s="78">
        <v>29</v>
      </c>
      <c r="K31" s="82">
        <v>12</v>
      </c>
      <c r="L31" s="82"/>
      <c r="M31" s="78">
        <v>29</v>
      </c>
      <c r="N31" s="84">
        <v>0.3</v>
      </c>
      <c r="O31" s="84"/>
      <c r="P31" s="78">
        <v>29</v>
      </c>
      <c r="Q31" s="82">
        <v>1</v>
      </c>
      <c r="R31" s="82"/>
      <c r="S31" s="78">
        <v>29</v>
      </c>
      <c r="T31" s="82">
        <v>25</v>
      </c>
      <c r="V31" s="78">
        <v>29</v>
      </c>
      <c r="W31" s="85">
        <f t="shared" si="0"/>
        <v>5</v>
      </c>
      <c r="X31" s="85">
        <f t="shared" si="1"/>
        <v>5</v>
      </c>
      <c r="Y31" s="85">
        <f t="shared" si="2"/>
        <v>4</v>
      </c>
      <c r="Z31" s="85">
        <f t="shared" si="3"/>
        <v>4</v>
      </c>
      <c r="AA31" s="85">
        <f t="shared" si="4"/>
        <v>4</v>
      </c>
      <c r="AB31" s="79"/>
      <c r="AG31" s="78"/>
      <c r="AI31" s="77"/>
      <c r="AK31" s="78">
        <v>29</v>
      </c>
      <c r="AL31" s="85">
        <v>1</v>
      </c>
      <c r="AM31" s="85">
        <v>0</v>
      </c>
      <c r="AN31" s="85">
        <v>0</v>
      </c>
      <c r="AO31" s="85">
        <v>0</v>
      </c>
      <c r="AP31" s="85">
        <v>0</v>
      </c>
      <c r="AR31" s="78">
        <v>29</v>
      </c>
      <c r="AS31" s="85">
        <v>0</v>
      </c>
      <c r="AT31" s="85">
        <v>0</v>
      </c>
      <c r="AU31" s="85">
        <v>0</v>
      </c>
      <c r="AV31" s="85">
        <v>0</v>
      </c>
      <c r="AW31" s="85">
        <v>0</v>
      </c>
      <c r="AY31" s="78">
        <v>29</v>
      </c>
      <c r="AZ31" s="85">
        <v>0</v>
      </c>
      <c r="BA31" s="85">
        <v>0</v>
      </c>
      <c r="BB31" s="85">
        <v>0</v>
      </c>
      <c r="BC31" s="85">
        <v>0</v>
      </c>
      <c r="BD31" s="85">
        <v>0</v>
      </c>
      <c r="BF31" s="78">
        <v>29</v>
      </c>
      <c r="BG31" s="85">
        <v>0</v>
      </c>
      <c r="BH31" s="85">
        <v>0</v>
      </c>
      <c r="BI31" s="85">
        <v>0</v>
      </c>
      <c r="BJ31" s="85">
        <v>0</v>
      </c>
      <c r="BK31" s="86">
        <v>0</v>
      </c>
      <c r="BM31" s="77"/>
      <c r="BN31" s="78">
        <v>29</v>
      </c>
      <c r="BO31" s="85">
        <f t="shared" si="5"/>
        <v>1</v>
      </c>
      <c r="BP31" s="85">
        <f t="shared" si="5"/>
        <v>0</v>
      </c>
      <c r="BQ31" s="85">
        <f t="shared" si="5"/>
        <v>0</v>
      </c>
      <c r="BR31" s="85">
        <f t="shared" si="5"/>
        <v>0</v>
      </c>
      <c r="BS31" s="85">
        <f t="shared" si="5"/>
        <v>0</v>
      </c>
      <c r="BU31" s="78">
        <v>29</v>
      </c>
      <c r="BV31" s="85">
        <f t="shared" si="6"/>
        <v>1</v>
      </c>
      <c r="BW31" s="85">
        <f t="shared" si="6"/>
        <v>0</v>
      </c>
      <c r="BX31" s="85">
        <f t="shared" si="6"/>
        <v>0</v>
      </c>
      <c r="BY31" s="85">
        <f t="shared" si="6"/>
        <v>0</v>
      </c>
      <c r="BZ31" s="85">
        <f t="shared" si="6"/>
        <v>0</v>
      </c>
      <c r="CB31" s="78">
        <v>29</v>
      </c>
      <c r="CC31" s="78">
        <f t="shared" si="7"/>
        <v>1</v>
      </c>
      <c r="CD31" s="78">
        <f t="shared" si="7"/>
        <v>0</v>
      </c>
      <c r="CE31" s="78">
        <f t="shared" si="7"/>
        <v>0</v>
      </c>
      <c r="CF31" s="78">
        <f t="shared" si="7"/>
        <v>0</v>
      </c>
      <c r="CG31" s="80">
        <f t="shared" si="7"/>
        <v>0</v>
      </c>
    </row>
    <row r="32" spans="1:85" x14ac:dyDescent="0.3">
      <c r="A32" s="81">
        <v>30</v>
      </c>
      <c r="B32" s="82">
        <v>8</v>
      </c>
      <c r="C32" s="83"/>
      <c r="D32" s="78">
        <v>30</v>
      </c>
      <c r="E32" s="82">
        <v>10</v>
      </c>
      <c r="F32" s="83"/>
      <c r="G32" s="78">
        <v>30</v>
      </c>
      <c r="H32" s="82">
        <v>4</v>
      </c>
      <c r="I32" s="83"/>
      <c r="J32" s="78">
        <v>30</v>
      </c>
      <c r="K32" s="82">
        <v>14</v>
      </c>
      <c r="L32" s="82"/>
      <c r="M32" s="78">
        <v>30</v>
      </c>
      <c r="N32" s="84">
        <v>0.6</v>
      </c>
      <c r="O32" s="84"/>
      <c r="P32" s="78">
        <v>30</v>
      </c>
      <c r="Q32" s="82">
        <v>4</v>
      </c>
      <c r="R32" s="82"/>
      <c r="S32" s="78">
        <v>30</v>
      </c>
      <c r="T32" s="82">
        <v>20</v>
      </c>
      <c r="V32" s="78">
        <v>30</v>
      </c>
      <c r="W32" s="85">
        <f t="shared" si="0"/>
        <v>8</v>
      </c>
      <c r="X32" s="85">
        <f t="shared" si="1"/>
        <v>7</v>
      </c>
      <c r="Y32" s="85">
        <f t="shared" si="2"/>
        <v>6</v>
      </c>
      <c r="Z32" s="85">
        <f t="shared" si="3"/>
        <v>6</v>
      </c>
      <c r="AA32" s="85">
        <f t="shared" si="4"/>
        <v>7</v>
      </c>
      <c r="AB32" s="79"/>
      <c r="AG32" s="78"/>
      <c r="AI32" s="77"/>
      <c r="AK32" s="78">
        <v>30</v>
      </c>
      <c r="AL32" s="85">
        <v>0</v>
      </c>
      <c r="AM32" s="85">
        <v>1</v>
      </c>
      <c r="AN32" s="85">
        <v>0</v>
      </c>
      <c r="AO32" s="85">
        <v>0</v>
      </c>
      <c r="AP32" s="85">
        <v>0</v>
      </c>
      <c r="AR32" s="78">
        <v>30</v>
      </c>
      <c r="AS32" s="85">
        <v>0</v>
      </c>
      <c r="AT32" s="85">
        <v>0</v>
      </c>
      <c r="AU32" s="85">
        <v>0</v>
      </c>
      <c r="AV32" s="85">
        <v>0</v>
      </c>
      <c r="AW32" s="85">
        <v>0</v>
      </c>
      <c r="AY32" s="78">
        <v>30</v>
      </c>
      <c r="AZ32" s="85">
        <v>0</v>
      </c>
      <c r="BA32" s="85">
        <v>0</v>
      </c>
      <c r="BB32" s="85">
        <v>0</v>
      </c>
      <c r="BC32" s="85">
        <v>0</v>
      </c>
      <c r="BD32" s="85">
        <v>0</v>
      </c>
      <c r="BF32" s="78">
        <v>30</v>
      </c>
      <c r="BG32" s="85">
        <v>0</v>
      </c>
      <c r="BH32" s="85">
        <v>0</v>
      </c>
      <c r="BI32" s="85">
        <v>0</v>
      </c>
      <c r="BJ32" s="85">
        <v>0</v>
      </c>
      <c r="BK32" s="86">
        <v>0</v>
      </c>
      <c r="BM32" s="77"/>
      <c r="BN32" s="78">
        <v>30</v>
      </c>
      <c r="BO32" s="85">
        <f t="shared" si="5"/>
        <v>0</v>
      </c>
      <c r="BP32" s="85">
        <f t="shared" si="5"/>
        <v>1</v>
      </c>
      <c r="BQ32" s="85">
        <f t="shared" si="5"/>
        <v>0</v>
      </c>
      <c r="BR32" s="85">
        <f t="shared" si="5"/>
        <v>0</v>
      </c>
      <c r="BS32" s="85">
        <f t="shared" si="5"/>
        <v>0</v>
      </c>
      <c r="BU32" s="78">
        <v>30</v>
      </c>
      <c r="BV32" s="85">
        <f t="shared" si="6"/>
        <v>0</v>
      </c>
      <c r="BW32" s="85">
        <f t="shared" si="6"/>
        <v>1</v>
      </c>
      <c r="BX32" s="85">
        <f t="shared" si="6"/>
        <v>0</v>
      </c>
      <c r="BY32" s="85">
        <f t="shared" si="6"/>
        <v>0</v>
      </c>
      <c r="BZ32" s="85">
        <f t="shared" si="6"/>
        <v>0</v>
      </c>
      <c r="CB32" s="78">
        <v>30</v>
      </c>
      <c r="CC32" s="78">
        <f t="shared" si="7"/>
        <v>0</v>
      </c>
      <c r="CD32" s="78">
        <f t="shared" si="7"/>
        <v>1</v>
      </c>
      <c r="CE32" s="78">
        <f t="shared" si="7"/>
        <v>0</v>
      </c>
      <c r="CF32" s="78">
        <f t="shared" si="7"/>
        <v>0</v>
      </c>
      <c r="CG32" s="80">
        <f t="shared" si="7"/>
        <v>0</v>
      </c>
    </row>
    <row r="33" spans="1:85" x14ac:dyDescent="0.3">
      <c r="A33" s="81">
        <v>31</v>
      </c>
      <c r="B33" s="82">
        <v>5</v>
      </c>
      <c r="C33" s="83"/>
      <c r="D33" s="78">
        <v>31</v>
      </c>
      <c r="E33" s="82">
        <v>9</v>
      </c>
      <c r="F33" s="83"/>
      <c r="G33" s="78">
        <v>31</v>
      </c>
      <c r="H33" s="82">
        <v>3</v>
      </c>
      <c r="I33" s="83"/>
      <c r="J33" s="78">
        <v>31</v>
      </c>
      <c r="K33" s="82">
        <v>7</v>
      </c>
      <c r="L33" s="82"/>
      <c r="M33" s="78">
        <v>31</v>
      </c>
      <c r="N33" s="84">
        <v>0.6</v>
      </c>
      <c r="O33" s="84"/>
      <c r="P33" s="78">
        <v>31</v>
      </c>
      <c r="Q33" s="82">
        <v>4</v>
      </c>
      <c r="R33" s="82"/>
      <c r="S33" s="78">
        <v>31</v>
      </c>
      <c r="T33" s="82">
        <v>18</v>
      </c>
      <c r="V33" s="78">
        <v>31</v>
      </c>
      <c r="W33" s="85">
        <f t="shared" si="0"/>
        <v>11</v>
      </c>
      <c r="X33" s="85">
        <f t="shared" si="1"/>
        <v>10</v>
      </c>
      <c r="Y33" s="85">
        <f t="shared" si="2"/>
        <v>8</v>
      </c>
      <c r="Z33" s="85">
        <f t="shared" si="3"/>
        <v>9</v>
      </c>
      <c r="AA33" s="85">
        <f t="shared" si="4"/>
        <v>9</v>
      </c>
      <c r="AB33" s="79"/>
      <c r="AG33" s="78"/>
      <c r="AI33" s="77"/>
      <c r="AK33" s="78">
        <v>31</v>
      </c>
      <c r="AL33" s="85">
        <v>0</v>
      </c>
      <c r="AM33" s="85">
        <v>0</v>
      </c>
      <c r="AN33" s="85">
        <v>0</v>
      </c>
      <c r="AO33" s="85">
        <v>0</v>
      </c>
      <c r="AP33" s="85">
        <v>0</v>
      </c>
      <c r="AR33" s="78">
        <v>31</v>
      </c>
      <c r="AS33" s="85">
        <v>0</v>
      </c>
      <c r="AT33" s="85">
        <v>0</v>
      </c>
      <c r="AU33" s="85">
        <v>0</v>
      </c>
      <c r="AV33" s="85">
        <v>0</v>
      </c>
      <c r="AW33" s="85">
        <v>0</v>
      </c>
      <c r="AY33" s="78">
        <v>31</v>
      </c>
      <c r="AZ33" s="85">
        <v>0</v>
      </c>
      <c r="BA33" s="85">
        <v>0</v>
      </c>
      <c r="BB33" s="85">
        <v>0</v>
      </c>
      <c r="BC33" s="85">
        <v>0</v>
      </c>
      <c r="BD33" s="85">
        <v>0</v>
      </c>
      <c r="BF33" s="78">
        <v>31</v>
      </c>
      <c r="BG33" s="85">
        <v>0</v>
      </c>
      <c r="BH33" s="85">
        <v>0</v>
      </c>
      <c r="BI33" s="85">
        <v>0</v>
      </c>
      <c r="BJ33" s="85">
        <v>0</v>
      </c>
      <c r="BK33" s="86">
        <v>0</v>
      </c>
      <c r="BM33" s="77"/>
      <c r="BN33" s="78">
        <v>31</v>
      </c>
      <c r="BO33" s="85">
        <f t="shared" si="5"/>
        <v>0</v>
      </c>
      <c r="BP33" s="85">
        <f t="shared" si="5"/>
        <v>0</v>
      </c>
      <c r="BQ33" s="85">
        <f t="shared" si="5"/>
        <v>0</v>
      </c>
      <c r="BR33" s="85">
        <f t="shared" si="5"/>
        <v>0</v>
      </c>
      <c r="BS33" s="85">
        <f t="shared" si="5"/>
        <v>0</v>
      </c>
      <c r="BU33" s="78">
        <v>31</v>
      </c>
      <c r="BV33" s="85">
        <f t="shared" si="6"/>
        <v>0</v>
      </c>
      <c r="BW33" s="85">
        <f t="shared" si="6"/>
        <v>0</v>
      </c>
      <c r="BX33" s="85">
        <f t="shared" si="6"/>
        <v>0</v>
      </c>
      <c r="BY33" s="85">
        <f t="shared" si="6"/>
        <v>0</v>
      </c>
      <c r="BZ33" s="85">
        <f t="shared" si="6"/>
        <v>0</v>
      </c>
      <c r="CB33" s="78">
        <v>31</v>
      </c>
      <c r="CC33" s="78">
        <f t="shared" si="7"/>
        <v>0</v>
      </c>
      <c r="CD33" s="78">
        <f t="shared" si="7"/>
        <v>0</v>
      </c>
      <c r="CE33" s="78">
        <f t="shared" si="7"/>
        <v>0</v>
      </c>
      <c r="CF33" s="78">
        <f t="shared" si="7"/>
        <v>0</v>
      </c>
      <c r="CG33" s="80">
        <f t="shared" si="7"/>
        <v>0</v>
      </c>
    </row>
    <row r="34" spans="1:85" x14ac:dyDescent="0.3">
      <c r="A34" s="81">
        <v>32</v>
      </c>
      <c r="B34" s="82">
        <v>13</v>
      </c>
      <c r="C34" s="83"/>
      <c r="D34" s="78">
        <v>32</v>
      </c>
      <c r="E34" s="82">
        <v>10</v>
      </c>
      <c r="F34" s="83"/>
      <c r="G34" s="78">
        <v>32</v>
      </c>
      <c r="H34" s="82">
        <v>7</v>
      </c>
      <c r="I34" s="83"/>
      <c r="J34" s="78">
        <v>32</v>
      </c>
      <c r="K34" s="82">
        <v>9</v>
      </c>
      <c r="L34" s="82"/>
      <c r="M34" s="78">
        <v>32</v>
      </c>
      <c r="N34" s="84">
        <v>0.2</v>
      </c>
      <c r="O34" s="84"/>
      <c r="P34" s="78">
        <v>32</v>
      </c>
      <c r="Q34" s="82">
        <v>3</v>
      </c>
      <c r="R34" s="82"/>
      <c r="S34" s="78">
        <v>32</v>
      </c>
      <c r="T34" s="82">
        <v>23</v>
      </c>
      <c r="V34" s="78">
        <v>32</v>
      </c>
      <c r="W34" s="85">
        <f t="shared" si="0"/>
        <v>4</v>
      </c>
      <c r="X34" s="85">
        <f t="shared" si="1"/>
        <v>4</v>
      </c>
      <c r="Y34" s="85">
        <f t="shared" si="2"/>
        <v>3</v>
      </c>
      <c r="Z34" s="85">
        <f t="shared" si="3"/>
        <v>3</v>
      </c>
      <c r="AA34" s="85">
        <f t="shared" si="4"/>
        <v>4</v>
      </c>
      <c r="AB34" s="79"/>
      <c r="AG34" s="78"/>
      <c r="AI34" s="77"/>
      <c r="AK34" s="78">
        <v>32</v>
      </c>
      <c r="AL34" s="85">
        <v>0</v>
      </c>
      <c r="AM34" s="85">
        <v>0</v>
      </c>
      <c r="AN34" s="85">
        <v>0</v>
      </c>
      <c r="AO34" s="85">
        <v>0</v>
      </c>
      <c r="AP34" s="85">
        <v>0</v>
      </c>
      <c r="AR34" s="78">
        <v>32</v>
      </c>
      <c r="AS34" s="85">
        <v>0</v>
      </c>
      <c r="AT34" s="85">
        <v>0</v>
      </c>
      <c r="AU34" s="85">
        <v>0</v>
      </c>
      <c r="AV34" s="85">
        <v>0</v>
      </c>
      <c r="AW34" s="85">
        <v>0</v>
      </c>
      <c r="AY34" s="78">
        <v>32</v>
      </c>
      <c r="AZ34" s="85">
        <v>0</v>
      </c>
      <c r="BA34" s="85">
        <v>0</v>
      </c>
      <c r="BB34" s="85">
        <v>0</v>
      </c>
      <c r="BC34" s="85">
        <v>0</v>
      </c>
      <c r="BD34" s="85">
        <v>0</v>
      </c>
      <c r="BF34" s="78">
        <v>32</v>
      </c>
      <c r="BG34" s="85">
        <v>0</v>
      </c>
      <c r="BH34" s="85">
        <v>0</v>
      </c>
      <c r="BI34" s="85">
        <v>0</v>
      </c>
      <c r="BJ34" s="85">
        <v>0</v>
      </c>
      <c r="BK34" s="86">
        <v>0</v>
      </c>
      <c r="BM34" s="77"/>
      <c r="BN34" s="78">
        <v>32</v>
      </c>
      <c r="BO34" s="85">
        <f t="shared" si="5"/>
        <v>0</v>
      </c>
      <c r="BP34" s="85">
        <f t="shared" si="5"/>
        <v>0</v>
      </c>
      <c r="BQ34" s="85">
        <f t="shared" si="5"/>
        <v>0</v>
      </c>
      <c r="BR34" s="85">
        <f t="shared" si="5"/>
        <v>0</v>
      </c>
      <c r="BS34" s="85">
        <f t="shared" si="5"/>
        <v>0</v>
      </c>
      <c r="BU34" s="78">
        <v>32</v>
      </c>
      <c r="BV34" s="85">
        <f t="shared" si="6"/>
        <v>0</v>
      </c>
      <c r="BW34" s="85">
        <f t="shared" si="6"/>
        <v>0</v>
      </c>
      <c r="BX34" s="85">
        <f t="shared" si="6"/>
        <v>0</v>
      </c>
      <c r="BY34" s="85">
        <f t="shared" si="6"/>
        <v>0</v>
      </c>
      <c r="BZ34" s="85">
        <f t="shared" si="6"/>
        <v>0</v>
      </c>
      <c r="CB34" s="78">
        <v>32</v>
      </c>
      <c r="CC34" s="78">
        <f t="shared" si="7"/>
        <v>0</v>
      </c>
      <c r="CD34" s="78">
        <f t="shared" si="7"/>
        <v>0</v>
      </c>
      <c r="CE34" s="78">
        <f t="shared" si="7"/>
        <v>0</v>
      </c>
      <c r="CF34" s="78">
        <f t="shared" si="7"/>
        <v>0</v>
      </c>
      <c r="CG34" s="80">
        <f t="shared" si="7"/>
        <v>0</v>
      </c>
    </row>
    <row r="35" spans="1:85" x14ac:dyDescent="0.3">
      <c r="A35" s="81">
        <v>33</v>
      </c>
      <c r="B35" s="82">
        <v>10</v>
      </c>
      <c r="C35" s="83"/>
      <c r="D35" s="78">
        <v>33</v>
      </c>
      <c r="E35" s="82">
        <v>7</v>
      </c>
      <c r="F35" s="83"/>
      <c r="G35" s="78">
        <v>33</v>
      </c>
      <c r="H35" s="82">
        <v>8</v>
      </c>
      <c r="I35" s="83"/>
      <c r="J35" s="78">
        <v>33</v>
      </c>
      <c r="K35" s="82">
        <v>5</v>
      </c>
      <c r="L35" s="82"/>
      <c r="M35" s="78">
        <v>33</v>
      </c>
      <c r="N35" s="84">
        <v>0.8</v>
      </c>
      <c r="O35" s="84"/>
      <c r="P35" s="78">
        <v>33</v>
      </c>
      <c r="Q35" s="82">
        <v>1</v>
      </c>
      <c r="R35" s="82"/>
      <c r="S35" s="78">
        <v>33</v>
      </c>
      <c r="T35" s="82">
        <v>20</v>
      </c>
      <c r="V35" s="78">
        <v>33</v>
      </c>
      <c r="W35" s="85">
        <f t="shared" si="0"/>
        <v>4</v>
      </c>
      <c r="X35" s="85">
        <f t="shared" si="1"/>
        <v>3</v>
      </c>
      <c r="Y35" s="85">
        <f t="shared" si="2"/>
        <v>3</v>
      </c>
      <c r="Z35" s="85">
        <f t="shared" si="3"/>
        <v>3</v>
      </c>
      <c r="AA35" s="85">
        <f t="shared" si="4"/>
        <v>3</v>
      </c>
      <c r="AB35" s="79"/>
      <c r="AG35" s="78"/>
      <c r="AI35" s="77"/>
      <c r="AK35" s="78">
        <v>33</v>
      </c>
      <c r="AL35" s="85">
        <v>0</v>
      </c>
      <c r="AM35" s="85">
        <v>0</v>
      </c>
      <c r="AN35" s="85">
        <v>0</v>
      </c>
      <c r="AO35" s="85">
        <v>0</v>
      </c>
      <c r="AP35" s="85">
        <v>0</v>
      </c>
      <c r="AR35" s="78">
        <v>33</v>
      </c>
      <c r="AS35" s="85">
        <v>0</v>
      </c>
      <c r="AT35" s="85">
        <v>0</v>
      </c>
      <c r="AU35" s="85">
        <v>0</v>
      </c>
      <c r="AV35" s="85">
        <v>0</v>
      </c>
      <c r="AW35" s="85">
        <v>1</v>
      </c>
      <c r="AY35" s="78">
        <v>33</v>
      </c>
      <c r="AZ35" s="85">
        <v>0</v>
      </c>
      <c r="BA35" s="85">
        <v>0</v>
      </c>
      <c r="BB35" s="85">
        <v>0</v>
      </c>
      <c r="BC35" s="85">
        <v>0</v>
      </c>
      <c r="BD35" s="85">
        <v>0</v>
      </c>
      <c r="BF35" s="78">
        <v>33</v>
      </c>
      <c r="BG35" s="85">
        <v>0</v>
      </c>
      <c r="BH35" s="85">
        <v>0</v>
      </c>
      <c r="BI35" s="85">
        <v>0</v>
      </c>
      <c r="BJ35" s="85">
        <v>0</v>
      </c>
      <c r="BK35" s="86">
        <v>0</v>
      </c>
      <c r="BM35" s="77"/>
      <c r="BN35" s="78">
        <v>33</v>
      </c>
      <c r="BO35" s="85">
        <f t="shared" si="5"/>
        <v>0</v>
      </c>
      <c r="BP35" s="85">
        <f t="shared" si="5"/>
        <v>0</v>
      </c>
      <c r="BQ35" s="85">
        <f t="shared" si="5"/>
        <v>0</v>
      </c>
      <c r="BR35" s="85">
        <f t="shared" si="5"/>
        <v>0</v>
      </c>
      <c r="BS35" s="85">
        <f t="shared" si="5"/>
        <v>1</v>
      </c>
      <c r="BU35" s="78">
        <v>33</v>
      </c>
      <c r="BV35" s="85">
        <f t="shared" si="6"/>
        <v>0</v>
      </c>
      <c r="BW35" s="85">
        <f t="shared" si="6"/>
        <v>0</v>
      </c>
      <c r="BX35" s="85">
        <f t="shared" si="6"/>
        <v>0</v>
      </c>
      <c r="BY35" s="85">
        <f t="shared" si="6"/>
        <v>0</v>
      </c>
      <c r="BZ35" s="85">
        <f t="shared" si="6"/>
        <v>2</v>
      </c>
      <c r="CB35" s="78">
        <v>33</v>
      </c>
      <c r="CC35" s="78">
        <f t="shared" si="7"/>
        <v>0</v>
      </c>
      <c r="CD35" s="78">
        <f t="shared" si="7"/>
        <v>0</v>
      </c>
      <c r="CE35" s="78">
        <f t="shared" si="7"/>
        <v>0</v>
      </c>
      <c r="CF35" s="78">
        <f t="shared" si="7"/>
        <v>0</v>
      </c>
      <c r="CG35" s="80">
        <f t="shared" si="7"/>
        <v>1.7411011265922482</v>
      </c>
    </row>
    <row r="36" spans="1:85" x14ac:dyDescent="0.3">
      <c r="A36" s="81">
        <v>34</v>
      </c>
      <c r="B36" s="82">
        <v>9</v>
      </c>
      <c r="C36" s="83"/>
      <c r="D36" s="78">
        <v>34</v>
      </c>
      <c r="E36" s="82">
        <v>6</v>
      </c>
      <c r="F36" s="83"/>
      <c r="G36" s="78">
        <v>34</v>
      </c>
      <c r="H36" s="82">
        <v>5</v>
      </c>
      <c r="I36" s="83"/>
      <c r="J36" s="78">
        <v>34</v>
      </c>
      <c r="K36" s="82">
        <v>1</v>
      </c>
      <c r="L36" s="82"/>
      <c r="M36" s="78">
        <v>34</v>
      </c>
      <c r="N36" s="84">
        <v>0.6</v>
      </c>
      <c r="O36" s="84"/>
      <c r="P36" s="78">
        <v>34</v>
      </c>
      <c r="Q36" s="82">
        <v>3</v>
      </c>
      <c r="R36" s="82"/>
      <c r="S36" s="78">
        <v>34</v>
      </c>
      <c r="T36" s="82">
        <v>25</v>
      </c>
      <c r="V36" s="78">
        <v>34</v>
      </c>
      <c r="W36" s="85">
        <f t="shared" si="0"/>
        <v>6</v>
      </c>
      <c r="X36" s="85">
        <f t="shared" si="1"/>
        <v>6</v>
      </c>
      <c r="Y36" s="85">
        <f t="shared" si="2"/>
        <v>5</v>
      </c>
      <c r="Z36" s="85">
        <f t="shared" si="3"/>
        <v>5</v>
      </c>
      <c r="AA36" s="85">
        <f t="shared" si="4"/>
        <v>5</v>
      </c>
      <c r="AB36" s="79"/>
      <c r="AG36" s="78"/>
      <c r="AI36" s="77"/>
      <c r="AK36" s="78">
        <v>34</v>
      </c>
      <c r="AL36" s="85">
        <v>0</v>
      </c>
      <c r="AM36" s="85">
        <v>0</v>
      </c>
      <c r="AN36" s="85">
        <v>0</v>
      </c>
      <c r="AO36" s="85">
        <v>0</v>
      </c>
      <c r="AP36" s="85">
        <v>0</v>
      </c>
      <c r="AR36" s="78">
        <v>34</v>
      </c>
      <c r="AS36" s="85">
        <v>0</v>
      </c>
      <c r="AT36" s="85">
        <v>0</v>
      </c>
      <c r="AU36" s="85">
        <v>0</v>
      </c>
      <c r="AV36" s="85">
        <v>0</v>
      </c>
      <c r="AW36" s="85">
        <v>0</v>
      </c>
      <c r="AY36" s="78">
        <v>34</v>
      </c>
      <c r="AZ36" s="85">
        <v>0</v>
      </c>
      <c r="BA36" s="85">
        <v>0</v>
      </c>
      <c r="BB36" s="85">
        <v>0</v>
      </c>
      <c r="BC36" s="85">
        <v>0</v>
      </c>
      <c r="BD36" s="85">
        <v>0</v>
      </c>
      <c r="BF36" s="78">
        <v>34</v>
      </c>
      <c r="BG36" s="85">
        <v>0</v>
      </c>
      <c r="BH36" s="85">
        <v>0</v>
      </c>
      <c r="BI36" s="85">
        <v>0</v>
      </c>
      <c r="BJ36" s="85">
        <v>0</v>
      </c>
      <c r="BK36" s="86">
        <v>0</v>
      </c>
      <c r="BM36" s="77"/>
      <c r="BN36" s="78">
        <v>34</v>
      </c>
      <c r="BO36" s="85">
        <f t="shared" si="5"/>
        <v>0</v>
      </c>
      <c r="BP36" s="85">
        <f t="shared" si="5"/>
        <v>0</v>
      </c>
      <c r="BQ36" s="85">
        <f t="shared" si="5"/>
        <v>0</v>
      </c>
      <c r="BR36" s="85">
        <f t="shared" si="5"/>
        <v>0</v>
      </c>
      <c r="BS36" s="85">
        <f t="shared" si="5"/>
        <v>0</v>
      </c>
      <c r="BU36" s="78">
        <v>34</v>
      </c>
      <c r="BV36" s="85">
        <f t="shared" si="6"/>
        <v>0</v>
      </c>
      <c r="BW36" s="85">
        <f t="shared" si="6"/>
        <v>0</v>
      </c>
      <c r="BX36" s="85">
        <f t="shared" si="6"/>
        <v>0</v>
      </c>
      <c r="BY36" s="85">
        <f t="shared" si="6"/>
        <v>0</v>
      </c>
      <c r="BZ36" s="85">
        <f t="shared" si="6"/>
        <v>0</v>
      </c>
      <c r="CB36" s="78">
        <v>34</v>
      </c>
      <c r="CC36" s="78">
        <f t="shared" si="7"/>
        <v>0</v>
      </c>
      <c r="CD36" s="78">
        <f t="shared" si="7"/>
        <v>0</v>
      </c>
      <c r="CE36" s="78">
        <f t="shared" si="7"/>
        <v>0</v>
      </c>
      <c r="CF36" s="78">
        <f t="shared" si="7"/>
        <v>0</v>
      </c>
      <c r="CG36" s="80">
        <f t="shared" si="7"/>
        <v>0</v>
      </c>
    </row>
    <row r="37" spans="1:85" x14ac:dyDescent="0.3">
      <c r="A37" s="81">
        <v>35</v>
      </c>
      <c r="B37" s="82">
        <v>5</v>
      </c>
      <c r="C37" s="83"/>
      <c r="D37" s="78">
        <v>35</v>
      </c>
      <c r="E37" s="82">
        <v>10</v>
      </c>
      <c r="F37" s="83"/>
      <c r="G37" s="78">
        <v>35</v>
      </c>
      <c r="H37" s="82">
        <v>6</v>
      </c>
      <c r="I37" s="83"/>
      <c r="J37" s="78">
        <v>35</v>
      </c>
      <c r="K37" s="82">
        <v>5</v>
      </c>
      <c r="L37" s="82"/>
      <c r="M37" s="78">
        <v>35</v>
      </c>
      <c r="N37" s="84">
        <v>0.5</v>
      </c>
      <c r="O37" s="84"/>
      <c r="P37" s="78">
        <v>35</v>
      </c>
      <c r="Q37" s="82">
        <v>4</v>
      </c>
      <c r="R37" s="82"/>
      <c r="S37" s="78">
        <v>35</v>
      </c>
      <c r="T37" s="82">
        <v>24</v>
      </c>
      <c r="V37" s="78">
        <v>35</v>
      </c>
      <c r="W37" s="85">
        <f t="shared" si="0"/>
        <v>5</v>
      </c>
      <c r="X37" s="85">
        <f t="shared" si="1"/>
        <v>5</v>
      </c>
      <c r="Y37" s="85">
        <f t="shared" si="2"/>
        <v>4</v>
      </c>
      <c r="Z37" s="85">
        <f t="shared" si="3"/>
        <v>4</v>
      </c>
      <c r="AA37" s="85">
        <f t="shared" si="4"/>
        <v>4</v>
      </c>
      <c r="AB37" s="79"/>
      <c r="AG37" s="78"/>
      <c r="AI37" s="77"/>
      <c r="AK37" s="78">
        <v>35</v>
      </c>
      <c r="AL37" s="85">
        <v>1</v>
      </c>
      <c r="AM37" s="85">
        <v>0</v>
      </c>
      <c r="AN37" s="85">
        <v>0</v>
      </c>
      <c r="AO37" s="85">
        <v>0</v>
      </c>
      <c r="AP37" s="85">
        <v>0</v>
      </c>
      <c r="AR37" s="78">
        <v>35</v>
      </c>
      <c r="AS37" s="85">
        <v>0</v>
      </c>
      <c r="AT37" s="85">
        <v>0</v>
      </c>
      <c r="AU37" s="85">
        <v>0</v>
      </c>
      <c r="AV37" s="85">
        <v>0</v>
      </c>
      <c r="AW37" s="85">
        <v>0</v>
      </c>
      <c r="AY37" s="78">
        <v>35</v>
      </c>
      <c r="AZ37" s="85">
        <v>0</v>
      </c>
      <c r="BA37" s="85">
        <v>0</v>
      </c>
      <c r="BB37" s="85">
        <v>0</v>
      </c>
      <c r="BC37" s="85">
        <v>0</v>
      </c>
      <c r="BD37" s="85">
        <v>0</v>
      </c>
      <c r="BF37" s="78">
        <v>35</v>
      </c>
      <c r="BG37" s="85">
        <v>0</v>
      </c>
      <c r="BH37" s="85">
        <v>0</v>
      </c>
      <c r="BI37" s="85">
        <v>0</v>
      </c>
      <c r="BJ37" s="85">
        <v>0</v>
      </c>
      <c r="BK37" s="86">
        <v>0</v>
      </c>
      <c r="BM37" s="77"/>
      <c r="BN37" s="78">
        <v>35</v>
      </c>
      <c r="BO37" s="85">
        <f t="shared" si="5"/>
        <v>1</v>
      </c>
      <c r="BP37" s="85">
        <f t="shared" si="5"/>
        <v>0</v>
      </c>
      <c r="BQ37" s="85">
        <f t="shared" si="5"/>
        <v>0</v>
      </c>
      <c r="BR37" s="85">
        <f t="shared" si="5"/>
        <v>0</v>
      </c>
      <c r="BS37" s="85">
        <f t="shared" si="5"/>
        <v>0</v>
      </c>
      <c r="BU37" s="78">
        <v>35</v>
      </c>
      <c r="BV37" s="85">
        <f t="shared" si="6"/>
        <v>1</v>
      </c>
      <c r="BW37" s="85">
        <f t="shared" si="6"/>
        <v>0</v>
      </c>
      <c r="BX37" s="85">
        <f t="shared" si="6"/>
        <v>0</v>
      </c>
      <c r="BY37" s="85">
        <f t="shared" si="6"/>
        <v>0</v>
      </c>
      <c r="BZ37" s="85">
        <f t="shared" si="6"/>
        <v>0</v>
      </c>
      <c r="CB37" s="78">
        <v>35</v>
      </c>
      <c r="CC37" s="78">
        <f t="shared" si="7"/>
        <v>1</v>
      </c>
      <c r="CD37" s="78">
        <f t="shared" si="7"/>
        <v>0</v>
      </c>
      <c r="CE37" s="78">
        <f t="shared" si="7"/>
        <v>0</v>
      </c>
      <c r="CF37" s="78">
        <f t="shared" si="7"/>
        <v>0</v>
      </c>
      <c r="CG37" s="80">
        <f t="shared" si="7"/>
        <v>0</v>
      </c>
    </row>
    <row r="38" spans="1:85" x14ac:dyDescent="0.3">
      <c r="A38" s="81">
        <v>36</v>
      </c>
      <c r="B38" s="82">
        <v>9</v>
      </c>
      <c r="C38" s="83"/>
      <c r="D38" s="78">
        <v>36</v>
      </c>
      <c r="E38" s="82">
        <v>7</v>
      </c>
      <c r="F38" s="83"/>
      <c r="G38" s="78">
        <v>36</v>
      </c>
      <c r="H38" s="82">
        <v>7</v>
      </c>
      <c r="I38" s="83"/>
      <c r="J38" s="78">
        <v>36</v>
      </c>
      <c r="K38" s="82">
        <v>11</v>
      </c>
      <c r="L38" s="82"/>
      <c r="M38" s="78">
        <v>36</v>
      </c>
      <c r="N38" s="84">
        <v>0.1</v>
      </c>
      <c r="O38" s="84"/>
      <c r="P38" s="78">
        <v>36</v>
      </c>
      <c r="Q38" s="82">
        <v>2</v>
      </c>
      <c r="R38" s="82"/>
      <c r="S38" s="78">
        <v>36</v>
      </c>
      <c r="T38" s="82">
        <v>18</v>
      </c>
      <c r="V38" s="78">
        <v>36</v>
      </c>
      <c r="W38" s="85">
        <f t="shared" si="0"/>
        <v>4</v>
      </c>
      <c r="X38" s="85">
        <f t="shared" si="1"/>
        <v>4</v>
      </c>
      <c r="Y38" s="85">
        <f t="shared" si="2"/>
        <v>3</v>
      </c>
      <c r="Z38" s="85">
        <f t="shared" si="3"/>
        <v>3</v>
      </c>
      <c r="AA38" s="85">
        <f t="shared" si="4"/>
        <v>4</v>
      </c>
      <c r="AB38" s="79"/>
      <c r="AG38" s="78"/>
      <c r="AI38" s="77"/>
      <c r="AK38" s="78">
        <v>36</v>
      </c>
      <c r="AL38" s="85">
        <v>0</v>
      </c>
      <c r="AM38" s="85">
        <v>0</v>
      </c>
      <c r="AN38" s="85">
        <v>0</v>
      </c>
      <c r="AO38" s="85">
        <v>0</v>
      </c>
      <c r="AP38" s="85">
        <v>1</v>
      </c>
      <c r="AR38" s="78">
        <v>36</v>
      </c>
      <c r="AS38" s="85">
        <v>0</v>
      </c>
      <c r="AT38" s="85">
        <v>0</v>
      </c>
      <c r="AU38" s="85">
        <v>0</v>
      </c>
      <c r="AV38" s="85">
        <v>0</v>
      </c>
      <c r="AW38" s="85">
        <v>0</v>
      </c>
      <c r="AY38" s="78">
        <v>36</v>
      </c>
      <c r="AZ38" s="85">
        <v>0</v>
      </c>
      <c r="BA38" s="85">
        <v>0</v>
      </c>
      <c r="BB38" s="85">
        <v>0</v>
      </c>
      <c r="BC38" s="85">
        <v>0</v>
      </c>
      <c r="BD38" s="85">
        <v>0</v>
      </c>
      <c r="BF38" s="78">
        <v>36</v>
      </c>
      <c r="BG38" s="85">
        <v>0</v>
      </c>
      <c r="BH38" s="85">
        <v>0</v>
      </c>
      <c r="BI38" s="85">
        <v>0</v>
      </c>
      <c r="BJ38" s="85">
        <v>0</v>
      </c>
      <c r="BK38" s="86">
        <v>0</v>
      </c>
      <c r="BM38" s="77"/>
      <c r="BN38" s="78">
        <v>36</v>
      </c>
      <c r="BO38" s="85">
        <f t="shared" si="5"/>
        <v>0</v>
      </c>
      <c r="BP38" s="85">
        <f t="shared" si="5"/>
        <v>0</v>
      </c>
      <c r="BQ38" s="85">
        <f t="shared" si="5"/>
        <v>0</v>
      </c>
      <c r="BR38" s="85">
        <f t="shared" si="5"/>
        <v>0</v>
      </c>
      <c r="BS38" s="85">
        <f t="shared" si="5"/>
        <v>1</v>
      </c>
      <c r="BU38" s="78">
        <v>36</v>
      </c>
      <c r="BV38" s="85">
        <f t="shared" si="6"/>
        <v>0</v>
      </c>
      <c r="BW38" s="85">
        <f t="shared" si="6"/>
        <v>0</v>
      </c>
      <c r="BX38" s="85">
        <f t="shared" si="6"/>
        <v>0</v>
      </c>
      <c r="BY38" s="85">
        <f t="shared" si="6"/>
        <v>0</v>
      </c>
      <c r="BZ38" s="85">
        <f t="shared" si="6"/>
        <v>1</v>
      </c>
      <c r="CB38" s="78">
        <v>36</v>
      </c>
      <c r="CC38" s="78">
        <f t="shared" si="7"/>
        <v>0</v>
      </c>
      <c r="CD38" s="78">
        <f t="shared" si="7"/>
        <v>0</v>
      </c>
      <c r="CE38" s="78">
        <f t="shared" si="7"/>
        <v>0</v>
      </c>
      <c r="CF38" s="78">
        <f t="shared" si="7"/>
        <v>0</v>
      </c>
      <c r="CG38" s="80">
        <f t="shared" si="7"/>
        <v>1</v>
      </c>
    </row>
    <row r="39" spans="1:85" x14ac:dyDescent="0.3">
      <c r="A39" s="81">
        <v>37</v>
      </c>
      <c r="B39" s="82">
        <v>13</v>
      </c>
      <c r="C39" s="83"/>
      <c r="D39" s="78">
        <v>37</v>
      </c>
      <c r="E39" s="82">
        <v>9</v>
      </c>
      <c r="F39" s="83"/>
      <c r="G39" s="78">
        <v>37</v>
      </c>
      <c r="H39" s="82">
        <v>3</v>
      </c>
      <c r="I39" s="83"/>
      <c r="J39" s="78">
        <v>37</v>
      </c>
      <c r="K39" s="82">
        <v>4</v>
      </c>
      <c r="L39" s="82"/>
      <c r="M39" s="78">
        <v>37</v>
      </c>
      <c r="N39" s="84">
        <v>0.6</v>
      </c>
      <c r="O39" s="84"/>
      <c r="P39" s="78">
        <v>37</v>
      </c>
      <c r="Q39" s="82">
        <v>3</v>
      </c>
      <c r="R39" s="82"/>
      <c r="S39" s="78">
        <v>37</v>
      </c>
      <c r="T39" s="82">
        <v>17</v>
      </c>
      <c r="V39" s="78">
        <v>37</v>
      </c>
      <c r="W39" s="85">
        <f t="shared" si="0"/>
        <v>11</v>
      </c>
      <c r="X39" s="85">
        <f t="shared" si="1"/>
        <v>10</v>
      </c>
      <c r="Y39" s="85">
        <f t="shared" si="2"/>
        <v>8</v>
      </c>
      <c r="Z39" s="85">
        <f t="shared" si="3"/>
        <v>9</v>
      </c>
      <c r="AA39" s="85">
        <f t="shared" si="4"/>
        <v>9</v>
      </c>
      <c r="AB39" s="79"/>
      <c r="AG39" s="78"/>
      <c r="AI39" s="77"/>
      <c r="AK39" s="78">
        <v>37</v>
      </c>
      <c r="AL39" s="85">
        <v>0</v>
      </c>
      <c r="AM39" s="85">
        <v>0</v>
      </c>
      <c r="AN39" s="85">
        <v>0</v>
      </c>
      <c r="AO39" s="85">
        <v>0</v>
      </c>
      <c r="AP39" s="85">
        <v>0</v>
      </c>
      <c r="AR39" s="78">
        <v>37</v>
      </c>
      <c r="AS39" s="85">
        <v>0</v>
      </c>
      <c r="AT39" s="85">
        <v>0</v>
      </c>
      <c r="AU39" s="85">
        <v>0</v>
      </c>
      <c r="AV39" s="85">
        <v>0</v>
      </c>
      <c r="AW39" s="85">
        <v>0</v>
      </c>
      <c r="AY39" s="78">
        <v>37</v>
      </c>
      <c r="AZ39" s="85">
        <v>0</v>
      </c>
      <c r="BA39" s="85">
        <v>0</v>
      </c>
      <c r="BB39" s="85">
        <v>0</v>
      </c>
      <c r="BC39" s="85">
        <v>0</v>
      </c>
      <c r="BD39" s="85">
        <v>0</v>
      </c>
      <c r="BF39" s="78">
        <v>37</v>
      </c>
      <c r="BG39" s="85">
        <v>0</v>
      </c>
      <c r="BH39" s="85">
        <v>0</v>
      </c>
      <c r="BI39" s="85">
        <v>0</v>
      </c>
      <c r="BJ39" s="85">
        <v>0</v>
      </c>
      <c r="BK39" s="86">
        <v>0</v>
      </c>
      <c r="BM39" s="77"/>
      <c r="BN39" s="78">
        <v>37</v>
      </c>
      <c r="BO39" s="85">
        <f t="shared" si="5"/>
        <v>0</v>
      </c>
      <c r="BP39" s="85">
        <f t="shared" si="5"/>
        <v>0</v>
      </c>
      <c r="BQ39" s="85">
        <f t="shared" si="5"/>
        <v>0</v>
      </c>
      <c r="BR39" s="85">
        <f t="shared" si="5"/>
        <v>0</v>
      </c>
      <c r="BS39" s="85">
        <f t="shared" si="5"/>
        <v>0</v>
      </c>
      <c r="BU39" s="78">
        <v>37</v>
      </c>
      <c r="BV39" s="85">
        <f t="shared" si="6"/>
        <v>0</v>
      </c>
      <c r="BW39" s="85">
        <f t="shared" si="6"/>
        <v>0</v>
      </c>
      <c r="BX39" s="85">
        <f t="shared" si="6"/>
        <v>0</v>
      </c>
      <c r="BY39" s="85">
        <f t="shared" si="6"/>
        <v>0</v>
      </c>
      <c r="BZ39" s="85">
        <f t="shared" si="6"/>
        <v>0</v>
      </c>
      <c r="CB39" s="78">
        <v>37</v>
      </c>
      <c r="CC39" s="78">
        <f t="shared" si="7"/>
        <v>0</v>
      </c>
      <c r="CD39" s="78">
        <f t="shared" si="7"/>
        <v>0</v>
      </c>
      <c r="CE39" s="78">
        <f t="shared" si="7"/>
        <v>0</v>
      </c>
      <c r="CF39" s="78">
        <f t="shared" si="7"/>
        <v>0</v>
      </c>
      <c r="CG39" s="80">
        <f t="shared" si="7"/>
        <v>0</v>
      </c>
    </row>
    <row r="40" spans="1:85" x14ac:dyDescent="0.3">
      <c r="A40" s="81">
        <v>38</v>
      </c>
      <c r="B40" s="82">
        <v>6</v>
      </c>
      <c r="C40" s="83"/>
      <c r="D40" s="78">
        <v>38</v>
      </c>
      <c r="E40" s="82">
        <v>10</v>
      </c>
      <c r="F40" s="83"/>
      <c r="G40" s="78">
        <v>38</v>
      </c>
      <c r="H40" s="82">
        <v>8</v>
      </c>
      <c r="I40" s="83"/>
      <c r="J40" s="78">
        <v>38</v>
      </c>
      <c r="K40" s="82">
        <v>7</v>
      </c>
      <c r="L40" s="82"/>
      <c r="M40" s="78">
        <v>38</v>
      </c>
      <c r="N40" s="84">
        <v>0.1</v>
      </c>
      <c r="O40" s="84"/>
      <c r="P40" s="78">
        <v>38</v>
      </c>
      <c r="Q40" s="82">
        <v>4</v>
      </c>
      <c r="R40" s="82"/>
      <c r="S40" s="78">
        <v>38</v>
      </c>
      <c r="T40" s="82">
        <v>16</v>
      </c>
      <c r="V40" s="78">
        <v>38</v>
      </c>
      <c r="W40" s="85">
        <f t="shared" si="0"/>
        <v>4</v>
      </c>
      <c r="X40" s="85">
        <f t="shared" si="1"/>
        <v>3</v>
      </c>
      <c r="Y40" s="85">
        <f t="shared" si="2"/>
        <v>3</v>
      </c>
      <c r="Z40" s="85">
        <f t="shared" si="3"/>
        <v>3</v>
      </c>
      <c r="AA40" s="85">
        <f t="shared" si="4"/>
        <v>3</v>
      </c>
      <c r="AB40" s="79"/>
      <c r="AG40" s="78"/>
      <c r="AI40" s="77"/>
      <c r="AK40" s="78">
        <v>38</v>
      </c>
      <c r="AL40" s="85">
        <v>0</v>
      </c>
      <c r="AM40" s="85">
        <v>0</v>
      </c>
      <c r="AN40" s="85">
        <v>0</v>
      </c>
      <c r="AO40" s="85">
        <v>0</v>
      </c>
      <c r="AP40" s="85">
        <v>0</v>
      </c>
      <c r="AR40" s="78">
        <v>38</v>
      </c>
      <c r="AS40" s="85">
        <v>0</v>
      </c>
      <c r="AT40" s="85">
        <v>0</v>
      </c>
      <c r="AU40" s="85">
        <v>0</v>
      </c>
      <c r="AV40" s="85">
        <v>0</v>
      </c>
      <c r="AW40" s="85">
        <v>0</v>
      </c>
      <c r="AY40" s="78">
        <v>38</v>
      </c>
      <c r="AZ40" s="85">
        <v>0</v>
      </c>
      <c r="BA40" s="85">
        <v>0</v>
      </c>
      <c r="BB40" s="85">
        <v>0</v>
      </c>
      <c r="BC40" s="85">
        <v>0</v>
      </c>
      <c r="BD40" s="85">
        <v>0</v>
      </c>
      <c r="BF40" s="78">
        <v>38</v>
      </c>
      <c r="BG40" s="85">
        <v>0</v>
      </c>
      <c r="BH40" s="85">
        <v>0</v>
      </c>
      <c r="BI40" s="85">
        <v>0</v>
      </c>
      <c r="BJ40" s="85">
        <v>0</v>
      </c>
      <c r="BK40" s="86">
        <v>0</v>
      </c>
      <c r="BM40" s="77"/>
      <c r="BN40" s="78">
        <v>38</v>
      </c>
      <c r="BO40" s="85">
        <f t="shared" si="5"/>
        <v>0</v>
      </c>
      <c r="BP40" s="85">
        <f t="shared" si="5"/>
        <v>0</v>
      </c>
      <c r="BQ40" s="85">
        <f t="shared" si="5"/>
        <v>0</v>
      </c>
      <c r="BR40" s="85">
        <f t="shared" si="5"/>
        <v>0</v>
      </c>
      <c r="BS40" s="85">
        <f t="shared" si="5"/>
        <v>0</v>
      </c>
      <c r="BU40" s="78">
        <v>38</v>
      </c>
      <c r="BV40" s="85">
        <f t="shared" si="6"/>
        <v>0</v>
      </c>
      <c r="BW40" s="85">
        <f t="shared" si="6"/>
        <v>0</v>
      </c>
      <c r="BX40" s="85">
        <f t="shared" si="6"/>
        <v>0</v>
      </c>
      <c r="BY40" s="85">
        <f t="shared" si="6"/>
        <v>0</v>
      </c>
      <c r="BZ40" s="85">
        <f t="shared" si="6"/>
        <v>0</v>
      </c>
      <c r="CB40" s="78">
        <v>38</v>
      </c>
      <c r="CC40" s="78">
        <f t="shared" si="7"/>
        <v>0</v>
      </c>
      <c r="CD40" s="78">
        <f t="shared" si="7"/>
        <v>0</v>
      </c>
      <c r="CE40" s="78">
        <f t="shared" si="7"/>
        <v>0</v>
      </c>
      <c r="CF40" s="78">
        <f t="shared" si="7"/>
        <v>0</v>
      </c>
      <c r="CG40" s="80">
        <f t="shared" si="7"/>
        <v>0</v>
      </c>
    </row>
    <row r="41" spans="1:85" x14ac:dyDescent="0.3">
      <c r="A41" s="81">
        <v>39</v>
      </c>
      <c r="B41" s="82">
        <v>7</v>
      </c>
      <c r="C41" s="83"/>
      <c r="D41" s="78">
        <v>39</v>
      </c>
      <c r="E41" s="82">
        <v>6</v>
      </c>
      <c r="F41" s="83"/>
      <c r="G41" s="78">
        <v>39</v>
      </c>
      <c r="H41" s="82">
        <v>3</v>
      </c>
      <c r="I41" s="83"/>
      <c r="J41" s="78">
        <v>39</v>
      </c>
      <c r="K41" s="82">
        <v>5</v>
      </c>
      <c r="L41" s="82"/>
      <c r="M41" s="78">
        <v>39</v>
      </c>
      <c r="N41" s="84">
        <v>0.8</v>
      </c>
      <c r="O41" s="84"/>
      <c r="P41" s="78">
        <v>39</v>
      </c>
      <c r="Q41" s="82">
        <v>4</v>
      </c>
      <c r="R41" s="82"/>
      <c r="S41" s="78">
        <v>39</v>
      </c>
      <c r="T41" s="82">
        <v>15</v>
      </c>
      <c r="V41" s="78">
        <v>39</v>
      </c>
      <c r="W41" s="85">
        <f t="shared" si="0"/>
        <v>11</v>
      </c>
      <c r="X41" s="85">
        <f t="shared" si="1"/>
        <v>10</v>
      </c>
      <c r="Y41" s="85">
        <f t="shared" si="2"/>
        <v>8</v>
      </c>
      <c r="Z41" s="85">
        <f t="shared" si="3"/>
        <v>9</v>
      </c>
      <c r="AA41" s="85">
        <f t="shared" si="4"/>
        <v>9</v>
      </c>
      <c r="AB41" s="79"/>
      <c r="AG41" s="78"/>
      <c r="AI41" s="77"/>
      <c r="AK41" s="78">
        <v>39</v>
      </c>
      <c r="AL41" s="85">
        <v>1</v>
      </c>
      <c r="AM41" s="85">
        <v>0</v>
      </c>
      <c r="AN41" s="85">
        <v>0</v>
      </c>
      <c r="AO41" s="85">
        <v>0</v>
      </c>
      <c r="AP41" s="85">
        <v>0</v>
      </c>
      <c r="AR41" s="78">
        <v>39</v>
      </c>
      <c r="AS41" s="85">
        <v>0</v>
      </c>
      <c r="AT41" s="85">
        <v>0</v>
      </c>
      <c r="AU41" s="85">
        <v>0</v>
      </c>
      <c r="AV41" s="85">
        <v>0</v>
      </c>
      <c r="AW41" s="85">
        <v>0</v>
      </c>
      <c r="AY41" s="78">
        <v>39</v>
      </c>
      <c r="AZ41" s="85">
        <v>0</v>
      </c>
      <c r="BA41" s="85">
        <v>0</v>
      </c>
      <c r="BB41" s="85">
        <v>0</v>
      </c>
      <c r="BC41" s="85">
        <v>0</v>
      </c>
      <c r="BD41" s="85">
        <v>0</v>
      </c>
      <c r="BF41" s="78">
        <v>39</v>
      </c>
      <c r="BG41" s="85">
        <v>0</v>
      </c>
      <c r="BH41" s="85">
        <v>0</v>
      </c>
      <c r="BI41" s="85">
        <v>0</v>
      </c>
      <c r="BJ41" s="85">
        <v>0</v>
      </c>
      <c r="BK41" s="86">
        <v>0</v>
      </c>
      <c r="BM41" s="77"/>
      <c r="BN41" s="78">
        <v>39</v>
      </c>
      <c r="BO41" s="85">
        <f t="shared" si="5"/>
        <v>1</v>
      </c>
      <c r="BP41" s="85">
        <f t="shared" si="5"/>
        <v>0</v>
      </c>
      <c r="BQ41" s="85">
        <f t="shared" si="5"/>
        <v>0</v>
      </c>
      <c r="BR41" s="85">
        <f t="shared" si="5"/>
        <v>0</v>
      </c>
      <c r="BS41" s="85">
        <f t="shared" si="5"/>
        <v>0</v>
      </c>
      <c r="BU41" s="78">
        <v>39</v>
      </c>
      <c r="BV41" s="85">
        <f t="shared" si="6"/>
        <v>1</v>
      </c>
      <c r="BW41" s="85">
        <f t="shared" si="6"/>
        <v>0</v>
      </c>
      <c r="BX41" s="85">
        <f t="shared" si="6"/>
        <v>0</v>
      </c>
      <c r="BY41" s="85">
        <f t="shared" si="6"/>
        <v>0</v>
      </c>
      <c r="BZ41" s="85">
        <f t="shared" si="6"/>
        <v>0</v>
      </c>
      <c r="CB41" s="78">
        <v>39</v>
      </c>
      <c r="CC41" s="78">
        <f t="shared" si="7"/>
        <v>1</v>
      </c>
      <c r="CD41" s="78">
        <f t="shared" si="7"/>
        <v>0</v>
      </c>
      <c r="CE41" s="78">
        <f t="shared" si="7"/>
        <v>0</v>
      </c>
      <c r="CF41" s="78">
        <f t="shared" si="7"/>
        <v>0</v>
      </c>
      <c r="CG41" s="80">
        <f t="shared" si="7"/>
        <v>0</v>
      </c>
    </row>
    <row r="42" spans="1:85" x14ac:dyDescent="0.3">
      <c r="A42" s="81">
        <v>40</v>
      </c>
      <c r="B42" s="82">
        <v>9</v>
      </c>
      <c r="C42" s="83"/>
      <c r="D42" s="78">
        <v>40</v>
      </c>
      <c r="E42" s="82">
        <v>9</v>
      </c>
      <c r="F42" s="83"/>
      <c r="G42" s="78">
        <v>40</v>
      </c>
      <c r="H42" s="82">
        <v>6</v>
      </c>
      <c r="I42" s="83"/>
      <c r="J42" s="78">
        <v>40</v>
      </c>
      <c r="K42" s="82">
        <v>11</v>
      </c>
      <c r="L42" s="82"/>
      <c r="M42" s="78">
        <v>40</v>
      </c>
      <c r="N42" s="84">
        <v>0.7</v>
      </c>
      <c r="O42" s="84"/>
      <c r="P42" s="78">
        <v>40</v>
      </c>
      <c r="Q42" s="82">
        <v>3</v>
      </c>
      <c r="R42" s="82"/>
      <c r="S42" s="78">
        <v>40</v>
      </c>
      <c r="T42" s="82">
        <v>19</v>
      </c>
      <c r="V42" s="78">
        <v>40</v>
      </c>
      <c r="W42" s="85">
        <f t="shared" si="0"/>
        <v>5</v>
      </c>
      <c r="X42" s="85">
        <f t="shared" si="1"/>
        <v>5</v>
      </c>
      <c r="Y42" s="85">
        <f t="shared" si="2"/>
        <v>4</v>
      </c>
      <c r="Z42" s="85">
        <f t="shared" si="3"/>
        <v>4</v>
      </c>
      <c r="AA42" s="85">
        <f t="shared" si="4"/>
        <v>4</v>
      </c>
      <c r="AB42" s="79"/>
      <c r="AG42" s="78"/>
      <c r="AI42" s="77"/>
      <c r="AK42" s="78">
        <v>40</v>
      </c>
      <c r="AL42" s="85">
        <v>0</v>
      </c>
      <c r="AM42" s="85">
        <v>0</v>
      </c>
      <c r="AN42" s="85">
        <v>0</v>
      </c>
      <c r="AO42" s="85">
        <v>0</v>
      </c>
      <c r="AP42" s="85">
        <v>0</v>
      </c>
      <c r="AR42" s="78">
        <v>40</v>
      </c>
      <c r="AS42" s="85">
        <v>0</v>
      </c>
      <c r="AT42" s="85">
        <v>0</v>
      </c>
      <c r="AU42" s="85">
        <v>0</v>
      </c>
      <c r="AV42" s="85">
        <v>0</v>
      </c>
      <c r="AW42" s="85">
        <v>0</v>
      </c>
      <c r="AY42" s="78">
        <v>40</v>
      </c>
      <c r="AZ42" s="85">
        <v>0</v>
      </c>
      <c r="BA42" s="85">
        <v>0</v>
      </c>
      <c r="BB42" s="85">
        <v>0</v>
      </c>
      <c r="BC42" s="85">
        <v>0</v>
      </c>
      <c r="BD42" s="85">
        <v>0</v>
      </c>
      <c r="BF42" s="78">
        <v>40</v>
      </c>
      <c r="BG42" s="85">
        <v>0</v>
      </c>
      <c r="BH42" s="85">
        <v>0</v>
      </c>
      <c r="BI42" s="85">
        <v>0</v>
      </c>
      <c r="BJ42" s="85">
        <v>0</v>
      </c>
      <c r="BK42" s="86">
        <v>1</v>
      </c>
      <c r="BM42" s="77"/>
      <c r="BN42" s="78">
        <v>40</v>
      </c>
      <c r="BO42" s="85">
        <f t="shared" si="5"/>
        <v>0</v>
      </c>
      <c r="BP42" s="85">
        <f t="shared" si="5"/>
        <v>0</v>
      </c>
      <c r="BQ42" s="85">
        <f t="shared" si="5"/>
        <v>0</v>
      </c>
      <c r="BR42" s="85">
        <f t="shared" si="5"/>
        <v>0</v>
      </c>
      <c r="BS42" s="85">
        <f t="shared" si="5"/>
        <v>1</v>
      </c>
      <c r="BU42" s="78">
        <v>40</v>
      </c>
      <c r="BV42" s="85">
        <f t="shared" si="6"/>
        <v>0</v>
      </c>
      <c r="BW42" s="85">
        <f t="shared" si="6"/>
        <v>0</v>
      </c>
      <c r="BX42" s="85">
        <f t="shared" si="6"/>
        <v>0</v>
      </c>
      <c r="BY42" s="85">
        <f t="shared" si="6"/>
        <v>0</v>
      </c>
      <c r="BZ42" s="85">
        <f t="shared" si="6"/>
        <v>4</v>
      </c>
      <c r="CB42" s="78">
        <v>40</v>
      </c>
      <c r="CC42" s="78">
        <f t="shared" si="7"/>
        <v>0</v>
      </c>
      <c r="CD42" s="78">
        <f t="shared" si="7"/>
        <v>0</v>
      </c>
      <c r="CE42" s="78">
        <f t="shared" si="7"/>
        <v>0</v>
      </c>
      <c r="CF42" s="78">
        <f t="shared" si="7"/>
        <v>0</v>
      </c>
      <c r="CG42" s="80">
        <f t="shared" si="7"/>
        <v>2.6390158215457884</v>
      </c>
    </row>
    <row r="43" spans="1:85" x14ac:dyDescent="0.3">
      <c r="A43" s="81">
        <v>41</v>
      </c>
      <c r="B43" s="82">
        <v>7</v>
      </c>
      <c r="C43" s="83"/>
      <c r="D43" s="78">
        <v>41</v>
      </c>
      <c r="E43" s="82">
        <v>7</v>
      </c>
      <c r="F43" s="83"/>
      <c r="G43" s="78">
        <v>41</v>
      </c>
      <c r="H43" s="82">
        <v>8</v>
      </c>
      <c r="I43" s="83"/>
      <c r="J43" s="78">
        <v>41</v>
      </c>
      <c r="K43" s="82">
        <v>4</v>
      </c>
      <c r="L43" s="82"/>
      <c r="M43" s="78">
        <v>41</v>
      </c>
      <c r="N43" s="84">
        <v>0.8</v>
      </c>
      <c r="O43" s="84"/>
      <c r="P43" s="78">
        <v>41</v>
      </c>
      <c r="Q43" s="82">
        <v>2</v>
      </c>
      <c r="R43" s="82"/>
      <c r="S43" s="78">
        <v>41</v>
      </c>
      <c r="T43" s="82">
        <v>15</v>
      </c>
      <c r="V43" s="78">
        <v>41</v>
      </c>
      <c r="W43" s="85">
        <f t="shared" si="0"/>
        <v>4</v>
      </c>
      <c r="X43" s="85">
        <f t="shared" si="1"/>
        <v>3</v>
      </c>
      <c r="Y43" s="85">
        <f t="shared" si="2"/>
        <v>3</v>
      </c>
      <c r="Z43" s="85">
        <f t="shared" si="3"/>
        <v>3</v>
      </c>
      <c r="AA43" s="85">
        <f t="shared" si="4"/>
        <v>3</v>
      </c>
      <c r="AB43" s="79"/>
      <c r="AG43" s="78"/>
      <c r="AI43" s="77"/>
      <c r="AK43" s="78">
        <v>41</v>
      </c>
      <c r="AL43" s="85">
        <v>1</v>
      </c>
      <c r="AM43" s="85">
        <v>0</v>
      </c>
      <c r="AN43" s="85">
        <v>0</v>
      </c>
      <c r="AO43" s="85">
        <v>0</v>
      </c>
      <c r="AP43" s="85">
        <v>0</v>
      </c>
      <c r="AR43" s="78">
        <v>41</v>
      </c>
      <c r="AS43" s="85">
        <v>0</v>
      </c>
      <c r="AT43" s="85">
        <v>0</v>
      </c>
      <c r="AU43" s="85">
        <v>0</v>
      </c>
      <c r="AV43" s="85">
        <v>0</v>
      </c>
      <c r="AW43" s="85">
        <v>0</v>
      </c>
      <c r="AY43" s="78">
        <v>41</v>
      </c>
      <c r="AZ43" s="85">
        <v>0</v>
      </c>
      <c r="BA43" s="85">
        <v>0</v>
      </c>
      <c r="BB43" s="85">
        <v>0</v>
      </c>
      <c r="BC43" s="85">
        <v>0</v>
      </c>
      <c r="BD43" s="85">
        <v>0</v>
      </c>
      <c r="BF43" s="78">
        <v>41</v>
      </c>
      <c r="BG43" s="85">
        <v>0</v>
      </c>
      <c r="BH43" s="85">
        <v>0</v>
      </c>
      <c r="BI43" s="85">
        <v>0</v>
      </c>
      <c r="BJ43" s="85">
        <v>0</v>
      </c>
      <c r="BK43" s="86">
        <v>0</v>
      </c>
      <c r="BM43" s="77"/>
      <c r="BN43" s="78">
        <v>41</v>
      </c>
      <c r="BO43" s="85">
        <f t="shared" si="5"/>
        <v>1</v>
      </c>
      <c r="BP43" s="85">
        <f t="shared" si="5"/>
        <v>0</v>
      </c>
      <c r="BQ43" s="85">
        <f t="shared" si="5"/>
        <v>0</v>
      </c>
      <c r="BR43" s="85">
        <f t="shared" si="5"/>
        <v>0</v>
      </c>
      <c r="BS43" s="85">
        <f t="shared" si="5"/>
        <v>0</v>
      </c>
      <c r="BU43" s="78">
        <v>41</v>
      </c>
      <c r="BV43" s="85">
        <f t="shared" si="6"/>
        <v>1</v>
      </c>
      <c r="BW43" s="85">
        <f t="shared" si="6"/>
        <v>0</v>
      </c>
      <c r="BX43" s="85">
        <f t="shared" si="6"/>
        <v>0</v>
      </c>
      <c r="BY43" s="85">
        <f t="shared" si="6"/>
        <v>0</v>
      </c>
      <c r="BZ43" s="85">
        <f t="shared" si="6"/>
        <v>0</v>
      </c>
      <c r="CB43" s="78">
        <v>41</v>
      </c>
      <c r="CC43" s="78">
        <f t="shared" si="7"/>
        <v>1</v>
      </c>
      <c r="CD43" s="78">
        <f t="shared" si="7"/>
        <v>0</v>
      </c>
      <c r="CE43" s="78">
        <f t="shared" si="7"/>
        <v>0</v>
      </c>
      <c r="CF43" s="78">
        <f t="shared" si="7"/>
        <v>0</v>
      </c>
      <c r="CG43" s="80">
        <f t="shared" si="7"/>
        <v>0</v>
      </c>
    </row>
    <row r="44" spans="1:85" x14ac:dyDescent="0.3">
      <c r="A44" s="81">
        <v>42</v>
      </c>
      <c r="B44" s="82">
        <v>7</v>
      </c>
      <c r="C44" s="83"/>
      <c r="D44" s="78">
        <v>42</v>
      </c>
      <c r="E44" s="82">
        <v>5</v>
      </c>
      <c r="F44" s="83"/>
      <c r="G44" s="78">
        <v>42</v>
      </c>
      <c r="H44" s="82">
        <v>2</v>
      </c>
      <c r="I44" s="83"/>
      <c r="J44" s="78">
        <v>42</v>
      </c>
      <c r="K44" s="82">
        <v>13</v>
      </c>
      <c r="L44" s="82"/>
      <c r="M44" s="78">
        <v>42</v>
      </c>
      <c r="N44" s="84">
        <v>0.8</v>
      </c>
      <c r="O44" s="84"/>
      <c r="P44" s="78">
        <v>42</v>
      </c>
      <c r="Q44" s="82">
        <v>3</v>
      </c>
      <c r="R44" s="82"/>
      <c r="S44" s="78">
        <v>42</v>
      </c>
      <c r="T44" s="82">
        <v>23</v>
      </c>
      <c r="V44" s="78">
        <v>42</v>
      </c>
      <c r="W44" s="85">
        <f t="shared" si="0"/>
        <v>17</v>
      </c>
      <c r="X44" s="85">
        <f t="shared" si="1"/>
        <v>15</v>
      </c>
      <c r="Y44" s="85">
        <f t="shared" si="2"/>
        <v>13</v>
      </c>
      <c r="Z44" s="85">
        <f t="shared" si="3"/>
        <v>13</v>
      </c>
      <c r="AA44" s="85">
        <f t="shared" si="4"/>
        <v>14</v>
      </c>
      <c r="AB44" s="79"/>
      <c r="AG44" s="78"/>
      <c r="AI44" s="77"/>
      <c r="AK44" s="78">
        <v>42</v>
      </c>
      <c r="AL44" s="85">
        <v>0</v>
      </c>
      <c r="AM44" s="85">
        <v>0</v>
      </c>
      <c r="AN44" s="85">
        <v>1</v>
      </c>
      <c r="AO44" s="85">
        <v>0</v>
      </c>
      <c r="AP44" s="85">
        <v>0</v>
      </c>
      <c r="AR44" s="78">
        <v>42</v>
      </c>
      <c r="AS44" s="85">
        <v>0</v>
      </c>
      <c r="AT44" s="85">
        <v>0</v>
      </c>
      <c r="AU44" s="85">
        <v>0</v>
      </c>
      <c r="AV44" s="85">
        <v>0</v>
      </c>
      <c r="AW44" s="85">
        <v>0</v>
      </c>
      <c r="AY44" s="78">
        <v>42</v>
      </c>
      <c r="AZ44" s="85">
        <v>0</v>
      </c>
      <c r="BA44" s="85">
        <v>0</v>
      </c>
      <c r="BB44" s="85">
        <v>0</v>
      </c>
      <c r="BC44" s="85">
        <v>0</v>
      </c>
      <c r="BD44" s="85">
        <v>0</v>
      </c>
      <c r="BF44" s="78">
        <v>42</v>
      </c>
      <c r="BG44" s="85">
        <v>0</v>
      </c>
      <c r="BH44" s="85">
        <v>0</v>
      </c>
      <c r="BI44" s="85">
        <v>0</v>
      </c>
      <c r="BJ44" s="85">
        <v>0</v>
      </c>
      <c r="BK44" s="86">
        <v>0</v>
      </c>
      <c r="BM44" s="77"/>
      <c r="BN44" s="78">
        <v>42</v>
      </c>
      <c r="BO44" s="85">
        <f t="shared" si="5"/>
        <v>0</v>
      </c>
      <c r="BP44" s="85">
        <f t="shared" si="5"/>
        <v>0</v>
      </c>
      <c r="BQ44" s="85">
        <f t="shared" si="5"/>
        <v>1</v>
      </c>
      <c r="BR44" s="85">
        <f t="shared" si="5"/>
        <v>0</v>
      </c>
      <c r="BS44" s="85">
        <f t="shared" si="5"/>
        <v>0</v>
      </c>
      <c r="BU44" s="78">
        <v>42</v>
      </c>
      <c r="BV44" s="85">
        <f t="shared" si="6"/>
        <v>0</v>
      </c>
      <c r="BW44" s="85">
        <f t="shared" si="6"/>
        <v>0</v>
      </c>
      <c r="BX44" s="85">
        <f t="shared" si="6"/>
        <v>1</v>
      </c>
      <c r="BY44" s="85">
        <f t="shared" si="6"/>
        <v>0</v>
      </c>
      <c r="BZ44" s="85">
        <f t="shared" si="6"/>
        <v>0</v>
      </c>
      <c r="CB44" s="78">
        <v>42</v>
      </c>
      <c r="CC44" s="78">
        <f t="shared" si="7"/>
        <v>0</v>
      </c>
      <c r="CD44" s="78">
        <f t="shared" si="7"/>
        <v>0</v>
      </c>
      <c r="CE44" s="78">
        <f t="shared" si="7"/>
        <v>1</v>
      </c>
      <c r="CF44" s="78">
        <f t="shared" si="7"/>
        <v>0</v>
      </c>
      <c r="CG44" s="80">
        <f t="shared" si="7"/>
        <v>0</v>
      </c>
    </row>
    <row r="45" spans="1:85" x14ac:dyDescent="0.3">
      <c r="A45" s="81">
        <v>43</v>
      </c>
      <c r="B45" s="82">
        <v>10</v>
      </c>
      <c r="C45" s="83"/>
      <c r="D45" s="78">
        <v>43</v>
      </c>
      <c r="E45" s="82">
        <v>7</v>
      </c>
      <c r="F45" s="83"/>
      <c r="G45" s="78">
        <v>43</v>
      </c>
      <c r="H45" s="82">
        <v>6</v>
      </c>
      <c r="I45" s="83"/>
      <c r="J45" s="78">
        <v>43</v>
      </c>
      <c r="K45" s="82">
        <v>13</v>
      </c>
      <c r="L45" s="82"/>
      <c r="M45" s="78">
        <v>43</v>
      </c>
      <c r="N45" s="84">
        <v>0.9</v>
      </c>
      <c r="O45" s="84"/>
      <c r="P45" s="78">
        <v>43</v>
      </c>
      <c r="Q45" s="82">
        <v>1</v>
      </c>
      <c r="R45" s="82"/>
      <c r="S45" s="78">
        <v>43</v>
      </c>
      <c r="T45" s="82">
        <v>24</v>
      </c>
      <c r="V45" s="78">
        <v>43</v>
      </c>
      <c r="W45" s="85">
        <f t="shared" si="0"/>
        <v>5</v>
      </c>
      <c r="X45" s="85">
        <f t="shared" si="1"/>
        <v>5</v>
      </c>
      <c r="Y45" s="85">
        <f t="shared" si="2"/>
        <v>4</v>
      </c>
      <c r="Z45" s="85">
        <f t="shared" si="3"/>
        <v>4</v>
      </c>
      <c r="AA45" s="85">
        <f t="shared" si="4"/>
        <v>4</v>
      </c>
      <c r="AB45" s="79"/>
      <c r="AG45" s="78"/>
      <c r="AI45" s="77"/>
      <c r="AK45" s="78">
        <v>43</v>
      </c>
      <c r="AL45" s="85">
        <v>0</v>
      </c>
      <c r="AM45" s="85">
        <v>0</v>
      </c>
      <c r="AN45" s="85">
        <v>0</v>
      </c>
      <c r="AO45" s="85">
        <v>0</v>
      </c>
      <c r="AP45" s="85">
        <v>0</v>
      </c>
      <c r="AR45" s="78">
        <v>43</v>
      </c>
      <c r="AS45" s="85">
        <v>0</v>
      </c>
      <c r="AT45" s="85">
        <v>0</v>
      </c>
      <c r="AU45" s="85">
        <v>0</v>
      </c>
      <c r="AV45" s="85">
        <v>0</v>
      </c>
      <c r="AW45" s="85">
        <v>0</v>
      </c>
      <c r="AY45" s="78">
        <v>43</v>
      </c>
      <c r="AZ45" s="85">
        <v>0</v>
      </c>
      <c r="BA45" s="85">
        <v>0</v>
      </c>
      <c r="BB45" s="85">
        <v>0</v>
      </c>
      <c r="BC45" s="85">
        <v>0</v>
      </c>
      <c r="BD45" s="85">
        <v>0</v>
      </c>
      <c r="BF45" s="78">
        <v>43</v>
      </c>
      <c r="BG45" s="85">
        <v>0</v>
      </c>
      <c r="BH45" s="85">
        <v>0</v>
      </c>
      <c r="BI45" s="85">
        <v>1</v>
      </c>
      <c r="BJ45" s="85">
        <v>0</v>
      </c>
      <c r="BK45" s="86">
        <v>0</v>
      </c>
      <c r="BM45" s="77"/>
      <c r="BN45" s="78">
        <v>43</v>
      </c>
      <c r="BO45" s="85">
        <f t="shared" si="5"/>
        <v>0</v>
      </c>
      <c r="BP45" s="85">
        <f t="shared" si="5"/>
        <v>0</v>
      </c>
      <c r="BQ45" s="85">
        <f t="shared" si="5"/>
        <v>1</v>
      </c>
      <c r="BR45" s="85">
        <f t="shared" si="5"/>
        <v>0</v>
      </c>
      <c r="BS45" s="85">
        <f t="shared" si="5"/>
        <v>0</v>
      </c>
      <c r="BU45" s="78">
        <v>43</v>
      </c>
      <c r="BV45" s="85">
        <f t="shared" si="6"/>
        <v>0</v>
      </c>
      <c r="BW45" s="85">
        <f t="shared" si="6"/>
        <v>0</v>
      </c>
      <c r="BX45" s="85">
        <f t="shared" si="6"/>
        <v>4</v>
      </c>
      <c r="BY45" s="85">
        <f t="shared" si="6"/>
        <v>0</v>
      </c>
      <c r="BZ45" s="85">
        <f t="shared" si="6"/>
        <v>0</v>
      </c>
      <c r="CB45" s="78">
        <v>43</v>
      </c>
      <c r="CC45" s="78">
        <f t="shared" si="7"/>
        <v>0</v>
      </c>
      <c r="CD45" s="78">
        <f t="shared" si="7"/>
        <v>0</v>
      </c>
      <c r="CE45" s="78">
        <f t="shared" si="7"/>
        <v>3.4822022531844965</v>
      </c>
      <c r="CF45" s="78">
        <f t="shared" si="7"/>
        <v>0</v>
      </c>
      <c r="CG45" s="80">
        <f t="shared" si="7"/>
        <v>0</v>
      </c>
    </row>
    <row r="46" spans="1:85" x14ac:dyDescent="0.3">
      <c r="A46" s="81">
        <v>44</v>
      </c>
      <c r="B46" s="82">
        <v>13</v>
      </c>
      <c r="C46" s="83"/>
      <c r="D46" s="78">
        <v>44</v>
      </c>
      <c r="E46" s="82">
        <v>6</v>
      </c>
      <c r="F46" s="83"/>
      <c r="G46" s="78">
        <v>44</v>
      </c>
      <c r="H46" s="82">
        <v>6</v>
      </c>
      <c r="I46" s="83"/>
      <c r="J46" s="78">
        <v>44</v>
      </c>
      <c r="K46" s="82">
        <v>4</v>
      </c>
      <c r="L46" s="82"/>
      <c r="M46" s="78">
        <v>44</v>
      </c>
      <c r="N46" s="84">
        <v>0.8</v>
      </c>
      <c r="O46" s="84"/>
      <c r="P46" s="78">
        <v>44</v>
      </c>
      <c r="Q46" s="82">
        <v>5</v>
      </c>
      <c r="R46" s="82"/>
      <c r="S46" s="78">
        <v>44</v>
      </c>
      <c r="T46" s="82">
        <v>20</v>
      </c>
      <c r="V46" s="78">
        <v>44</v>
      </c>
      <c r="W46" s="85">
        <f t="shared" si="0"/>
        <v>5</v>
      </c>
      <c r="X46" s="85">
        <f t="shared" si="1"/>
        <v>5</v>
      </c>
      <c r="Y46" s="85">
        <f t="shared" si="2"/>
        <v>4</v>
      </c>
      <c r="Z46" s="85">
        <f t="shared" si="3"/>
        <v>4</v>
      </c>
      <c r="AA46" s="85">
        <f t="shared" si="4"/>
        <v>4</v>
      </c>
      <c r="AB46" s="79"/>
      <c r="AG46" s="78"/>
      <c r="AI46" s="77"/>
      <c r="AK46" s="78">
        <v>44</v>
      </c>
      <c r="AL46" s="85">
        <v>0</v>
      </c>
      <c r="AM46" s="85">
        <v>0</v>
      </c>
      <c r="AN46" s="85">
        <v>0</v>
      </c>
      <c r="AO46" s="85">
        <v>0</v>
      </c>
      <c r="AP46" s="85">
        <v>0</v>
      </c>
      <c r="AR46" s="78">
        <v>44</v>
      </c>
      <c r="AS46" s="85">
        <v>0</v>
      </c>
      <c r="AT46" s="85">
        <v>0</v>
      </c>
      <c r="AU46" s="85">
        <v>0</v>
      </c>
      <c r="AV46" s="85">
        <v>0</v>
      </c>
      <c r="AW46" s="85">
        <v>0</v>
      </c>
      <c r="AY46" s="78">
        <v>44</v>
      </c>
      <c r="AZ46" s="85">
        <v>0</v>
      </c>
      <c r="BA46" s="85">
        <v>0</v>
      </c>
      <c r="BB46" s="85">
        <v>0</v>
      </c>
      <c r="BC46" s="85">
        <v>0</v>
      </c>
      <c r="BD46" s="85">
        <v>1</v>
      </c>
      <c r="BF46" s="78">
        <v>44</v>
      </c>
      <c r="BG46" s="85">
        <v>0</v>
      </c>
      <c r="BH46" s="85">
        <v>0</v>
      </c>
      <c r="BI46" s="85">
        <v>0</v>
      </c>
      <c r="BJ46" s="85">
        <v>0</v>
      </c>
      <c r="BK46" s="86">
        <v>0</v>
      </c>
      <c r="BM46" s="77"/>
      <c r="BN46" s="78">
        <v>44</v>
      </c>
      <c r="BO46" s="85">
        <f t="shared" si="5"/>
        <v>0</v>
      </c>
      <c r="BP46" s="85">
        <f t="shared" si="5"/>
        <v>0</v>
      </c>
      <c r="BQ46" s="85">
        <f t="shared" si="5"/>
        <v>0</v>
      </c>
      <c r="BR46" s="85">
        <f t="shared" si="5"/>
        <v>0</v>
      </c>
      <c r="BS46" s="85">
        <f t="shared" si="5"/>
        <v>1</v>
      </c>
      <c r="BU46" s="78">
        <v>44</v>
      </c>
      <c r="BV46" s="85">
        <f t="shared" si="6"/>
        <v>0</v>
      </c>
      <c r="BW46" s="85">
        <f t="shared" si="6"/>
        <v>0</v>
      </c>
      <c r="BX46" s="85">
        <f t="shared" si="6"/>
        <v>0</v>
      </c>
      <c r="BY46" s="85">
        <f t="shared" si="6"/>
        <v>0</v>
      </c>
      <c r="BZ46" s="85">
        <f t="shared" si="6"/>
        <v>3</v>
      </c>
      <c r="CB46" s="78">
        <v>44</v>
      </c>
      <c r="CC46" s="78">
        <f t="shared" si="7"/>
        <v>0</v>
      </c>
      <c r="CD46" s="78">
        <f t="shared" si="7"/>
        <v>0</v>
      </c>
      <c r="CE46" s="78">
        <f t="shared" si="7"/>
        <v>0</v>
      </c>
      <c r="CF46" s="78">
        <f t="shared" si="7"/>
        <v>0</v>
      </c>
      <c r="CG46" s="80">
        <f t="shared" si="7"/>
        <v>2.4082246852806923</v>
      </c>
    </row>
    <row r="47" spans="1:85" x14ac:dyDescent="0.3">
      <c r="A47" s="81">
        <v>45</v>
      </c>
      <c r="B47" s="82">
        <v>15</v>
      </c>
      <c r="C47" s="83"/>
      <c r="D47" s="78">
        <v>45</v>
      </c>
      <c r="E47" s="82">
        <v>6</v>
      </c>
      <c r="F47" s="83"/>
      <c r="G47" s="78">
        <v>45</v>
      </c>
      <c r="H47" s="82">
        <v>4</v>
      </c>
      <c r="I47" s="83"/>
      <c r="J47" s="78">
        <v>45</v>
      </c>
      <c r="K47" s="82">
        <v>12</v>
      </c>
      <c r="L47" s="82"/>
      <c r="M47" s="78">
        <v>45</v>
      </c>
      <c r="N47" s="84">
        <v>0.7</v>
      </c>
      <c r="O47" s="84"/>
      <c r="P47" s="78">
        <v>45</v>
      </c>
      <c r="Q47" s="82">
        <v>4</v>
      </c>
      <c r="R47" s="82"/>
      <c r="S47" s="78">
        <v>45</v>
      </c>
      <c r="T47" s="82">
        <v>20</v>
      </c>
      <c r="V47" s="78">
        <v>45</v>
      </c>
      <c r="W47" s="85">
        <f t="shared" si="0"/>
        <v>8</v>
      </c>
      <c r="X47" s="85">
        <f t="shared" si="1"/>
        <v>7</v>
      </c>
      <c r="Y47" s="85">
        <f t="shared" si="2"/>
        <v>6</v>
      </c>
      <c r="Z47" s="85">
        <f t="shared" si="3"/>
        <v>6</v>
      </c>
      <c r="AA47" s="85">
        <f t="shared" si="4"/>
        <v>7</v>
      </c>
      <c r="AB47" s="79"/>
      <c r="AG47" s="78"/>
      <c r="AI47" s="77"/>
      <c r="AK47" s="78">
        <v>45</v>
      </c>
      <c r="AL47" s="85">
        <v>0</v>
      </c>
      <c r="AM47" s="85">
        <v>0</v>
      </c>
      <c r="AN47" s="85">
        <v>0</v>
      </c>
      <c r="AO47" s="85">
        <v>0</v>
      </c>
      <c r="AP47" s="85">
        <v>0</v>
      </c>
      <c r="AR47" s="78">
        <v>45</v>
      </c>
      <c r="AS47" s="85">
        <v>0</v>
      </c>
      <c r="AT47" s="85">
        <v>0</v>
      </c>
      <c r="AU47" s="85">
        <v>0</v>
      </c>
      <c r="AV47" s="85">
        <v>0</v>
      </c>
      <c r="AW47" s="85">
        <v>0</v>
      </c>
      <c r="AY47" s="78">
        <v>45</v>
      </c>
      <c r="AZ47" s="85">
        <v>0</v>
      </c>
      <c r="BA47" s="85">
        <v>0</v>
      </c>
      <c r="BB47" s="85">
        <v>0</v>
      </c>
      <c r="BC47" s="85">
        <v>1</v>
      </c>
      <c r="BD47" s="85">
        <v>0</v>
      </c>
      <c r="BF47" s="78">
        <v>45</v>
      </c>
      <c r="BG47" s="85">
        <v>0</v>
      </c>
      <c r="BH47" s="85">
        <v>0</v>
      </c>
      <c r="BI47" s="85">
        <v>0</v>
      </c>
      <c r="BJ47" s="85">
        <v>0</v>
      </c>
      <c r="BK47" s="86">
        <v>0</v>
      </c>
      <c r="BM47" s="77"/>
      <c r="BN47" s="78">
        <v>45</v>
      </c>
      <c r="BO47" s="85">
        <f t="shared" si="5"/>
        <v>0</v>
      </c>
      <c r="BP47" s="85">
        <f t="shared" si="5"/>
        <v>0</v>
      </c>
      <c r="BQ47" s="85">
        <f t="shared" si="5"/>
        <v>0</v>
      </c>
      <c r="BR47" s="85">
        <f t="shared" si="5"/>
        <v>1</v>
      </c>
      <c r="BS47" s="85">
        <f t="shared" si="5"/>
        <v>0</v>
      </c>
      <c r="BU47" s="78">
        <v>45</v>
      </c>
      <c r="BV47" s="85">
        <f t="shared" si="6"/>
        <v>0</v>
      </c>
      <c r="BW47" s="85">
        <f t="shared" si="6"/>
        <v>0</v>
      </c>
      <c r="BX47" s="85">
        <f t="shared" si="6"/>
        <v>0</v>
      </c>
      <c r="BY47" s="85">
        <f t="shared" si="6"/>
        <v>3</v>
      </c>
      <c r="BZ47" s="85">
        <f t="shared" si="6"/>
        <v>0</v>
      </c>
      <c r="CB47" s="78">
        <v>45</v>
      </c>
      <c r="CC47" s="78">
        <f t="shared" si="7"/>
        <v>0</v>
      </c>
      <c r="CD47" s="78">
        <f t="shared" si="7"/>
        <v>0</v>
      </c>
      <c r="CE47" s="78">
        <f t="shared" si="7"/>
        <v>0</v>
      </c>
      <c r="CF47" s="78">
        <f t="shared" si="7"/>
        <v>2.1576692799745931</v>
      </c>
      <c r="CG47" s="80">
        <f t="shared" si="7"/>
        <v>0</v>
      </c>
    </row>
    <row r="48" spans="1:85" x14ac:dyDescent="0.3">
      <c r="A48" s="81">
        <v>46</v>
      </c>
      <c r="B48" s="82">
        <v>11</v>
      </c>
      <c r="C48" s="83"/>
      <c r="D48" s="78">
        <v>46</v>
      </c>
      <c r="E48" s="82">
        <v>6</v>
      </c>
      <c r="F48" s="83"/>
      <c r="G48" s="78">
        <v>46</v>
      </c>
      <c r="H48" s="82">
        <v>8</v>
      </c>
      <c r="I48" s="83"/>
      <c r="J48" s="78">
        <v>46</v>
      </c>
      <c r="K48" s="82">
        <v>5</v>
      </c>
      <c r="L48" s="82"/>
      <c r="M48" s="78">
        <v>46</v>
      </c>
      <c r="N48" s="84">
        <v>0.3</v>
      </c>
      <c r="O48" s="84"/>
      <c r="P48" s="78">
        <v>46</v>
      </c>
      <c r="Q48" s="82">
        <v>1</v>
      </c>
      <c r="R48" s="82"/>
      <c r="S48" s="78">
        <v>46</v>
      </c>
      <c r="T48" s="82">
        <v>21</v>
      </c>
      <c r="V48" s="78">
        <v>46</v>
      </c>
      <c r="W48" s="85">
        <f t="shared" si="0"/>
        <v>4</v>
      </c>
      <c r="X48" s="85">
        <f t="shared" si="1"/>
        <v>3</v>
      </c>
      <c r="Y48" s="85">
        <f t="shared" si="2"/>
        <v>3</v>
      </c>
      <c r="Z48" s="85">
        <f t="shared" si="3"/>
        <v>3</v>
      </c>
      <c r="AA48" s="85">
        <f t="shared" si="4"/>
        <v>3</v>
      </c>
      <c r="AB48" s="79"/>
      <c r="AG48" s="78"/>
      <c r="AI48" s="77"/>
      <c r="AK48" s="78">
        <v>46</v>
      </c>
      <c r="AL48" s="85">
        <v>0</v>
      </c>
      <c r="AM48" s="85">
        <v>0</v>
      </c>
      <c r="AN48" s="85">
        <v>0</v>
      </c>
      <c r="AO48" s="85">
        <v>0</v>
      </c>
      <c r="AP48" s="85">
        <v>0</v>
      </c>
      <c r="AR48" s="78">
        <v>46</v>
      </c>
      <c r="AS48" s="85">
        <v>0</v>
      </c>
      <c r="AT48" s="85">
        <v>0</v>
      </c>
      <c r="AU48" s="85">
        <v>0</v>
      </c>
      <c r="AV48" s="85">
        <v>0</v>
      </c>
      <c r="AW48" s="85">
        <v>0</v>
      </c>
      <c r="AY48" s="78">
        <v>46</v>
      </c>
      <c r="AZ48" s="85">
        <v>0</v>
      </c>
      <c r="BA48" s="85">
        <v>0</v>
      </c>
      <c r="BB48" s="85">
        <v>0</v>
      </c>
      <c r="BC48" s="85">
        <v>0</v>
      </c>
      <c r="BD48" s="85">
        <v>0</v>
      </c>
      <c r="BF48" s="78">
        <v>46</v>
      </c>
      <c r="BG48" s="85">
        <v>0</v>
      </c>
      <c r="BH48" s="85">
        <v>0</v>
      </c>
      <c r="BI48" s="85">
        <v>0</v>
      </c>
      <c r="BJ48" s="85">
        <v>0</v>
      </c>
      <c r="BK48" s="86">
        <v>0</v>
      </c>
      <c r="BM48" s="77"/>
      <c r="BN48" s="78">
        <v>46</v>
      </c>
      <c r="BO48" s="85">
        <f t="shared" si="5"/>
        <v>0</v>
      </c>
      <c r="BP48" s="85">
        <f t="shared" si="5"/>
        <v>0</v>
      </c>
      <c r="BQ48" s="85">
        <f t="shared" si="5"/>
        <v>0</v>
      </c>
      <c r="BR48" s="85">
        <f t="shared" si="5"/>
        <v>0</v>
      </c>
      <c r="BS48" s="85">
        <f t="shared" si="5"/>
        <v>0</v>
      </c>
      <c r="BU48" s="78">
        <v>46</v>
      </c>
      <c r="BV48" s="85">
        <f t="shared" si="6"/>
        <v>0</v>
      </c>
      <c r="BW48" s="85">
        <f t="shared" si="6"/>
        <v>0</v>
      </c>
      <c r="BX48" s="85">
        <f t="shared" si="6"/>
        <v>0</v>
      </c>
      <c r="BY48" s="85">
        <f t="shared" si="6"/>
        <v>0</v>
      </c>
      <c r="BZ48" s="85">
        <f t="shared" si="6"/>
        <v>0</v>
      </c>
      <c r="CB48" s="78">
        <v>46</v>
      </c>
      <c r="CC48" s="78">
        <f t="shared" si="7"/>
        <v>0</v>
      </c>
      <c r="CD48" s="78">
        <f t="shared" si="7"/>
        <v>0</v>
      </c>
      <c r="CE48" s="78">
        <f t="shared" si="7"/>
        <v>0</v>
      </c>
      <c r="CF48" s="78">
        <f t="shared" si="7"/>
        <v>0</v>
      </c>
      <c r="CG48" s="80">
        <f t="shared" si="7"/>
        <v>0</v>
      </c>
    </row>
    <row r="49" spans="1:85" x14ac:dyDescent="0.3">
      <c r="A49" s="81">
        <v>47</v>
      </c>
      <c r="B49" s="82">
        <v>13</v>
      </c>
      <c r="C49" s="83"/>
      <c r="D49" s="78">
        <v>47</v>
      </c>
      <c r="E49" s="82">
        <v>5</v>
      </c>
      <c r="F49" s="83"/>
      <c r="G49" s="78">
        <v>47</v>
      </c>
      <c r="H49" s="82">
        <v>3</v>
      </c>
      <c r="I49" s="83"/>
      <c r="J49" s="78">
        <v>47</v>
      </c>
      <c r="K49" s="82">
        <v>8</v>
      </c>
      <c r="L49" s="82"/>
      <c r="M49" s="78">
        <v>47</v>
      </c>
      <c r="N49" s="84">
        <v>0.5</v>
      </c>
      <c r="O49" s="84"/>
      <c r="P49" s="78">
        <v>47</v>
      </c>
      <c r="Q49" s="82">
        <v>1</v>
      </c>
      <c r="R49" s="82"/>
      <c r="S49" s="78">
        <v>47</v>
      </c>
      <c r="T49" s="82">
        <v>21</v>
      </c>
      <c r="V49" s="78">
        <v>47</v>
      </c>
      <c r="W49" s="85">
        <f t="shared" si="0"/>
        <v>11</v>
      </c>
      <c r="X49" s="85">
        <f t="shared" si="1"/>
        <v>10</v>
      </c>
      <c r="Y49" s="85">
        <f t="shared" si="2"/>
        <v>8</v>
      </c>
      <c r="Z49" s="85">
        <f t="shared" si="3"/>
        <v>9</v>
      </c>
      <c r="AA49" s="85">
        <f t="shared" si="4"/>
        <v>9</v>
      </c>
      <c r="AB49" s="79"/>
      <c r="AG49" s="78"/>
      <c r="AI49" s="77"/>
      <c r="AK49" s="78">
        <v>47</v>
      </c>
      <c r="AL49" s="85">
        <v>1</v>
      </c>
      <c r="AM49" s="85">
        <v>0</v>
      </c>
      <c r="AN49" s="85">
        <v>0</v>
      </c>
      <c r="AO49" s="85">
        <v>0</v>
      </c>
      <c r="AP49" s="85">
        <v>0</v>
      </c>
      <c r="AR49" s="78">
        <v>47</v>
      </c>
      <c r="AS49" s="85">
        <v>0</v>
      </c>
      <c r="AT49" s="85">
        <v>0</v>
      </c>
      <c r="AU49" s="85">
        <v>0</v>
      </c>
      <c r="AV49" s="85">
        <v>0</v>
      </c>
      <c r="AW49" s="85">
        <v>0</v>
      </c>
      <c r="AY49" s="78">
        <v>47</v>
      </c>
      <c r="AZ49" s="85">
        <v>0</v>
      </c>
      <c r="BA49" s="85">
        <v>0</v>
      </c>
      <c r="BB49" s="85">
        <v>0</v>
      </c>
      <c r="BC49" s="85">
        <v>0</v>
      </c>
      <c r="BD49" s="85">
        <v>0</v>
      </c>
      <c r="BF49" s="78">
        <v>47</v>
      </c>
      <c r="BG49" s="85">
        <v>0</v>
      </c>
      <c r="BH49" s="85">
        <v>0</v>
      </c>
      <c r="BI49" s="85">
        <v>0</v>
      </c>
      <c r="BJ49" s="85">
        <v>0</v>
      </c>
      <c r="BK49" s="86">
        <v>0</v>
      </c>
      <c r="BM49" s="77"/>
      <c r="BN49" s="78">
        <v>47</v>
      </c>
      <c r="BO49" s="85">
        <f t="shared" si="5"/>
        <v>1</v>
      </c>
      <c r="BP49" s="85">
        <f t="shared" si="5"/>
        <v>0</v>
      </c>
      <c r="BQ49" s="85">
        <f t="shared" si="5"/>
        <v>0</v>
      </c>
      <c r="BR49" s="85">
        <f t="shared" si="5"/>
        <v>0</v>
      </c>
      <c r="BS49" s="85">
        <f t="shared" si="5"/>
        <v>0</v>
      </c>
      <c r="BU49" s="78">
        <v>47</v>
      </c>
      <c r="BV49" s="85">
        <f t="shared" si="6"/>
        <v>1</v>
      </c>
      <c r="BW49" s="85">
        <f t="shared" si="6"/>
        <v>0</v>
      </c>
      <c r="BX49" s="85">
        <f t="shared" si="6"/>
        <v>0</v>
      </c>
      <c r="BY49" s="85">
        <f t="shared" si="6"/>
        <v>0</v>
      </c>
      <c r="BZ49" s="85">
        <f t="shared" si="6"/>
        <v>0</v>
      </c>
      <c r="CB49" s="78">
        <v>47</v>
      </c>
      <c r="CC49" s="78">
        <f t="shared" si="7"/>
        <v>1</v>
      </c>
      <c r="CD49" s="78">
        <f t="shared" si="7"/>
        <v>0</v>
      </c>
      <c r="CE49" s="78">
        <f t="shared" si="7"/>
        <v>0</v>
      </c>
      <c r="CF49" s="78">
        <f t="shared" si="7"/>
        <v>0</v>
      </c>
      <c r="CG49" s="80">
        <f t="shared" si="7"/>
        <v>0</v>
      </c>
    </row>
    <row r="50" spans="1:85" x14ac:dyDescent="0.3">
      <c r="A50" s="81">
        <v>48</v>
      </c>
      <c r="B50" s="82">
        <v>14</v>
      </c>
      <c r="C50" s="83"/>
      <c r="D50" s="78">
        <v>48</v>
      </c>
      <c r="E50" s="82">
        <v>8</v>
      </c>
      <c r="F50" s="83"/>
      <c r="G50" s="78">
        <v>48</v>
      </c>
      <c r="H50" s="82">
        <v>8</v>
      </c>
      <c r="I50" s="83"/>
      <c r="J50" s="78">
        <v>48</v>
      </c>
      <c r="K50" s="82">
        <v>13</v>
      </c>
      <c r="L50" s="82"/>
      <c r="M50" s="78">
        <v>48</v>
      </c>
      <c r="N50" s="84">
        <v>0.7</v>
      </c>
      <c r="O50" s="84"/>
      <c r="P50" s="78">
        <v>48</v>
      </c>
      <c r="Q50" s="82">
        <v>4</v>
      </c>
      <c r="R50" s="82"/>
      <c r="S50" s="78">
        <v>48</v>
      </c>
      <c r="T50" s="82">
        <v>22</v>
      </c>
      <c r="V50" s="78">
        <v>48</v>
      </c>
      <c r="W50" s="85">
        <f t="shared" si="0"/>
        <v>4</v>
      </c>
      <c r="X50" s="85">
        <f t="shared" si="1"/>
        <v>3</v>
      </c>
      <c r="Y50" s="85">
        <f t="shared" si="2"/>
        <v>3</v>
      </c>
      <c r="Z50" s="85">
        <f t="shared" si="3"/>
        <v>3</v>
      </c>
      <c r="AA50" s="85">
        <f t="shared" si="4"/>
        <v>3</v>
      </c>
      <c r="AB50" s="79"/>
      <c r="AG50" s="78"/>
      <c r="AI50" s="77"/>
      <c r="AK50" s="78">
        <v>48</v>
      </c>
      <c r="AL50" s="85">
        <v>0</v>
      </c>
      <c r="AM50" s="85">
        <v>0</v>
      </c>
      <c r="AN50" s="85">
        <v>0</v>
      </c>
      <c r="AO50" s="85">
        <v>0</v>
      </c>
      <c r="AP50" s="85">
        <v>0</v>
      </c>
      <c r="AR50" s="78">
        <v>48</v>
      </c>
      <c r="AS50" s="85">
        <v>0</v>
      </c>
      <c r="AT50" s="85">
        <v>0</v>
      </c>
      <c r="AU50" s="85">
        <v>0</v>
      </c>
      <c r="AV50" s="85">
        <v>0</v>
      </c>
      <c r="AW50" s="85">
        <v>0</v>
      </c>
      <c r="AY50" s="78">
        <v>48</v>
      </c>
      <c r="AZ50" s="85">
        <v>0</v>
      </c>
      <c r="BA50" s="85">
        <v>0</v>
      </c>
      <c r="BB50" s="85">
        <v>0</v>
      </c>
      <c r="BC50" s="85">
        <v>0</v>
      </c>
      <c r="BD50" s="85">
        <v>0</v>
      </c>
      <c r="BF50" s="78">
        <v>48</v>
      </c>
      <c r="BG50" s="85">
        <v>0</v>
      </c>
      <c r="BH50" s="85">
        <v>1</v>
      </c>
      <c r="BI50" s="85">
        <v>0</v>
      </c>
      <c r="BJ50" s="85">
        <v>0</v>
      </c>
      <c r="BK50" s="86">
        <v>0</v>
      </c>
      <c r="BM50" s="77"/>
      <c r="BN50" s="78">
        <v>48</v>
      </c>
      <c r="BO50" s="85">
        <f t="shared" si="5"/>
        <v>0</v>
      </c>
      <c r="BP50" s="85">
        <f t="shared" si="5"/>
        <v>1</v>
      </c>
      <c r="BQ50" s="85">
        <f t="shared" si="5"/>
        <v>0</v>
      </c>
      <c r="BR50" s="85">
        <f t="shared" si="5"/>
        <v>0</v>
      </c>
      <c r="BS50" s="85">
        <f t="shared" si="5"/>
        <v>0</v>
      </c>
      <c r="BU50" s="78">
        <v>48</v>
      </c>
      <c r="BV50" s="85">
        <f t="shared" si="6"/>
        <v>0</v>
      </c>
      <c r="BW50" s="85">
        <f t="shared" si="6"/>
        <v>4</v>
      </c>
      <c r="BX50" s="85">
        <f t="shared" si="6"/>
        <v>0</v>
      </c>
      <c r="BY50" s="85">
        <f t="shared" si="6"/>
        <v>0</v>
      </c>
      <c r="BZ50" s="85">
        <f t="shared" si="6"/>
        <v>0</v>
      </c>
      <c r="CB50" s="78">
        <v>48</v>
      </c>
      <c r="CC50" s="78">
        <f t="shared" si="7"/>
        <v>0</v>
      </c>
      <c r="CD50" s="78">
        <f t="shared" si="7"/>
        <v>2.6390158215457884</v>
      </c>
      <c r="CE50" s="78">
        <f t="shared" si="7"/>
        <v>0</v>
      </c>
      <c r="CF50" s="78">
        <f t="shared" si="7"/>
        <v>0</v>
      </c>
      <c r="CG50" s="80">
        <f t="shared" si="7"/>
        <v>0</v>
      </c>
    </row>
    <row r="51" spans="1:85" x14ac:dyDescent="0.3">
      <c r="A51" s="81">
        <v>49</v>
      </c>
      <c r="B51" s="82">
        <v>14</v>
      </c>
      <c r="C51" s="83"/>
      <c r="D51" s="78">
        <v>49</v>
      </c>
      <c r="E51" s="82">
        <v>9</v>
      </c>
      <c r="F51" s="83"/>
      <c r="G51" s="78">
        <v>49</v>
      </c>
      <c r="H51" s="82">
        <v>4</v>
      </c>
      <c r="I51" s="83"/>
      <c r="J51" s="78">
        <v>49</v>
      </c>
      <c r="K51" s="82">
        <v>6</v>
      </c>
      <c r="L51" s="82"/>
      <c r="M51" s="78">
        <v>49</v>
      </c>
      <c r="N51" s="84">
        <v>0.3</v>
      </c>
      <c r="O51" s="84"/>
      <c r="P51" s="78">
        <v>49</v>
      </c>
      <c r="Q51" s="82">
        <v>5</v>
      </c>
      <c r="R51" s="82"/>
      <c r="S51" s="78">
        <v>49</v>
      </c>
      <c r="T51" s="82">
        <v>22</v>
      </c>
      <c r="V51" s="78">
        <v>49</v>
      </c>
      <c r="W51" s="85">
        <f t="shared" si="0"/>
        <v>8</v>
      </c>
      <c r="X51" s="85">
        <f t="shared" si="1"/>
        <v>7</v>
      </c>
      <c r="Y51" s="85">
        <f t="shared" si="2"/>
        <v>6</v>
      </c>
      <c r="Z51" s="85">
        <f t="shared" si="3"/>
        <v>6</v>
      </c>
      <c r="AA51" s="85">
        <f t="shared" si="4"/>
        <v>7</v>
      </c>
      <c r="AB51" s="79"/>
      <c r="AG51" s="78"/>
      <c r="AI51" s="77"/>
      <c r="AK51" s="78">
        <v>49</v>
      </c>
      <c r="AL51" s="85">
        <v>0</v>
      </c>
      <c r="AM51" s="85">
        <v>0</v>
      </c>
      <c r="AN51" s="85">
        <v>0</v>
      </c>
      <c r="AO51" s="85">
        <v>0</v>
      </c>
      <c r="AP51" s="85">
        <v>0</v>
      </c>
      <c r="AR51" s="78">
        <v>49</v>
      </c>
      <c r="AS51" s="85">
        <v>0</v>
      </c>
      <c r="AT51" s="85">
        <v>0</v>
      </c>
      <c r="AU51" s="85">
        <v>0</v>
      </c>
      <c r="AV51" s="85">
        <v>0</v>
      </c>
      <c r="AW51" s="85">
        <v>0</v>
      </c>
      <c r="AY51" s="78">
        <v>49</v>
      </c>
      <c r="AZ51" s="85">
        <v>0</v>
      </c>
      <c r="BA51" s="85">
        <v>0</v>
      </c>
      <c r="BB51" s="85">
        <v>0</v>
      </c>
      <c r="BC51" s="85">
        <v>0</v>
      </c>
      <c r="BD51" s="85">
        <v>0</v>
      </c>
      <c r="BF51" s="78">
        <v>49</v>
      </c>
      <c r="BG51" s="85">
        <v>0</v>
      </c>
      <c r="BH51" s="85">
        <v>0</v>
      </c>
      <c r="BI51" s="85">
        <v>0</v>
      </c>
      <c r="BJ51" s="85">
        <v>0</v>
      </c>
      <c r="BK51" s="86">
        <v>0</v>
      </c>
      <c r="BM51" s="77"/>
      <c r="BN51" s="78">
        <v>49</v>
      </c>
      <c r="BO51" s="85">
        <f t="shared" si="5"/>
        <v>0</v>
      </c>
      <c r="BP51" s="85">
        <f t="shared" si="5"/>
        <v>0</v>
      </c>
      <c r="BQ51" s="85">
        <f t="shared" si="5"/>
        <v>0</v>
      </c>
      <c r="BR51" s="85">
        <f t="shared" si="5"/>
        <v>0</v>
      </c>
      <c r="BS51" s="85">
        <f t="shared" si="5"/>
        <v>0</v>
      </c>
      <c r="BU51" s="78">
        <v>49</v>
      </c>
      <c r="BV51" s="85">
        <f t="shared" si="6"/>
        <v>0</v>
      </c>
      <c r="BW51" s="85">
        <f t="shared" si="6"/>
        <v>0</v>
      </c>
      <c r="BX51" s="85">
        <f t="shared" si="6"/>
        <v>0</v>
      </c>
      <c r="BY51" s="85">
        <f t="shared" si="6"/>
        <v>0</v>
      </c>
      <c r="BZ51" s="85">
        <f t="shared" si="6"/>
        <v>0</v>
      </c>
      <c r="CB51" s="78">
        <v>49</v>
      </c>
      <c r="CC51" s="78">
        <f t="shared" si="7"/>
        <v>0</v>
      </c>
      <c r="CD51" s="78">
        <f t="shared" si="7"/>
        <v>0</v>
      </c>
      <c r="CE51" s="78">
        <f t="shared" si="7"/>
        <v>0</v>
      </c>
      <c r="CF51" s="78">
        <f t="shared" si="7"/>
        <v>0</v>
      </c>
      <c r="CG51" s="80">
        <f t="shared" si="7"/>
        <v>0</v>
      </c>
    </row>
    <row r="52" spans="1:85" x14ac:dyDescent="0.3">
      <c r="A52" s="81">
        <v>50</v>
      </c>
      <c r="B52" s="82">
        <v>14</v>
      </c>
      <c r="C52" s="83"/>
      <c r="D52" s="78">
        <v>50</v>
      </c>
      <c r="E52" s="82">
        <v>6</v>
      </c>
      <c r="F52" s="83"/>
      <c r="G52" s="78">
        <v>50</v>
      </c>
      <c r="H52" s="82">
        <v>2</v>
      </c>
      <c r="I52" s="83"/>
      <c r="J52" s="78">
        <v>50</v>
      </c>
      <c r="K52" s="82">
        <v>12</v>
      </c>
      <c r="L52" s="82"/>
      <c r="M52" s="78">
        <v>50</v>
      </c>
      <c r="N52" s="84">
        <v>0.9</v>
      </c>
      <c r="O52" s="84"/>
      <c r="P52" s="78">
        <v>50</v>
      </c>
      <c r="Q52" s="82">
        <v>3</v>
      </c>
      <c r="R52" s="82"/>
      <c r="S52" s="78">
        <v>50</v>
      </c>
      <c r="T52" s="82">
        <v>21</v>
      </c>
      <c r="V52" s="78">
        <v>50</v>
      </c>
      <c r="W52" s="85">
        <f t="shared" si="0"/>
        <v>17</v>
      </c>
      <c r="X52" s="85">
        <f t="shared" si="1"/>
        <v>15</v>
      </c>
      <c r="Y52" s="85">
        <f t="shared" si="2"/>
        <v>13</v>
      </c>
      <c r="Z52" s="85">
        <f t="shared" si="3"/>
        <v>13</v>
      </c>
      <c r="AA52" s="85">
        <f t="shared" si="4"/>
        <v>14</v>
      </c>
      <c r="AB52" s="79"/>
      <c r="AG52" s="78"/>
      <c r="AI52" s="77"/>
      <c r="AK52" s="78">
        <v>50</v>
      </c>
      <c r="AL52" s="85">
        <v>0</v>
      </c>
      <c r="AM52" s="85">
        <v>0</v>
      </c>
      <c r="AN52" s="85">
        <v>1</v>
      </c>
      <c r="AO52" s="85">
        <v>0</v>
      </c>
      <c r="AP52" s="85">
        <v>0</v>
      </c>
      <c r="AR52" s="78">
        <v>50</v>
      </c>
      <c r="AS52" s="85">
        <v>0</v>
      </c>
      <c r="AT52" s="85">
        <v>0</v>
      </c>
      <c r="AU52" s="85">
        <v>0</v>
      </c>
      <c r="AV52" s="85">
        <v>0</v>
      </c>
      <c r="AW52" s="85">
        <v>0</v>
      </c>
      <c r="AY52" s="78">
        <v>50</v>
      </c>
      <c r="AZ52" s="85">
        <v>0</v>
      </c>
      <c r="BA52" s="85">
        <v>0</v>
      </c>
      <c r="BB52" s="85">
        <v>0</v>
      </c>
      <c r="BC52" s="85">
        <v>0</v>
      </c>
      <c r="BD52" s="85">
        <v>0</v>
      </c>
      <c r="BF52" s="78">
        <v>50</v>
      </c>
      <c r="BG52" s="85">
        <v>0</v>
      </c>
      <c r="BH52" s="85">
        <v>0</v>
      </c>
      <c r="BI52" s="85">
        <v>0</v>
      </c>
      <c r="BJ52" s="85">
        <v>0</v>
      </c>
      <c r="BK52" s="86">
        <v>0</v>
      </c>
      <c r="BM52" s="77"/>
      <c r="BN52" s="78">
        <v>50</v>
      </c>
      <c r="BO52" s="85">
        <f t="shared" si="5"/>
        <v>0</v>
      </c>
      <c r="BP52" s="85">
        <f t="shared" si="5"/>
        <v>0</v>
      </c>
      <c r="BQ52" s="85">
        <f t="shared" si="5"/>
        <v>1</v>
      </c>
      <c r="BR52" s="85">
        <f t="shared" si="5"/>
        <v>0</v>
      </c>
      <c r="BS52" s="85">
        <f t="shared" si="5"/>
        <v>0</v>
      </c>
      <c r="BU52" s="78">
        <v>50</v>
      </c>
      <c r="BV52" s="85">
        <f t="shared" si="6"/>
        <v>0</v>
      </c>
      <c r="BW52" s="85">
        <f t="shared" si="6"/>
        <v>0</v>
      </c>
      <c r="BX52" s="85">
        <f t="shared" si="6"/>
        <v>1</v>
      </c>
      <c r="BY52" s="85">
        <f t="shared" si="6"/>
        <v>0</v>
      </c>
      <c r="BZ52" s="85">
        <f t="shared" si="6"/>
        <v>0</v>
      </c>
      <c r="CB52" s="78">
        <v>50</v>
      </c>
      <c r="CC52" s="78">
        <f t="shared" si="7"/>
        <v>0</v>
      </c>
      <c r="CD52" s="78">
        <f t="shared" si="7"/>
        <v>0</v>
      </c>
      <c r="CE52" s="78">
        <f t="shared" si="7"/>
        <v>1</v>
      </c>
      <c r="CF52" s="78">
        <f t="shared" si="7"/>
        <v>0</v>
      </c>
      <c r="CG52" s="80">
        <f t="shared" si="7"/>
        <v>0</v>
      </c>
    </row>
    <row r="53" spans="1:85" x14ac:dyDescent="0.3">
      <c r="A53" s="81">
        <v>51</v>
      </c>
      <c r="B53" s="82">
        <v>8</v>
      </c>
      <c r="C53" s="83"/>
      <c r="D53" s="78">
        <v>51</v>
      </c>
      <c r="E53" s="82">
        <v>8</v>
      </c>
      <c r="F53" s="83"/>
      <c r="G53" s="78">
        <v>51</v>
      </c>
      <c r="H53" s="82">
        <v>2</v>
      </c>
      <c r="I53" s="83"/>
      <c r="J53" s="78">
        <v>51</v>
      </c>
      <c r="K53" s="82">
        <v>4</v>
      </c>
      <c r="L53" s="82"/>
      <c r="M53" s="78">
        <v>51</v>
      </c>
      <c r="N53" s="84">
        <v>0.1</v>
      </c>
      <c r="O53" s="84"/>
      <c r="P53" s="78">
        <v>51</v>
      </c>
      <c r="Q53" s="82">
        <v>1</v>
      </c>
      <c r="R53" s="82"/>
      <c r="S53" s="78">
        <v>51</v>
      </c>
      <c r="T53" s="82">
        <v>17</v>
      </c>
      <c r="V53" s="78">
        <v>51</v>
      </c>
      <c r="W53" s="85">
        <f t="shared" si="0"/>
        <v>17</v>
      </c>
      <c r="X53" s="85">
        <f t="shared" si="1"/>
        <v>15</v>
      </c>
      <c r="Y53" s="85">
        <f t="shared" si="2"/>
        <v>13</v>
      </c>
      <c r="Z53" s="85">
        <f t="shared" si="3"/>
        <v>13</v>
      </c>
      <c r="AA53" s="85">
        <f t="shared" si="4"/>
        <v>14</v>
      </c>
      <c r="AB53" s="79"/>
      <c r="AG53" s="78"/>
      <c r="AI53" s="77"/>
      <c r="AK53" s="78">
        <v>51</v>
      </c>
      <c r="AL53" s="85">
        <v>0</v>
      </c>
      <c r="AM53" s="85">
        <v>0</v>
      </c>
      <c r="AN53" s="85">
        <v>0</v>
      </c>
      <c r="AO53" s="85">
        <v>0</v>
      </c>
      <c r="AP53" s="85">
        <v>0</v>
      </c>
      <c r="AR53" s="78">
        <v>51</v>
      </c>
      <c r="AS53" s="85">
        <v>0</v>
      </c>
      <c r="AT53" s="85">
        <v>0</v>
      </c>
      <c r="AU53" s="85">
        <v>0</v>
      </c>
      <c r="AV53" s="85">
        <v>0</v>
      </c>
      <c r="AW53" s="85">
        <v>0</v>
      </c>
      <c r="AY53" s="78">
        <v>51</v>
      </c>
      <c r="AZ53" s="85">
        <v>0</v>
      </c>
      <c r="BA53" s="85">
        <v>0</v>
      </c>
      <c r="BB53" s="85">
        <v>0</v>
      </c>
      <c r="BC53" s="85">
        <v>0</v>
      </c>
      <c r="BD53" s="85">
        <v>0</v>
      </c>
      <c r="BF53" s="78">
        <v>51</v>
      </c>
      <c r="BG53" s="85">
        <v>0</v>
      </c>
      <c r="BH53" s="85">
        <v>0</v>
      </c>
      <c r="BI53" s="85">
        <v>0</v>
      </c>
      <c r="BJ53" s="85">
        <v>0</v>
      </c>
      <c r="BK53" s="86">
        <v>0</v>
      </c>
      <c r="BM53" s="77"/>
      <c r="BN53" s="78">
        <v>51</v>
      </c>
      <c r="BO53" s="85">
        <f t="shared" si="5"/>
        <v>0</v>
      </c>
      <c r="BP53" s="85">
        <f t="shared" si="5"/>
        <v>0</v>
      </c>
      <c r="BQ53" s="85">
        <f t="shared" si="5"/>
        <v>0</v>
      </c>
      <c r="BR53" s="85">
        <f t="shared" si="5"/>
        <v>0</v>
      </c>
      <c r="BS53" s="85">
        <f t="shared" si="5"/>
        <v>0</v>
      </c>
      <c r="BU53" s="78">
        <v>51</v>
      </c>
      <c r="BV53" s="85">
        <f t="shared" si="6"/>
        <v>0</v>
      </c>
      <c r="BW53" s="85">
        <f t="shared" si="6"/>
        <v>0</v>
      </c>
      <c r="BX53" s="85">
        <f t="shared" si="6"/>
        <v>0</v>
      </c>
      <c r="BY53" s="85">
        <f t="shared" si="6"/>
        <v>0</v>
      </c>
      <c r="BZ53" s="85">
        <f t="shared" si="6"/>
        <v>0</v>
      </c>
      <c r="CB53" s="78">
        <v>51</v>
      </c>
      <c r="CC53" s="78">
        <f t="shared" si="7"/>
        <v>0</v>
      </c>
      <c r="CD53" s="78">
        <f t="shared" si="7"/>
        <v>0</v>
      </c>
      <c r="CE53" s="78">
        <f t="shared" si="7"/>
        <v>0</v>
      </c>
      <c r="CF53" s="78">
        <f t="shared" si="7"/>
        <v>0</v>
      </c>
      <c r="CG53" s="80">
        <f t="shared" si="7"/>
        <v>0</v>
      </c>
    </row>
    <row r="54" spans="1:85" x14ac:dyDescent="0.3">
      <c r="A54" s="81">
        <v>52</v>
      </c>
      <c r="B54" s="82">
        <v>9</v>
      </c>
      <c r="C54" s="83"/>
      <c r="D54" s="78">
        <v>52</v>
      </c>
      <c r="E54" s="82">
        <v>10</v>
      </c>
      <c r="F54" s="83"/>
      <c r="G54" s="78">
        <v>52</v>
      </c>
      <c r="H54" s="82">
        <v>3</v>
      </c>
      <c r="I54" s="83"/>
      <c r="J54" s="78">
        <v>52</v>
      </c>
      <c r="K54" s="82">
        <v>7</v>
      </c>
      <c r="L54" s="82"/>
      <c r="M54" s="78">
        <v>52</v>
      </c>
      <c r="N54" s="84">
        <v>0.5</v>
      </c>
      <c r="O54" s="84"/>
      <c r="P54" s="78">
        <v>52</v>
      </c>
      <c r="Q54" s="82">
        <v>4</v>
      </c>
      <c r="R54" s="82"/>
      <c r="S54" s="78">
        <v>52</v>
      </c>
      <c r="T54" s="82">
        <v>15</v>
      </c>
      <c r="V54" s="78">
        <v>52</v>
      </c>
      <c r="W54" s="85">
        <f t="shared" si="0"/>
        <v>11</v>
      </c>
      <c r="X54" s="85">
        <f t="shared" si="1"/>
        <v>10</v>
      </c>
      <c r="Y54" s="85">
        <f t="shared" si="2"/>
        <v>8</v>
      </c>
      <c r="Z54" s="85">
        <f t="shared" si="3"/>
        <v>9</v>
      </c>
      <c r="AA54" s="85">
        <f t="shared" si="4"/>
        <v>9</v>
      </c>
      <c r="AB54" s="79"/>
      <c r="AG54" s="78"/>
      <c r="AI54" s="77"/>
      <c r="AK54" s="78">
        <v>52</v>
      </c>
      <c r="AL54" s="85">
        <v>0</v>
      </c>
      <c r="AM54" s="85">
        <v>0</v>
      </c>
      <c r="AN54" s="85">
        <v>0</v>
      </c>
      <c r="AO54" s="85">
        <v>0</v>
      </c>
      <c r="AP54" s="85">
        <v>0</v>
      </c>
      <c r="AR54" s="78">
        <v>52</v>
      </c>
      <c r="AS54" s="85">
        <v>0</v>
      </c>
      <c r="AT54" s="85">
        <v>0</v>
      </c>
      <c r="AU54" s="85">
        <v>0</v>
      </c>
      <c r="AV54" s="85">
        <v>0</v>
      </c>
      <c r="AW54" s="85">
        <v>0</v>
      </c>
      <c r="AY54" s="78">
        <v>52</v>
      </c>
      <c r="AZ54" s="85">
        <v>0</v>
      </c>
      <c r="BA54" s="85">
        <v>0</v>
      </c>
      <c r="BB54" s="85">
        <v>0</v>
      </c>
      <c r="BC54" s="85">
        <v>0</v>
      </c>
      <c r="BD54" s="85">
        <v>0</v>
      </c>
      <c r="BF54" s="78">
        <v>52</v>
      </c>
      <c r="BG54" s="85">
        <v>0</v>
      </c>
      <c r="BH54" s="85">
        <v>0</v>
      </c>
      <c r="BI54" s="85">
        <v>0</v>
      </c>
      <c r="BJ54" s="85">
        <v>0</v>
      </c>
      <c r="BK54" s="86">
        <v>0</v>
      </c>
      <c r="BM54" s="77"/>
      <c r="BN54" s="78">
        <v>52</v>
      </c>
      <c r="BO54" s="85">
        <f t="shared" si="5"/>
        <v>0</v>
      </c>
      <c r="BP54" s="85">
        <f t="shared" si="5"/>
        <v>0</v>
      </c>
      <c r="BQ54" s="85">
        <f t="shared" si="5"/>
        <v>0</v>
      </c>
      <c r="BR54" s="85">
        <f t="shared" si="5"/>
        <v>0</v>
      </c>
      <c r="BS54" s="85">
        <f t="shared" si="5"/>
        <v>0</v>
      </c>
      <c r="BU54" s="78">
        <v>52</v>
      </c>
      <c r="BV54" s="85">
        <f t="shared" si="6"/>
        <v>0</v>
      </c>
      <c r="BW54" s="85">
        <f t="shared" si="6"/>
        <v>0</v>
      </c>
      <c r="BX54" s="85">
        <f t="shared" si="6"/>
        <v>0</v>
      </c>
      <c r="BY54" s="85">
        <f t="shared" si="6"/>
        <v>0</v>
      </c>
      <c r="BZ54" s="85">
        <f t="shared" si="6"/>
        <v>0</v>
      </c>
      <c r="CB54" s="78">
        <v>52</v>
      </c>
      <c r="CC54" s="78">
        <f t="shared" si="7"/>
        <v>0</v>
      </c>
      <c r="CD54" s="78">
        <f t="shared" si="7"/>
        <v>0</v>
      </c>
      <c r="CE54" s="78">
        <f t="shared" si="7"/>
        <v>0</v>
      </c>
      <c r="CF54" s="78">
        <f t="shared" si="7"/>
        <v>0</v>
      </c>
      <c r="CG54" s="80">
        <f t="shared" si="7"/>
        <v>0</v>
      </c>
    </row>
    <row r="55" spans="1:85" x14ac:dyDescent="0.3">
      <c r="A55" s="81">
        <v>53</v>
      </c>
      <c r="B55" s="82">
        <v>7</v>
      </c>
      <c r="C55" s="83"/>
      <c r="D55" s="78">
        <v>53</v>
      </c>
      <c r="E55" s="82">
        <v>5</v>
      </c>
      <c r="F55" s="83"/>
      <c r="G55" s="78">
        <v>53</v>
      </c>
      <c r="H55" s="82">
        <v>5</v>
      </c>
      <c r="I55" s="83"/>
      <c r="J55" s="78">
        <v>53</v>
      </c>
      <c r="K55" s="82">
        <v>13</v>
      </c>
      <c r="L55" s="82"/>
      <c r="M55" s="78">
        <v>53</v>
      </c>
      <c r="N55" s="84">
        <v>0.4</v>
      </c>
      <c r="O55" s="84"/>
      <c r="P55" s="78">
        <v>53</v>
      </c>
      <c r="Q55" s="82">
        <v>5</v>
      </c>
      <c r="R55" s="82"/>
      <c r="S55" s="78">
        <v>53</v>
      </c>
      <c r="T55" s="82">
        <v>23</v>
      </c>
      <c r="V55" s="78">
        <v>53</v>
      </c>
      <c r="W55" s="85">
        <f t="shared" si="0"/>
        <v>6</v>
      </c>
      <c r="X55" s="85">
        <f t="shared" si="1"/>
        <v>6</v>
      </c>
      <c r="Y55" s="85">
        <f t="shared" si="2"/>
        <v>5</v>
      </c>
      <c r="Z55" s="85">
        <f t="shared" si="3"/>
        <v>5</v>
      </c>
      <c r="AA55" s="85">
        <f t="shared" si="4"/>
        <v>5</v>
      </c>
      <c r="AB55" s="79"/>
      <c r="AG55" s="78"/>
      <c r="AI55" s="77"/>
      <c r="AK55" s="78">
        <v>53</v>
      </c>
      <c r="AL55" s="85">
        <v>0</v>
      </c>
      <c r="AM55" s="85">
        <v>0</v>
      </c>
      <c r="AN55" s="85">
        <v>0</v>
      </c>
      <c r="AO55" s="85">
        <v>0</v>
      </c>
      <c r="AP55" s="85">
        <v>1</v>
      </c>
      <c r="AR55" s="78">
        <v>53</v>
      </c>
      <c r="AS55" s="85">
        <v>0</v>
      </c>
      <c r="AT55" s="85">
        <v>0</v>
      </c>
      <c r="AU55" s="85">
        <v>0</v>
      </c>
      <c r="AV55" s="85">
        <v>0</v>
      </c>
      <c r="AW55" s="85">
        <v>0</v>
      </c>
      <c r="AY55" s="78">
        <v>53</v>
      </c>
      <c r="AZ55" s="85">
        <v>0</v>
      </c>
      <c r="BA55" s="85">
        <v>0</v>
      </c>
      <c r="BB55" s="85">
        <v>0</v>
      </c>
      <c r="BC55" s="85">
        <v>0</v>
      </c>
      <c r="BD55" s="85">
        <v>0</v>
      </c>
      <c r="BF55" s="78">
        <v>53</v>
      </c>
      <c r="BG55" s="85">
        <v>0</v>
      </c>
      <c r="BH55" s="85">
        <v>0</v>
      </c>
      <c r="BI55" s="85">
        <v>0</v>
      </c>
      <c r="BJ55" s="85">
        <v>0</v>
      </c>
      <c r="BK55" s="86">
        <v>0</v>
      </c>
      <c r="BM55" s="77"/>
      <c r="BN55" s="78">
        <v>53</v>
      </c>
      <c r="BO55" s="85">
        <f t="shared" ref="BO55:BS118" si="8">AL55+AS55+AZ55+BG55</f>
        <v>0</v>
      </c>
      <c r="BP55" s="85">
        <f t="shared" si="8"/>
        <v>0</v>
      </c>
      <c r="BQ55" s="85">
        <f t="shared" si="8"/>
        <v>0</v>
      </c>
      <c r="BR55" s="85">
        <f t="shared" si="8"/>
        <v>0</v>
      </c>
      <c r="BS55" s="85">
        <f t="shared" si="8"/>
        <v>1</v>
      </c>
      <c r="BU55" s="78">
        <v>53</v>
      </c>
      <c r="BV55" s="85">
        <f t="shared" ref="BV55:BZ118" si="9">AL55+AS55*2+AZ55*3+BG55*4</f>
        <v>0</v>
      </c>
      <c r="BW55" s="85">
        <f t="shared" si="9"/>
        <v>0</v>
      </c>
      <c r="BX55" s="85">
        <f t="shared" si="9"/>
        <v>0</v>
      </c>
      <c r="BY55" s="85">
        <f t="shared" si="9"/>
        <v>0</v>
      </c>
      <c r="BZ55" s="85">
        <f t="shared" si="9"/>
        <v>1</v>
      </c>
      <c r="CB55" s="78">
        <v>53</v>
      </c>
      <c r="CC55" s="78">
        <f t="shared" ref="CC55:CG118" si="10">AL55+AS55*POWER(2,$N55)+AZ55*POWER(3,$N55)+BG55*POWER(4,$N55)</f>
        <v>0</v>
      </c>
      <c r="CD55" s="78">
        <f t="shared" si="10"/>
        <v>0</v>
      </c>
      <c r="CE55" s="78">
        <f t="shared" si="10"/>
        <v>0</v>
      </c>
      <c r="CF55" s="78">
        <f t="shared" si="10"/>
        <v>0</v>
      </c>
      <c r="CG55" s="80">
        <f t="shared" si="10"/>
        <v>1</v>
      </c>
    </row>
    <row r="56" spans="1:85" x14ac:dyDescent="0.3">
      <c r="A56" s="81">
        <v>54</v>
      </c>
      <c r="B56" s="82">
        <v>12</v>
      </c>
      <c r="C56" s="83"/>
      <c r="D56" s="78">
        <v>54</v>
      </c>
      <c r="E56" s="82">
        <v>7</v>
      </c>
      <c r="F56" s="83"/>
      <c r="G56" s="78">
        <v>54</v>
      </c>
      <c r="H56" s="82">
        <v>7</v>
      </c>
      <c r="I56" s="83"/>
      <c r="J56" s="78">
        <v>54</v>
      </c>
      <c r="K56" s="82">
        <v>12</v>
      </c>
      <c r="L56" s="82"/>
      <c r="M56" s="78">
        <v>54</v>
      </c>
      <c r="N56" s="84">
        <v>0.8</v>
      </c>
      <c r="O56" s="84"/>
      <c r="P56" s="78">
        <v>54</v>
      </c>
      <c r="Q56" s="82">
        <v>4</v>
      </c>
      <c r="R56" s="82"/>
      <c r="S56" s="78">
        <v>54</v>
      </c>
      <c r="T56" s="82">
        <v>24</v>
      </c>
      <c r="V56" s="78">
        <v>54</v>
      </c>
      <c r="W56" s="85">
        <f t="shared" si="0"/>
        <v>4</v>
      </c>
      <c r="X56" s="85">
        <f t="shared" si="1"/>
        <v>4</v>
      </c>
      <c r="Y56" s="85">
        <f t="shared" si="2"/>
        <v>3</v>
      </c>
      <c r="Z56" s="85">
        <f t="shared" si="3"/>
        <v>3</v>
      </c>
      <c r="AA56" s="85">
        <f t="shared" si="4"/>
        <v>4</v>
      </c>
      <c r="AB56" s="79"/>
      <c r="AG56" s="78"/>
      <c r="AI56" s="77"/>
      <c r="AK56" s="78">
        <v>54</v>
      </c>
      <c r="AL56" s="85">
        <v>0</v>
      </c>
      <c r="AM56" s="85">
        <v>0</v>
      </c>
      <c r="AN56" s="85">
        <v>0</v>
      </c>
      <c r="AO56" s="85">
        <v>0</v>
      </c>
      <c r="AP56" s="85">
        <v>0</v>
      </c>
      <c r="AR56" s="78">
        <v>54</v>
      </c>
      <c r="AS56" s="85">
        <v>0</v>
      </c>
      <c r="AT56" s="85">
        <v>0</v>
      </c>
      <c r="AU56" s="85">
        <v>0</v>
      </c>
      <c r="AV56" s="85">
        <v>0</v>
      </c>
      <c r="AW56" s="85">
        <v>0</v>
      </c>
      <c r="AY56" s="78">
        <v>54</v>
      </c>
      <c r="AZ56" s="85">
        <v>0</v>
      </c>
      <c r="BA56" s="85">
        <v>0</v>
      </c>
      <c r="BB56" s="85">
        <v>0</v>
      </c>
      <c r="BC56" s="85">
        <v>0</v>
      </c>
      <c r="BD56" s="85">
        <v>0</v>
      </c>
      <c r="BF56" s="78">
        <v>54</v>
      </c>
      <c r="BG56" s="85">
        <v>0</v>
      </c>
      <c r="BH56" s="85">
        <v>0</v>
      </c>
      <c r="BI56" s="85">
        <v>1</v>
      </c>
      <c r="BJ56" s="85">
        <v>0</v>
      </c>
      <c r="BK56" s="86">
        <v>0</v>
      </c>
      <c r="BM56" s="77"/>
      <c r="BN56" s="78">
        <v>54</v>
      </c>
      <c r="BO56" s="85">
        <f t="shared" si="8"/>
        <v>0</v>
      </c>
      <c r="BP56" s="85">
        <f t="shared" si="8"/>
        <v>0</v>
      </c>
      <c r="BQ56" s="85">
        <f t="shared" si="8"/>
        <v>1</v>
      </c>
      <c r="BR56" s="85">
        <f t="shared" si="8"/>
        <v>0</v>
      </c>
      <c r="BS56" s="85">
        <f t="shared" si="8"/>
        <v>0</v>
      </c>
      <c r="BU56" s="78">
        <v>54</v>
      </c>
      <c r="BV56" s="85">
        <f t="shared" si="9"/>
        <v>0</v>
      </c>
      <c r="BW56" s="85">
        <f t="shared" si="9"/>
        <v>0</v>
      </c>
      <c r="BX56" s="85">
        <f t="shared" si="9"/>
        <v>4</v>
      </c>
      <c r="BY56" s="85">
        <f t="shared" si="9"/>
        <v>0</v>
      </c>
      <c r="BZ56" s="85">
        <f t="shared" si="9"/>
        <v>0</v>
      </c>
      <c r="CB56" s="78">
        <v>54</v>
      </c>
      <c r="CC56" s="78">
        <f t="shared" si="10"/>
        <v>0</v>
      </c>
      <c r="CD56" s="78">
        <f t="shared" si="10"/>
        <v>0</v>
      </c>
      <c r="CE56" s="78">
        <f t="shared" si="10"/>
        <v>3.031433133020796</v>
      </c>
      <c r="CF56" s="78">
        <f t="shared" si="10"/>
        <v>0</v>
      </c>
      <c r="CG56" s="80">
        <f t="shared" si="10"/>
        <v>0</v>
      </c>
    </row>
    <row r="57" spans="1:85" x14ac:dyDescent="0.3">
      <c r="A57" s="81">
        <v>55</v>
      </c>
      <c r="B57" s="82">
        <v>6</v>
      </c>
      <c r="C57" s="83"/>
      <c r="D57" s="78">
        <v>55</v>
      </c>
      <c r="E57" s="82">
        <v>6</v>
      </c>
      <c r="F57" s="83"/>
      <c r="G57" s="78">
        <v>55</v>
      </c>
      <c r="H57" s="82">
        <v>4</v>
      </c>
      <c r="I57" s="83"/>
      <c r="J57" s="78">
        <v>55</v>
      </c>
      <c r="K57" s="82">
        <v>2</v>
      </c>
      <c r="L57" s="82"/>
      <c r="M57" s="78">
        <v>55</v>
      </c>
      <c r="N57" s="84">
        <v>0.8</v>
      </c>
      <c r="O57" s="84"/>
      <c r="P57" s="78">
        <v>55</v>
      </c>
      <c r="Q57" s="82">
        <v>3</v>
      </c>
      <c r="R57" s="82"/>
      <c r="S57" s="78">
        <v>55</v>
      </c>
      <c r="T57" s="82">
        <v>24</v>
      </c>
      <c r="V57" s="78">
        <v>55</v>
      </c>
      <c r="W57" s="85">
        <f t="shared" si="0"/>
        <v>8</v>
      </c>
      <c r="X57" s="85">
        <f t="shared" si="1"/>
        <v>7</v>
      </c>
      <c r="Y57" s="85">
        <f t="shared" si="2"/>
        <v>6</v>
      </c>
      <c r="Z57" s="85">
        <f t="shared" si="3"/>
        <v>6</v>
      </c>
      <c r="AA57" s="85">
        <f t="shared" si="4"/>
        <v>7</v>
      </c>
      <c r="AB57" s="79"/>
      <c r="AG57" s="78"/>
      <c r="AI57" s="77"/>
      <c r="AK57" s="78">
        <v>55</v>
      </c>
      <c r="AL57" s="85">
        <v>0</v>
      </c>
      <c r="AM57" s="85">
        <v>0</v>
      </c>
      <c r="AN57" s="85">
        <v>0</v>
      </c>
      <c r="AO57" s="85">
        <v>0</v>
      </c>
      <c r="AP57" s="85">
        <v>0</v>
      </c>
      <c r="AR57" s="78">
        <v>55</v>
      </c>
      <c r="AS57" s="85">
        <v>0</v>
      </c>
      <c r="AT57" s="85">
        <v>0</v>
      </c>
      <c r="AU57" s="85">
        <v>0</v>
      </c>
      <c r="AV57" s="85">
        <v>0</v>
      </c>
      <c r="AW57" s="85">
        <v>0</v>
      </c>
      <c r="AY57" s="78">
        <v>55</v>
      </c>
      <c r="AZ57" s="85">
        <v>0</v>
      </c>
      <c r="BA57" s="85">
        <v>0</v>
      </c>
      <c r="BB57" s="85">
        <v>0</v>
      </c>
      <c r="BC57" s="85">
        <v>0</v>
      </c>
      <c r="BD57" s="85">
        <v>0</v>
      </c>
      <c r="BF57" s="78">
        <v>55</v>
      </c>
      <c r="BG57" s="85">
        <v>0</v>
      </c>
      <c r="BH57" s="85">
        <v>0</v>
      </c>
      <c r="BI57" s="85">
        <v>0</v>
      </c>
      <c r="BJ57" s="85">
        <v>0</v>
      </c>
      <c r="BK57" s="86">
        <v>0</v>
      </c>
      <c r="BM57" s="77"/>
      <c r="BN57" s="78">
        <v>55</v>
      </c>
      <c r="BO57" s="85">
        <f t="shared" si="8"/>
        <v>0</v>
      </c>
      <c r="BP57" s="85">
        <f t="shared" si="8"/>
        <v>0</v>
      </c>
      <c r="BQ57" s="85">
        <f t="shared" si="8"/>
        <v>0</v>
      </c>
      <c r="BR57" s="85">
        <f t="shared" si="8"/>
        <v>0</v>
      </c>
      <c r="BS57" s="85">
        <f t="shared" si="8"/>
        <v>0</v>
      </c>
      <c r="BU57" s="78">
        <v>55</v>
      </c>
      <c r="BV57" s="85">
        <f t="shared" si="9"/>
        <v>0</v>
      </c>
      <c r="BW57" s="85">
        <f t="shared" si="9"/>
        <v>0</v>
      </c>
      <c r="BX57" s="85">
        <f t="shared" si="9"/>
        <v>0</v>
      </c>
      <c r="BY57" s="85">
        <f t="shared" si="9"/>
        <v>0</v>
      </c>
      <c r="BZ57" s="85">
        <f t="shared" si="9"/>
        <v>0</v>
      </c>
      <c r="CB57" s="78">
        <v>55</v>
      </c>
      <c r="CC57" s="78">
        <f t="shared" si="10"/>
        <v>0</v>
      </c>
      <c r="CD57" s="78">
        <f t="shared" si="10"/>
        <v>0</v>
      </c>
      <c r="CE57" s="78">
        <f t="shared" si="10"/>
        <v>0</v>
      </c>
      <c r="CF57" s="78">
        <f t="shared" si="10"/>
        <v>0</v>
      </c>
      <c r="CG57" s="80">
        <f t="shared" si="10"/>
        <v>0</v>
      </c>
    </row>
    <row r="58" spans="1:85" x14ac:dyDescent="0.3">
      <c r="A58" s="81">
        <v>56</v>
      </c>
      <c r="B58" s="82">
        <v>5</v>
      </c>
      <c r="C58" s="83"/>
      <c r="D58" s="78">
        <v>56</v>
      </c>
      <c r="E58" s="82">
        <v>7</v>
      </c>
      <c r="F58" s="83"/>
      <c r="G58" s="78">
        <v>56</v>
      </c>
      <c r="H58" s="82">
        <v>7</v>
      </c>
      <c r="I58" s="83"/>
      <c r="J58" s="78">
        <v>56</v>
      </c>
      <c r="K58" s="82">
        <v>13</v>
      </c>
      <c r="L58" s="82"/>
      <c r="M58" s="78">
        <v>56</v>
      </c>
      <c r="N58" s="84">
        <v>0.9</v>
      </c>
      <c r="O58" s="84"/>
      <c r="P58" s="78">
        <v>56</v>
      </c>
      <c r="Q58" s="82">
        <v>4</v>
      </c>
      <c r="R58" s="82"/>
      <c r="S58" s="78">
        <v>56</v>
      </c>
      <c r="T58" s="82">
        <v>22</v>
      </c>
      <c r="V58" s="78">
        <v>56</v>
      </c>
      <c r="W58" s="85">
        <f t="shared" si="0"/>
        <v>4</v>
      </c>
      <c r="X58" s="85">
        <f t="shared" si="1"/>
        <v>4</v>
      </c>
      <c r="Y58" s="85">
        <f t="shared" si="2"/>
        <v>3</v>
      </c>
      <c r="Z58" s="85">
        <f t="shared" si="3"/>
        <v>3</v>
      </c>
      <c r="AA58" s="85">
        <f t="shared" si="4"/>
        <v>4</v>
      </c>
      <c r="AB58" s="79"/>
      <c r="AG58" s="78"/>
      <c r="AI58" s="77"/>
      <c r="AK58" s="78">
        <v>56</v>
      </c>
      <c r="AL58" s="85">
        <v>0</v>
      </c>
      <c r="AM58" s="85">
        <v>0</v>
      </c>
      <c r="AN58" s="85">
        <v>0</v>
      </c>
      <c r="AO58" s="85">
        <v>0</v>
      </c>
      <c r="AP58" s="85">
        <v>0</v>
      </c>
      <c r="AR58" s="78">
        <v>56</v>
      </c>
      <c r="AS58" s="85">
        <v>0</v>
      </c>
      <c r="AT58" s="85">
        <v>0</v>
      </c>
      <c r="AU58" s="85">
        <v>0</v>
      </c>
      <c r="AV58" s="85">
        <v>0</v>
      </c>
      <c r="AW58" s="85">
        <v>0</v>
      </c>
      <c r="AY58" s="78">
        <v>56</v>
      </c>
      <c r="AZ58" s="85">
        <v>0</v>
      </c>
      <c r="BA58" s="85">
        <v>0</v>
      </c>
      <c r="BB58" s="85">
        <v>0</v>
      </c>
      <c r="BC58" s="85">
        <v>0</v>
      </c>
      <c r="BD58" s="85">
        <v>0</v>
      </c>
      <c r="BF58" s="78">
        <v>56</v>
      </c>
      <c r="BG58" s="85">
        <v>0</v>
      </c>
      <c r="BH58" s="85">
        <v>1</v>
      </c>
      <c r="BI58" s="85">
        <v>0</v>
      </c>
      <c r="BJ58" s="85">
        <v>0</v>
      </c>
      <c r="BK58" s="86">
        <v>0</v>
      </c>
      <c r="BM58" s="77"/>
      <c r="BN58" s="78">
        <v>56</v>
      </c>
      <c r="BO58" s="85">
        <f t="shared" si="8"/>
        <v>0</v>
      </c>
      <c r="BP58" s="85">
        <f t="shared" si="8"/>
        <v>1</v>
      </c>
      <c r="BQ58" s="85">
        <f t="shared" si="8"/>
        <v>0</v>
      </c>
      <c r="BR58" s="85">
        <f t="shared" si="8"/>
        <v>0</v>
      </c>
      <c r="BS58" s="85">
        <f t="shared" si="8"/>
        <v>0</v>
      </c>
      <c r="BU58" s="78">
        <v>56</v>
      </c>
      <c r="BV58" s="85">
        <f t="shared" si="9"/>
        <v>0</v>
      </c>
      <c r="BW58" s="85">
        <f t="shared" si="9"/>
        <v>4</v>
      </c>
      <c r="BX58" s="85">
        <f t="shared" si="9"/>
        <v>0</v>
      </c>
      <c r="BY58" s="85">
        <f t="shared" si="9"/>
        <v>0</v>
      </c>
      <c r="BZ58" s="85">
        <f t="shared" si="9"/>
        <v>0</v>
      </c>
      <c r="CB58" s="78">
        <v>56</v>
      </c>
      <c r="CC58" s="78">
        <f t="shared" si="10"/>
        <v>0</v>
      </c>
      <c r="CD58" s="78">
        <f t="shared" si="10"/>
        <v>3.4822022531844965</v>
      </c>
      <c r="CE58" s="78">
        <f t="shared" si="10"/>
        <v>0</v>
      </c>
      <c r="CF58" s="78">
        <f t="shared" si="10"/>
        <v>0</v>
      </c>
      <c r="CG58" s="80">
        <f t="shared" si="10"/>
        <v>0</v>
      </c>
    </row>
    <row r="59" spans="1:85" x14ac:dyDescent="0.3">
      <c r="A59" s="81">
        <v>57</v>
      </c>
      <c r="B59" s="82">
        <v>6</v>
      </c>
      <c r="C59" s="83"/>
      <c r="D59" s="78">
        <v>57</v>
      </c>
      <c r="E59" s="82">
        <v>9</v>
      </c>
      <c r="F59" s="83"/>
      <c r="G59" s="78">
        <v>57</v>
      </c>
      <c r="H59" s="82">
        <v>5</v>
      </c>
      <c r="I59" s="83"/>
      <c r="J59" s="78">
        <v>57</v>
      </c>
      <c r="K59" s="82">
        <v>5</v>
      </c>
      <c r="L59" s="82"/>
      <c r="M59" s="78">
        <v>57</v>
      </c>
      <c r="N59" s="84">
        <v>0.3</v>
      </c>
      <c r="O59" s="84"/>
      <c r="P59" s="78">
        <v>57</v>
      </c>
      <c r="Q59" s="82">
        <v>5</v>
      </c>
      <c r="R59" s="82"/>
      <c r="S59" s="78">
        <v>57</v>
      </c>
      <c r="T59" s="82">
        <v>20</v>
      </c>
      <c r="V59" s="78">
        <v>57</v>
      </c>
      <c r="W59" s="85">
        <f t="shared" si="0"/>
        <v>6</v>
      </c>
      <c r="X59" s="85">
        <f t="shared" si="1"/>
        <v>6</v>
      </c>
      <c r="Y59" s="85">
        <f t="shared" si="2"/>
        <v>5</v>
      </c>
      <c r="Z59" s="85">
        <f t="shared" si="3"/>
        <v>5</v>
      </c>
      <c r="AA59" s="85">
        <f t="shared" si="4"/>
        <v>5</v>
      </c>
      <c r="AB59" s="79"/>
      <c r="AG59" s="78"/>
      <c r="AI59" s="77"/>
      <c r="AK59" s="78">
        <v>57</v>
      </c>
      <c r="AL59" s="85">
        <v>0</v>
      </c>
      <c r="AM59" s="85">
        <v>0</v>
      </c>
      <c r="AN59" s="85">
        <v>0</v>
      </c>
      <c r="AO59" s="85">
        <v>0</v>
      </c>
      <c r="AP59" s="85">
        <v>0</v>
      </c>
      <c r="AR59" s="78">
        <v>57</v>
      </c>
      <c r="AS59" s="85">
        <v>0</v>
      </c>
      <c r="AT59" s="85">
        <v>0</v>
      </c>
      <c r="AU59" s="85">
        <v>0</v>
      </c>
      <c r="AV59" s="85">
        <v>0</v>
      </c>
      <c r="AW59" s="85">
        <v>0</v>
      </c>
      <c r="AY59" s="78">
        <v>57</v>
      </c>
      <c r="AZ59" s="85">
        <v>0</v>
      </c>
      <c r="BA59" s="85">
        <v>0</v>
      </c>
      <c r="BB59" s="85">
        <v>0</v>
      </c>
      <c r="BC59" s="85">
        <v>0</v>
      </c>
      <c r="BD59" s="85">
        <v>0</v>
      </c>
      <c r="BF59" s="78">
        <v>57</v>
      </c>
      <c r="BG59" s="85">
        <v>0</v>
      </c>
      <c r="BH59" s="85">
        <v>0</v>
      </c>
      <c r="BI59" s="85">
        <v>0</v>
      </c>
      <c r="BJ59" s="85">
        <v>0</v>
      </c>
      <c r="BK59" s="86">
        <v>0</v>
      </c>
      <c r="BM59" s="77"/>
      <c r="BN59" s="78">
        <v>57</v>
      </c>
      <c r="BO59" s="85">
        <f t="shared" si="8"/>
        <v>0</v>
      </c>
      <c r="BP59" s="85">
        <f t="shared" si="8"/>
        <v>0</v>
      </c>
      <c r="BQ59" s="85">
        <f t="shared" si="8"/>
        <v>0</v>
      </c>
      <c r="BR59" s="85">
        <f t="shared" si="8"/>
        <v>0</v>
      </c>
      <c r="BS59" s="85">
        <f t="shared" si="8"/>
        <v>0</v>
      </c>
      <c r="BU59" s="78">
        <v>57</v>
      </c>
      <c r="BV59" s="85">
        <f t="shared" si="9"/>
        <v>0</v>
      </c>
      <c r="BW59" s="85">
        <f t="shared" si="9"/>
        <v>0</v>
      </c>
      <c r="BX59" s="85">
        <f t="shared" si="9"/>
        <v>0</v>
      </c>
      <c r="BY59" s="85">
        <f t="shared" si="9"/>
        <v>0</v>
      </c>
      <c r="BZ59" s="85">
        <f t="shared" si="9"/>
        <v>0</v>
      </c>
      <c r="CB59" s="78">
        <v>57</v>
      </c>
      <c r="CC59" s="78">
        <f t="shared" si="10"/>
        <v>0</v>
      </c>
      <c r="CD59" s="78">
        <f t="shared" si="10"/>
        <v>0</v>
      </c>
      <c r="CE59" s="78">
        <f t="shared" si="10"/>
        <v>0</v>
      </c>
      <c r="CF59" s="78">
        <f t="shared" si="10"/>
        <v>0</v>
      </c>
      <c r="CG59" s="80">
        <f t="shared" si="10"/>
        <v>0</v>
      </c>
    </row>
    <row r="60" spans="1:85" x14ac:dyDescent="0.3">
      <c r="A60" s="81">
        <v>58</v>
      </c>
      <c r="B60" s="82">
        <v>14</v>
      </c>
      <c r="C60" s="83"/>
      <c r="D60" s="78">
        <v>58</v>
      </c>
      <c r="E60" s="82">
        <v>5</v>
      </c>
      <c r="F60" s="83"/>
      <c r="G60" s="78">
        <v>58</v>
      </c>
      <c r="H60" s="82">
        <v>3</v>
      </c>
      <c r="I60" s="83"/>
      <c r="J60" s="78">
        <v>58</v>
      </c>
      <c r="K60" s="82">
        <v>2</v>
      </c>
      <c r="L60" s="82"/>
      <c r="M60" s="78">
        <v>58</v>
      </c>
      <c r="N60" s="84">
        <v>0.9</v>
      </c>
      <c r="O60" s="84"/>
      <c r="P60" s="78">
        <v>58</v>
      </c>
      <c r="Q60" s="82">
        <v>1</v>
      </c>
      <c r="R60" s="82"/>
      <c r="S60" s="78">
        <v>58</v>
      </c>
      <c r="T60" s="82">
        <v>22</v>
      </c>
      <c r="V60" s="78">
        <v>58</v>
      </c>
      <c r="W60" s="85">
        <f t="shared" si="0"/>
        <v>11</v>
      </c>
      <c r="X60" s="85">
        <f t="shared" si="1"/>
        <v>10</v>
      </c>
      <c r="Y60" s="85">
        <f t="shared" si="2"/>
        <v>8</v>
      </c>
      <c r="Z60" s="85">
        <f t="shared" si="3"/>
        <v>9</v>
      </c>
      <c r="AA60" s="85">
        <f t="shared" si="4"/>
        <v>9</v>
      </c>
      <c r="AB60" s="79"/>
      <c r="AG60" s="78"/>
      <c r="AI60" s="77"/>
      <c r="AK60" s="78">
        <v>58</v>
      </c>
      <c r="AL60" s="85">
        <v>0</v>
      </c>
      <c r="AM60" s="85">
        <v>0</v>
      </c>
      <c r="AN60" s="85">
        <v>0</v>
      </c>
      <c r="AO60" s="85">
        <v>0</v>
      </c>
      <c r="AP60" s="85">
        <v>0</v>
      </c>
      <c r="AR60" s="78">
        <v>58</v>
      </c>
      <c r="AS60" s="85">
        <v>0</v>
      </c>
      <c r="AT60" s="85">
        <v>0</v>
      </c>
      <c r="AU60" s="85">
        <v>0</v>
      </c>
      <c r="AV60" s="85">
        <v>0</v>
      </c>
      <c r="AW60" s="85">
        <v>0</v>
      </c>
      <c r="AY60" s="78">
        <v>58</v>
      </c>
      <c r="AZ60" s="85">
        <v>0</v>
      </c>
      <c r="BA60" s="85">
        <v>0</v>
      </c>
      <c r="BB60" s="85">
        <v>0</v>
      </c>
      <c r="BC60" s="85">
        <v>0</v>
      </c>
      <c r="BD60" s="85">
        <v>0</v>
      </c>
      <c r="BF60" s="78">
        <v>58</v>
      </c>
      <c r="BG60" s="85">
        <v>0</v>
      </c>
      <c r="BH60" s="85">
        <v>0</v>
      </c>
      <c r="BI60" s="85">
        <v>0</v>
      </c>
      <c r="BJ60" s="85">
        <v>0</v>
      </c>
      <c r="BK60" s="86">
        <v>0</v>
      </c>
      <c r="BM60" s="77"/>
      <c r="BN60" s="78">
        <v>58</v>
      </c>
      <c r="BO60" s="85">
        <f t="shared" si="8"/>
        <v>0</v>
      </c>
      <c r="BP60" s="85">
        <f t="shared" si="8"/>
        <v>0</v>
      </c>
      <c r="BQ60" s="85">
        <f t="shared" si="8"/>
        <v>0</v>
      </c>
      <c r="BR60" s="85">
        <f t="shared" si="8"/>
        <v>0</v>
      </c>
      <c r="BS60" s="85">
        <f t="shared" si="8"/>
        <v>0</v>
      </c>
      <c r="BU60" s="78">
        <v>58</v>
      </c>
      <c r="BV60" s="85">
        <f t="shared" si="9"/>
        <v>0</v>
      </c>
      <c r="BW60" s="85">
        <f t="shared" si="9"/>
        <v>0</v>
      </c>
      <c r="BX60" s="85">
        <f t="shared" si="9"/>
        <v>0</v>
      </c>
      <c r="BY60" s="85">
        <f t="shared" si="9"/>
        <v>0</v>
      </c>
      <c r="BZ60" s="85">
        <f t="shared" si="9"/>
        <v>0</v>
      </c>
      <c r="CB60" s="78">
        <v>58</v>
      </c>
      <c r="CC60" s="78">
        <f t="shared" si="10"/>
        <v>0</v>
      </c>
      <c r="CD60" s="78">
        <f t="shared" si="10"/>
        <v>0</v>
      </c>
      <c r="CE60" s="78">
        <f t="shared" si="10"/>
        <v>0</v>
      </c>
      <c r="CF60" s="78">
        <f t="shared" si="10"/>
        <v>0</v>
      </c>
      <c r="CG60" s="80">
        <f t="shared" si="10"/>
        <v>0</v>
      </c>
    </row>
    <row r="61" spans="1:85" x14ac:dyDescent="0.3">
      <c r="A61" s="81">
        <v>59</v>
      </c>
      <c r="B61" s="82">
        <v>6</v>
      </c>
      <c r="C61" s="83"/>
      <c r="D61" s="78">
        <v>59</v>
      </c>
      <c r="E61" s="82">
        <v>9</v>
      </c>
      <c r="F61" s="83"/>
      <c r="G61" s="78">
        <v>59</v>
      </c>
      <c r="H61" s="82">
        <v>6</v>
      </c>
      <c r="I61" s="83"/>
      <c r="J61" s="78">
        <v>59</v>
      </c>
      <c r="K61" s="82">
        <v>9</v>
      </c>
      <c r="L61" s="82"/>
      <c r="M61" s="78">
        <v>59</v>
      </c>
      <c r="N61" s="84">
        <v>0.9</v>
      </c>
      <c r="O61" s="84"/>
      <c r="P61" s="78">
        <v>59</v>
      </c>
      <c r="Q61" s="82">
        <v>2</v>
      </c>
      <c r="R61" s="82"/>
      <c r="S61" s="78">
        <v>59</v>
      </c>
      <c r="T61" s="82">
        <v>23</v>
      </c>
      <c r="V61" s="78">
        <v>59</v>
      </c>
      <c r="W61" s="85">
        <f t="shared" si="0"/>
        <v>5</v>
      </c>
      <c r="X61" s="85">
        <f t="shared" si="1"/>
        <v>5</v>
      </c>
      <c r="Y61" s="85">
        <f t="shared" si="2"/>
        <v>4</v>
      </c>
      <c r="Z61" s="85">
        <f t="shared" si="3"/>
        <v>4</v>
      </c>
      <c r="AA61" s="85">
        <f t="shared" si="4"/>
        <v>4</v>
      </c>
      <c r="AB61" s="79"/>
      <c r="AG61" s="78"/>
      <c r="AI61" s="77"/>
      <c r="AK61" s="78">
        <v>59</v>
      </c>
      <c r="AL61" s="85">
        <v>0</v>
      </c>
      <c r="AM61" s="85">
        <v>0</v>
      </c>
      <c r="AN61" s="85">
        <v>0</v>
      </c>
      <c r="AO61" s="85">
        <v>0</v>
      </c>
      <c r="AP61" s="85">
        <v>0</v>
      </c>
      <c r="AR61" s="78">
        <v>59</v>
      </c>
      <c r="AS61" s="85">
        <v>0</v>
      </c>
      <c r="AT61" s="85">
        <v>0</v>
      </c>
      <c r="AU61" s="85">
        <v>0</v>
      </c>
      <c r="AV61" s="85">
        <v>0</v>
      </c>
      <c r="AW61" s="85">
        <v>0</v>
      </c>
      <c r="AY61" s="78">
        <v>59</v>
      </c>
      <c r="AZ61" s="85">
        <v>0</v>
      </c>
      <c r="BA61" s="85">
        <v>0</v>
      </c>
      <c r="BB61" s="85">
        <v>0</v>
      </c>
      <c r="BC61" s="85">
        <v>0</v>
      </c>
      <c r="BD61" s="85">
        <v>0</v>
      </c>
      <c r="BF61" s="78">
        <v>59</v>
      </c>
      <c r="BG61" s="85">
        <v>0</v>
      </c>
      <c r="BH61" s="85">
        <v>0</v>
      </c>
      <c r="BI61" s="85">
        <v>0</v>
      </c>
      <c r="BJ61" s="85">
        <v>0</v>
      </c>
      <c r="BK61" s="86">
        <v>1</v>
      </c>
      <c r="BM61" s="77"/>
      <c r="BN61" s="78">
        <v>59</v>
      </c>
      <c r="BO61" s="85">
        <f t="shared" si="8"/>
        <v>0</v>
      </c>
      <c r="BP61" s="85">
        <f t="shared" si="8"/>
        <v>0</v>
      </c>
      <c r="BQ61" s="85">
        <f t="shared" si="8"/>
        <v>0</v>
      </c>
      <c r="BR61" s="85">
        <f t="shared" si="8"/>
        <v>0</v>
      </c>
      <c r="BS61" s="85">
        <f t="shared" si="8"/>
        <v>1</v>
      </c>
      <c r="BU61" s="78">
        <v>59</v>
      </c>
      <c r="BV61" s="85">
        <f t="shared" si="9"/>
        <v>0</v>
      </c>
      <c r="BW61" s="85">
        <f t="shared" si="9"/>
        <v>0</v>
      </c>
      <c r="BX61" s="85">
        <f t="shared" si="9"/>
        <v>0</v>
      </c>
      <c r="BY61" s="85">
        <f t="shared" si="9"/>
        <v>0</v>
      </c>
      <c r="BZ61" s="85">
        <f t="shared" si="9"/>
        <v>4</v>
      </c>
      <c r="CB61" s="78">
        <v>59</v>
      </c>
      <c r="CC61" s="78">
        <f t="shared" si="10"/>
        <v>0</v>
      </c>
      <c r="CD61" s="78">
        <f t="shared" si="10"/>
        <v>0</v>
      </c>
      <c r="CE61" s="78">
        <f t="shared" si="10"/>
        <v>0</v>
      </c>
      <c r="CF61" s="78">
        <f t="shared" si="10"/>
        <v>0</v>
      </c>
      <c r="CG61" s="80">
        <f t="shared" si="10"/>
        <v>3.4822022531844965</v>
      </c>
    </row>
    <row r="62" spans="1:85" x14ac:dyDescent="0.3">
      <c r="A62" s="81">
        <v>60</v>
      </c>
      <c r="B62" s="82">
        <v>7</v>
      </c>
      <c r="C62" s="83"/>
      <c r="D62" s="78">
        <v>60</v>
      </c>
      <c r="E62" s="82">
        <v>7</v>
      </c>
      <c r="F62" s="83"/>
      <c r="G62" s="78">
        <v>60</v>
      </c>
      <c r="H62" s="82">
        <v>3</v>
      </c>
      <c r="I62" s="83"/>
      <c r="J62" s="78">
        <v>60</v>
      </c>
      <c r="K62" s="82">
        <v>12</v>
      </c>
      <c r="L62" s="82"/>
      <c r="M62" s="78">
        <v>60</v>
      </c>
      <c r="N62" s="84">
        <v>0.5</v>
      </c>
      <c r="O62" s="84"/>
      <c r="P62" s="78">
        <v>60</v>
      </c>
      <c r="Q62" s="82">
        <v>2</v>
      </c>
      <c r="R62" s="82"/>
      <c r="S62" s="78">
        <v>60</v>
      </c>
      <c r="T62" s="82">
        <v>21</v>
      </c>
      <c r="V62" s="78">
        <v>60</v>
      </c>
      <c r="W62" s="85">
        <f t="shared" si="0"/>
        <v>11</v>
      </c>
      <c r="X62" s="85">
        <f t="shared" si="1"/>
        <v>10</v>
      </c>
      <c r="Y62" s="85">
        <f t="shared" si="2"/>
        <v>8</v>
      </c>
      <c r="Z62" s="85">
        <f t="shared" si="3"/>
        <v>9</v>
      </c>
      <c r="AA62" s="85">
        <f t="shared" si="4"/>
        <v>9</v>
      </c>
      <c r="AB62" s="79"/>
      <c r="AG62" s="78"/>
      <c r="AI62" s="77"/>
      <c r="AK62" s="78">
        <v>60</v>
      </c>
      <c r="AL62" s="85">
        <v>0</v>
      </c>
      <c r="AM62" s="85">
        <v>0</v>
      </c>
      <c r="AN62" s="85">
        <v>0</v>
      </c>
      <c r="AO62" s="85">
        <v>0</v>
      </c>
      <c r="AP62" s="85">
        <v>1</v>
      </c>
      <c r="AR62" s="78">
        <v>60</v>
      </c>
      <c r="AS62" s="85">
        <v>0</v>
      </c>
      <c r="AT62" s="85">
        <v>0</v>
      </c>
      <c r="AU62" s="85">
        <v>0</v>
      </c>
      <c r="AV62" s="85">
        <v>0</v>
      </c>
      <c r="AW62" s="85">
        <v>0</v>
      </c>
      <c r="AY62" s="78">
        <v>60</v>
      </c>
      <c r="AZ62" s="85">
        <v>0</v>
      </c>
      <c r="BA62" s="85">
        <v>0</v>
      </c>
      <c r="BB62" s="85">
        <v>0</v>
      </c>
      <c r="BC62" s="85">
        <v>0</v>
      </c>
      <c r="BD62" s="85">
        <v>0</v>
      </c>
      <c r="BF62" s="78">
        <v>60</v>
      </c>
      <c r="BG62" s="85">
        <v>0</v>
      </c>
      <c r="BH62" s="85">
        <v>0</v>
      </c>
      <c r="BI62" s="85">
        <v>0</v>
      </c>
      <c r="BJ62" s="85">
        <v>0</v>
      </c>
      <c r="BK62" s="86">
        <v>0</v>
      </c>
      <c r="BM62" s="77"/>
      <c r="BN62" s="78">
        <v>60</v>
      </c>
      <c r="BO62" s="85">
        <f t="shared" si="8"/>
        <v>0</v>
      </c>
      <c r="BP62" s="85">
        <f t="shared" si="8"/>
        <v>0</v>
      </c>
      <c r="BQ62" s="85">
        <f t="shared" si="8"/>
        <v>0</v>
      </c>
      <c r="BR62" s="85">
        <f t="shared" si="8"/>
        <v>0</v>
      </c>
      <c r="BS62" s="85">
        <f t="shared" si="8"/>
        <v>1</v>
      </c>
      <c r="BU62" s="78">
        <v>60</v>
      </c>
      <c r="BV62" s="85">
        <f t="shared" si="9"/>
        <v>0</v>
      </c>
      <c r="BW62" s="85">
        <f t="shared" si="9"/>
        <v>0</v>
      </c>
      <c r="BX62" s="85">
        <f t="shared" si="9"/>
        <v>0</v>
      </c>
      <c r="BY62" s="85">
        <f t="shared" si="9"/>
        <v>0</v>
      </c>
      <c r="BZ62" s="85">
        <f t="shared" si="9"/>
        <v>1</v>
      </c>
      <c r="CB62" s="78">
        <v>60</v>
      </c>
      <c r="CC62" s="78">
        <f t="shared" si="10"/>
        <v>0</v>
      </c>
      <c r="CD62" s="78">
        <f t="shared" si="10"/>
        <v>0</v>
      </c>
      <c r="CE62" s="78">
        <f t="shared" si="10"/>
        <v>0</v>
      </c>
      <c r="CF62" s="78">
        <f t="shared" si="10"/>
        <v>0</v>
      </c>
      <c r="CG62" s="80">
        <f t="shared" si="10"/>
        <v>1</v>
      </c>
    </row>
    <row r="63" spans="1:85" x14ac:dyDescent="0.3">
      <c r="A63" s="81">
        <v>61</v>
      </c>
      <c r="B63" s="82">
        <v>13</v>
      </c>
      <c r="C63" s="83"/>
      <c r="D63" s="78">
        <v>61</v>
      </c>
      <c r="E63" s="82">
        <v>10</v>
      </c>
      <c r="F63" s="83"/>
      <c r="G63" s="78">
        <v>61</v>
      </c>
      <c r="H63" s="82">
        <v>4</v>
      </c>
      <c r="I63" s="83"/>
      <c r="J63" s="78">
        <v>61</v>
      </c>
      <c r="K63" s="82">
        <v>10</v>
      </c>
      <c r="L63" s="82"/>
      <c r="M63" s="78">
        <v>61</v>
      </c>
      <c r="N63" s="84">
        <v>0.6</v>
      </c>
      <c r="O63" s="84"/>
      <c r="P63" s="78">
        <v>61</v>
      </c>
      <c r="Q63" s="82">
        <v>5</v>
      </c>
      <c r="R63" s="82"/>
      <c r="S63" s="78">
        <v>61</v>
      </c>
      <c r="T63" s="82">
        <v>17</v>
      </c>
      <c r="V63" s="78">
        <v>61</v>
      </c>
      <c r="W63" s="85">
        <f t="shared" si="0"/>
        <v>8</v>
      </c>
      <c r="X63" s="85">
        <f t="shared" si="1"/>
        <v>7</v>
      </c>
      <c r="Y63" s="85">
        <f t="shared" si="2"/>
        <v>6</v>
      </c>
      <c r="Z63" s="85">
        <f t="shared" si="3"/>
        <v>6</v>
      </c>
      <c r="AA63" s="85">
        <f t="shared" si="4"/>
        <v>7</v>
      </c>
      <c r="AB63" s="79"/>
      <c r="AG63" s="78"/>
      <c r="AI63" s="77"/>
      <c r="AK63" s="78">
        <v>61</v>
      </c>
      <c r="AL63" s="85">
        <v>0</v>
      </c>
      <c r="AM63" s="85">
        <v>1</v>
      </c>
      <c r="AN63" s="85">
        <v>0</v>
      </c>
      <c r="AO63" s="85">
        <v>0</v>
      </c>
      <c r="AP63" s="85">
        <v>0</v>
      </c>
      <c r="AR63" s="78">
        <v>61</v>
      </c>
      <c r="AS63" s="85">
        <v>0</v>
      </c>
      <c r="AT63" s="85">
        <v>0</v>
      </c>
      <c r="AU63" s="85">
        <v>0</v>
      </c>
      <c r="AV63" s="85">
        <v>0</v>
      </c>
      <c r="AW63" s="85">
        <v>0</v>
      </c>
      <c r="AY63" s="78">
        <v>61</v>
      </c>
      <c r="AZ63" s="85">
        <v>0</v>
      </c>
      <c r="BA63" s="85">
        <v>0</v>
      </c>
      <c r="BB63" s="85">
        <v>0</v>
      </c>
      <c r="BC63" s="85">
        <v>0</v>
      </c>
      <c r="BD63" s="85">
        <v>0</v>
      </c>
      <c r="BF63" s="78">
        <v>61</v>
      </c>
      <c r="BG63" s="85">
        <v>0</v>
      </c>
      <c r="BH63" s="85">
        <v>0</v>
      </c>
      <c r="BI63" s="85">
        <v>0</v>
      </c>
      <c r="BJ63" s="85">
        <v>0</v>
      </c>
      <c r="BK63" s="86">
        <v>0</v>
      </c>
      <c r="BM63" s="77"/>
      <c r="BN63" s="78">
        <v>61</v>
      </c>
      <c r="BO63" s="85">
        <f t="shared" si="8"/>
        <v>0</v>
      </c>
      <c r="BP63" s="85">
        <f t="shared" si="8"/>
        <v>1</v>
      </c>
      <c r="BQ63" s="85">
        <f t="shared" si="8"/>
        <v>0</v>
      </c>
      <c r="BR63" s="85">
        <f t="shared" si="8"/>
        <v>0</v>
      </c>
      <c r="BS63" s="85">
        <f t="shared" si="8"/>
        <v>0</v>
      </c>
      <c r="BU63" s="78">
        <v>61</v>
      </c>
      <c r="BV63" s="85">
        <f t="shared" si="9"/>
        <v>0</v>
      </c>
      <c r="BW63" s="85">
        <f t="shared" si="9"/>
        <v>1</v>
      </c>
      <c r="BX63" s="85">
        <f t="shared" si="9"/>
        <v>0</v>
      </c>
      <c r="BY63" s="85">
        <f t="shared" si="9"/>
        <v>0</v>
      </c>
      <c r="BZ63" s="85">
        <f t="shared" si="9"/>
        <v>0</v>
      </c>
      <c r="CB63" s="78">
        <v>61</v>
      </c>
      <c r="CC63" s="78">
        <f t="shared" si="10"/>
        <v>0</v>
      </c>
      <c r="CD63" s="78">
        <f t="shared" si="10"/>
        <v>1</v>
      </c>
      <c r="CE63" s="78">
        <f t="shared" si="10"/>
        <v>0</v>
      </c>
      <c r="CF63" s="78">
        <f t="shared" si="10"/>
        <v>0</v>
      </c>
      <c r="CG63" s="80">
        <f t="shared" si="10"/>
        <v>0</v>
      </c>
    </row>
    <row r="64" spans="1:85" x14ac:dyDescent="0.3">
      <c r="A64" s="81">
        <v>62</v>
      </c>
      <c r="B64" s="82">
        <v>14</v>
      </c>
      <c r="C64" s="83"/>
      <c r="D64" s="78">
        <v>62</v>
      </c>
      <c r="E64" s="82">
        <v>8</v>
      </c>
      <c r="F64" s="83"/>
      <c r="G64" s="78">
        <v>62</v>
      </c>
      <c r="H64" s="82">
        <v>7</v>
      </c>
      <c r="I64" s="83"/>
      <c r="J64" s="78">
        <v>62</v>
      </c>
      <c r="K64" s="82">
        <v>15</v>
      </c>
      <c r="L64" s="82"/>
      <c r="M64" s="78">
        <v>62</v>
      </c>
      <c r="N64" s="84">
        <v>0.9</v>
      </c>
      <c r="O64" s="84"/>
      <c r="P64" s="78">
        <v>62</v>
      </c>
      <c r="Q64" s="82">
        <v>2</v>
      </c>
      <c r="R64" s="82"/>
      <c r="S64" s="78">
        <v>62</v>
      </c>
      <c r="T64" s="82">
        <v>25</v>
      </c>
      <c r="V64" s="78">
        <v>62</v>
      </c>
      <c r="W64" s="85">
        <f t="shared" si="0"/>
        <v>4</v>
      </c>
      <c r="X64" s="85">
        <f t="shared" si="1"/>
        <v>4</v>
      </c>
      <c r="Y64" s="85">
        <f t="shared" si="2"/>
        <v>3</v>
      </c>
      <c r="Z64" s="85">
        <f t="shared" si="3"/>
        <v>3</v>
      </c>
      <c r="AA64" s="85">
        <f t="shared" si="4"/>
        <v>4</v>
      </c>
      <c r="AB64" s="79"/>
      <c r="AG64" s="78"/>
      <c r="AI64" s="77"/>
      <c r="AK64" s="78">
        <v>62</v>
      </c>
      <c r="AL64" s="85">
        <v>0</v>
      </c>
      <c r="AM64" s="85">
        <v>0</v>
      </c>
      <c r="AN64" s="85">
        <v>0</v>
      </c>
      <c r="AO64" s="85">
        <v>0</v>
      </c>
      <c r="AP64" s="85">
        <v>0</v>
      </c>
      <c r="AR64" s="78">
        <v>62</v>
      </c>
      <c r="AS64" s="85">
        <v>0</v>
      </c>
      <c r="AT64" s="85">
        <v>0</v>
      </c>
      <c r="AU64" s="85">
        <v>0</v>
      </c>
      <c r="AV64" s="85">
        <v>0</v>
      </c>
      <c r="AW64" s="85">
        <v>0</v>
      </c>
      <c r="AY64" s="78">
        <v>62</v>
      </c>
      <c r="AZ64" s="85">
        <v>0</v>
      </c>
      <c r="BA64" s="85">
        <v>0</v>
      </c>
      <c r="BB64" s="85">
        <v>0</v>
      </c>
      <c r="BC64" s="85">
        <v>0</v>
      </c>
      <c r="BD64" s="85">
        <v>0</v>
      </c>
      <c r="BF64" s="78">
        <v>62</v>
      </c>
      <c r="BG64" s="85">
        <v>0</v>
      </c>
      <c r="BH64" s="85">
        <v>0</v>
      </c>
      <c r="BI64" s="85">
        <v>1</v>
      </c>
      <c r="BJ64" s="85">
        <v>0</v>
      </c>
      <c r="BK64" s="86">
        <v>0</v>
      </c>
      <c r="BM64" s="77"/>
      <c r="BN64" s="78">
        <v>62</v>
      </c>
      <c r="BO64" s="85">
        <f t="shared" si="8"/>
        <v>0</v>
      </c>
      <c r="BP64" s="85">
        <f t="shared" si="8"/>
        <v>0</v>
      </c>
      <c r="BQ64" s="85">
        <f t="shared" si="8"/>
        <v>1</v>
      </c>
      <c r="BR64" s="85">
        <f t="shared" si="8"/>
        <v>0</v>
      </c>
      <c r="BS64" s="85">
        <f t="shared" si="8"/>
        <v>0</v>
      </c>
      <c r="BU64" s="78">
        <v>62</v>
      </c>
      <c r="BV64" s="85">
        <f t="shared" si="9"/>
        <v>0</v>
      </c>
      <c r="BW64" s="85">
        <f t="shared" si="9"/>
        <v>0</v>
      </c>
      <c r="BX64" s="85">
        <f t="shared" si="9"/>
        <v>4</v>
      </c>
      <c r="BY64" s="85">
        <f t="shared" si="9"/>
        <v>0</v>
      </c>
      <c r="BZ64" s="85">
        <f t="shared" si="9"/>
        <v>0</v>
      </c>
      <c r="CB64" s="78">
        <v>62</v>
      </c>
      <c r="CC64" s="78">
        <f t="shared" si="10"/>
        <v>0</v>
      </c>
      <c r="CD64" s="78">
        <f t="shared" si="10"/>
        <v>0</v>
      </c>
      <c r="CE64" s="78">
        <f t="shared" si="10"/>
        <v>3.4822022531844965</v>
      </c>
      <c r="CF64" s="78">
        <f t="shared" si="10"/>
        <v>0</v>
      </c>
      <c r="CG64" s="80">
        <f t="shared" si="10"/>
        <v>0</v>
      </c>
    </row>
    <row r="65" spans="1:85" x14ac:dyDescent="0.3">
      <c r="A65" s="81">
        <v>63</v>
      </c>
      <c r="B65" s="82">
        <v>14</v>
      </c>
      <c r="C65" s="83"/>
      <c r="D65" s="78">
        <v>63</v>
      </c>
      <c r="E65" s="82">
        <v>6</v>
      </c>
      <c r="F65" s="83"/>
      <c r="G65" s="78">
        <v>63</v>
      </c>
      <c r="H65" s="82">
        <v>6</v>
      </c>
      <c r="I65" s="83"/>
      <c r="J65" s="78">
        <v>63</v>
      </c>
      <c r="K65" s="82">
        <v>12</v>
      </c>
      <c r="L65" s="82"/>
      <c r="M65" s="78">
        <v>63</v>
      </c>
      <c r="N65" s="84">
        <v>0.2</v>
      </c>
      <c r="O65" s="84"/>
      <c r="P65" s="78">
        <v>63</v>
      </c>
      <c r="Q65" s="82">
        <v>2</v>
      </c>
      <c r="R65" s="82"/>
      <c r="S65" s="78">
        <v>63</v>
      </c>
      <c r="T65" s="82">
        <v>20</v>
      </c>
      <c r="V65" s="78">
        <v>63</v>
      </c>
      <c r="W65" s="85">
        <f t="shared" si="0"/>
        <v>5</v>
      </c>
      <c r="X65" s="85">
        <f t="shared" si="1"/>
        <v>5</v>
      </c>
      <c r="Y65" s="85">
        <f t="shared" si="2"/>
        <v>4</v>
      </c>
      <c r="Z65" s="85">
        <f t="shared" si="3"/>
        <v>4</v>
      </c>
      <c r="AA65" s="85">
        <f t="shared" si="4"/>
        <v>4</v>
      </c>
      <c r="AB65" s="79"/>
      <c r="AG65" s="78"/>
      <c r="AI65" s="77"/>
      <c r="AK65" s="78">
        <v>63</v>
      </c>
      <c r="AL65" s="85">
        <v>0</v>
      </c>
      <c r="AM65" s="85">
        <v>1</v>
      </c>
      <c r="AN65" s="85">
        <v>0</v>
      </c>
      <c r="AO65" s="85">
        <v>0</v>
      </c>
      <c r="AP65" s="85">
        <v>0</v>
      </c>
      <c r="AR65" s="78">
        <v>63</v>
      </c>
      <c r="AS65" s="85">
        <v>0</v>
      </c>
      <c r="AT65" s="85">
        <v>0</v>
      </c>
      <c r="AU65" s="85">
        <v>0</v>
      </c>
      <c r="AV65" s="85">
        <v>0</v>
      </c>
      <c r="AW65" s="85">
        <v>0</v>
      </c>
      <c r="AY65" s="78">
        <v>63</v>
      </c>
      <c r="AZ65" s="85">
        <v>0</v>
      </c>
      <c r="BA65" s="85">
        <v>0</v>
      </c>
      <c r="BB65" s="85">
        <v>0</v>
      </c>
      <c r="BC65" s="85">
        <v>0</v>
      </c>
      <c r="BD65" s="85">
        <v>0</v>
      </c>
      <c r="BF65" s="78">
        <v>63</v>
      </c>
      <c r="BG65" s="85">
        <v>0</v>
      </c>
      <c r="BH65" s="85">
        <v>0</v>
      </c>
      <c r="BI65" s="85">
        <v>0</v>
      </c>
      <c r="BJ65" s="85">
        <v>0</v>
      </c>
      <c r="BK65" s="86">
        <v>0</v>
      </c>
      <c r="BM65" s="77"/>
      <c r="BN65" s="78">
        <v>63</v>
      </c>
      <c r="BO65" s="85">
        <f t="shared" si="8"/>
        <v>0</v>
      </c>
      <c r="BP65" s="85">
        <f t="shared" si="8"/>
        <v>1</v>
      </c>
      <c r="BQ65" s="85">
        <f t="shared" si="8"/>
        <v>0</v>
      </c>
      <c r="BR65" s="85">
        <f t="shared" si="8"/>
        <v>0</v>
      </c>
      <c r="BS65" s="85">
        <f t="shared" si="8"/>
        <v>0</v>
      </c>
      <c r="BU65" s="78">
        <v>63</v>
      </c>
      <c r="BV65" s="85">
        <f t="shared" si="9"/>
        <v>0</v>
      </c>
      <c r="BW65" s="85">
        <f t="shared" si="9"/>
        <v>1</v>
      </c>
      <c r="BX65" s="85">
        <f t="shared" si="9"/>
        <v>0</v>
      </c>
      <c r="BY65" s="85">
        <f t="shared" si="9"/>
        <v>0</v>
      </c>
      <c r="BZ65" s="85">
        <f t="shared" si="9"/>
        <v>0</v>
      </c>
      <c r="CB65" s="78">
        <v>63</v>
      </c>
      <c r="CC65" s="78">
        <f t="shared" si="10"/>
        <v>0</v>
      </c>
      <c r="CD65" s="78">
        <f t="shared" si="10"/>
        <v>1</v>
      </c>
      <c r="CE65" s="78">
        <f t="shared" si="10"/>
        <v>0</v>
      </c>
      <c r="CF65" s="78">
        <f t="shared" si="10"/>
        <v>0</v>
      </c>
      <c r="CG65" s="80">
        <f t="shared" si="10"/>
        <v>0</v>
      </c>
    </row>
    <row r="66" spans="1:85" x14ac:dyDescent="0.3">
      <c r="A66" s="81">
        <v>64</v>
      </c>
      <c r="B66" s="82">
        <v>11</v>
      </c>
      <c r="C66" s="83"/>
      <c r="D66" s="78">
        <v>64</v>
      </c>
      <c r="E66" s="82">
        <v>7</v>
      </c>
      <c r="F66" s="83"/>
      <c r="G66" s="78">
        <v>64</v>
      </c>
      <c r="H66" s="82">
        <v>8</v>
      </c>
      <c r="I66" s="83"/>
      <c r="J66" s="78">
        <v>64</v>
      </c>
      <c r="K66" s="82">
        <v>6</v>
      </c>
      <c r="L66" s="82"/>
      <c r="M66" s="78">
        <v>64</v>
      </c>
      <c r="N66" s="84">
        <v>0.4</v>
      </c>
      <c r="O66" s="84"/>
      <c r="P66" s="78">
        <v>64</v>
      </c>
      <c r="Q66" s="82">
        <v>4</v>
      </c>
      <c r="R66" s="82"/>
      <c r="S66" s="78">
        <v>64</v>
      </c>
      <c r="T66" s="82">
        <v>17</v>
      </c>
      <c r="V66" s="78">
        <v>64</v>
      </c>
      <c r="W66" s="85">
        <f t="shared" si="0"/>
        <v>4</v>
      </c>
      <c r="X66" s="85">
        <f t="shared" si="1"/>
        <v>3</v>
      </c>
      <c r="Y66" s="85">
        <f t="shared" si="2"/>
        <v>3</v>
      </c>
      <c r="Z66" s="85">
        <f t="shared" si="3"/>
        <v>3</v>
      </c>
      <c r="AA66" s="85">
        <f t="shared" si="4"/>
        <v>3</v>
      </c>
      <c r="AB66" s="79"/>
      <c r="AG66" s="78"/>
      <c r="AI66" s="77"/>
      <c r="AK66" s="78">
        <v>64</v>
      </c>
      <c r="AL66" s="85">
        <v>0</v>
      </c>
      <c r="AM66" s="85">
        <v>0</v>
      </c>
      <c r="AN66" s="85">
        <v>0</v>
      </c>
      <c r="AO66" s="85">
        <v>0</v>
      </c>
      <c r="AP66" s="85">
        <v>0</v>
      </c>
      <c r="AR66" s="78">
        <v>64</v>
      </c>
      <c r="AS66" s="85">
        <v>0</v>
      </c>
      <c r="AT66" s="85">
        <v>0</v>
      </c>
      <c r="AU66" s="85">
        <v>0</v>
      </c>
      <c r="AV66" s="85">
        <v>0</v>
      </c>
      <c r="AW66" s="85">
        <v>0</v>
      </c>
      <c r="AY66" s="78">
        <v>64</v>
      </c>
      <c r="AZ66" s="85">
        <v>0</v>
      </c>
      <c r="BA66" s="85">
        <v>0</v>
      </c>
      <c r="BB66" s="85">
        <v>0</v>
      </c>
      <c r="BC66" s="85">
        <v>0</v>
      </c>
      <c r="BD66" s="85">
        <v>0</v>
      </c>
      <c r="BF66" s="78">
        <v>64</v>
      </c>
      <c r="BG66" s="85">
        <v>0</v>
      </c>
      <c r="BH66" s="85">
        <v>0</v>
      </c>
      <c r="BI66" s="85">
        <v>0</v>
      </c>
      <c r="BJ66" s="85">
        <v>0</v>
      </c>
      <c r="BK66" s="86">
        <v>0</v>
      </c>
      <c r="BM66" s="77"/>
      <c r="BN66" s="78">
        <v>64</v>
      </c>
      <c r="BO66" s="85">
        <f t="shared" si="8"/>
        <v>0</v>
      </c>
      <c r="BP66" s="85">
        <f t="shared" si="8"/>
        <v>0</v>
      </c>
      <c r="BQ66" s="85">
        <f t="shared" si="8"/>
        <v>0</v>
      </c>
      <c r="BR66" s="85">
        <f t="shared" si="8"/>
        <v>0</v>
      </c>
      <c r="BS66" s="85">
        <f t="shared" si="8"/>
        <v>0</v>
      </c>
      <c r="BU66" s="78">
        <v>64</v>
      </c>
      <c r="BV66" s="85">
        <f t="shared" si="9"/>
        <v>0</v>
      </c>
      <c r="BW66" s="85">
        <f t="shared" si="9"/>
        <v>0</v>
      </c>
      <c r="BX66" s="85">
        <f t="shared" si="9"/>
        <v>0</v>
      </c>
      <c r="BY66" s="85">
        <f t="shared" si="9"/>
        <v>0</v>
      </c>
      <c r="BZ66" s="85">
        <f t="shared" si="9"/>
        <v>0</v>
      </c>
      <c r="CB66" s="78">
        <v>64</v>
      </c>
      <c r="CC66" s="78">
        <f t="shared" si="10"/>
        <v>0</v>
      </c>
      <c r="CD66" s="78">
        <f t="shared" si="10"/>
        <v>0</v>
      </c>
      <c r="CE66" s="78">
        <f t="shared" si="10"/>
        <v>0</v>
      </c>
      <c r="CF66" s="78">
        <f t="shared" si="10"/>
        <v>0</v>
      </c>
      <c r="CG66" s="80">
        <f t="shared" si="10"/>
        <v>0</v>
      </c>
    </row>
    <row r="67" spans="1:85" x14ac:dyDescent="0.3">
      <c r="A67" s="81">
        <v>65</v>
      </c>
      <c r="B67" s="82">
        <v>11</v>
      </c>
      <c r="C67" s="83"/>
      <c r="D67" s="78">
        <v>65</v>
      </c>
      <c r="E67" s="82">
        <v>7</v>
      </c>
      <c r="F67" s="83"/>
      <c r="G67" s="78">
        <v>65</v>
      </c>
      <c r="H67" s="82">
        <v>2</v>
      </c>
      <c r="I67" s="83"/>
      <c r="J67" s="78">
        <v>65</v>
      </c>
      <c r="K67" s="82">
        <v>5</v>
      </c>
      <c r="L67" s="82"/>
      <c r="M67" s="78">
        <v>65</v>
      </c>
      <c r="N67" s="84">
        <v>0.3</v>
      </c>
      <c r="O67" s="84"/>
      <c r="P67" s="78">
        <v>65</v>
      </c>
      <c r="Q67" s="82">
        <v>2</v>
      </c>
      <c r="R67" s="82"/>
      <c r="S67" s="78">
        <v>65</v>
      </c>
      <c r="T67" s="82">
        <v>22</v>
      </c>
      <c r="V67" s="78">
        <v>65</v>
      </c>
      <c r="W67" s="85">
        <f t="shared" si="0"/>
        <v>17</v>
      </c>
      <c r="X67" s="85">
        <f t="shared" si="1"/>
        <v>15</v>
      </c>
      <c r="Y67" s="85">
        <f t="shared" si="2"/>
        <v>13</v>
      </c>
      <c r="Z67" s="85">
        <f t="shared" si="3"/>
        <v>13</v>
      </c>
      <c r="AA67" s="85">
        <f t="shared" si="4"/>
        <v>14</v>
      </c>
      <c r="AB67" s="79"/>
      <c r="AG67" s="78"/>
      <c r="AI67" s="77"/>
      <c r="AK67" s="78">
        <v>65</v>
      </c>
      <c r="AL67" s="85">
        <v>0</v>
      </c>
      <c r="AM67" s="85">
        <v>0</v>
      </c>
      <c r="AN67" s="85">
        <v>0</v>
      </c>
      <c r="AO67" s="85">
        <v>0</v>
      </c>
      <c r="AP67" s="85">
        <v>0</v>
      </c>
      <c r="AR67" s="78">
        <v>65</v>
      </c>
      <c r="AS67" s="85">
        <v>0</v>
      </c>
      <c r="AT67" s="85">
        <v>0</v>
      </c>
      <c r="AU67" s="85">
        <v>0</v>
      </c>
      <c r="AV67" s="85">
        <v>0</v>
      </c>
      <c r="AW67" s="85">
        <v>0</v>
      </c>
      <c r="AY67" s="78">
        <v>65</v>
      </c>
      <c r="AZ67" s="85">
        <v>0</v>
      </c>
      <c r="BA67" s="85">
        <v>0</v>
      </c>
      <c r="BB67" s="85">
        <v>0</v>
      </c>
      <c r="BC67" s="85">
        <v>0</v>
      </c>
      <c r="BD67" s="85">
        <v>0</v>
      </c>
      <c r="BF67" s="78">
        <v>65</v>
      </c>
      <c r="BG67" s="85">
        <v>0</v>
      </c>
      <c r="BH67" s="85">
        <v>0</v>
      </c>
      <c r="BI67" s="85">
        <v>0</v>
      </c>
      <c r="BJ67" s="85">
        <v>0</v>
      </c>
      <c r="BK67" s="86">
        <v>0</v>
      </c>
      <c r="BM67" s="77"/>
      <c r="BN67" s="78">
        <v>65</v>
      </c>
      <c r="BO67" s="85">
        <f t="shared" si="8"/>
        <v>0</v>
      </c>
      <c r="BP67" s="85">
        <f t="shared" si="8"/>
        <v>0</v>
      </c>
      <c r="BQ67" s="85">
        <f t="shared" si="8"/>
        <v>0</v>
      </c>
      <c r="BR67" s="85">
        <f t="shared" si="8"/>
        <v>0</v>
      </c>
      <c r="BS67" s="85">
        <f t="shared" si="8"/>
        <v>0</v>
      </c>
      <c r="BU67" s="78">
        <v>65</v>
      </c>
      <c r="BV67" s="85">
        <f t="shared" si="9"/>
        <v>0</v>
      </c>
      <c r="BW67" s="85">
        <f t="shared" si="9"/>
        <v>0</v>
      </c>
      <c r="BX67" s="85">
        <f t="shared" si="9"/>
        <v>0</v>
      </c>
      <c r="BY67" s="85">
        <f t="shared" si="9"/>
        <v>0</v>
      </c>
      <c r="BZ67" s="85">
        <f t="shared" si="9"/>
        <v>0</v>
      </c>
      <c r="CB67" s="78">
        <v>65</v>
      </c>
      <c r="CC67" s="78">
        <f t="shared" si="10"/>
        <v>0</v>
      </c>
      <c r="CD67" s="78">
        <f t="shared" si="10"/>
        <v>0</v>
      </c>
      <c r="CE67" s="78">
        <f t="shared" si="10"/>
        <v>0</v>
      </c>
      <c r="CF67" s="78">
        <f t="shared" si="10"/>
        <v>0</v>
      </c>
      <c r="CG67" s="80">
        <f t="shared" si="10"/>
        <v>0</v>
      </c>
    </row>
    <row r="68" spans="1:85" x14ac:dyDescent="0.3">
      <c r="A68" s="81">
        <v>66</v>
      </c>
      <c r="B68" s="82">
        <v>12</v>
      </c>
      <c r="C68" s="83"/>
      <c r="D68" s="78">
        <v>66</v>
      </c>
      <c r="E68" s="82">
        <v>5</v>
      </c>
      <c r="F68" s="83"/>
      <c r="G68" s="78">
        <v>66</v>
      </c>
      <c r="H68" s="82">
        <v>6</v>
      </c>
      <c r="I68" s="83"/>
      <c r="J68" s="78">
        <v>66</v>
      </c>
      <c r="K68" s="82">
        <v>4</v>
      </c>
      <c r="L68" s="82"/>
      <c r="M68" s="78">
        <v>66</v>
      </c>
      <c r="N68" s="84">
        <v>0.3</v>
      </c>
      <c r="O68" s="84"/>
      <c r="P68" s="78">
        <v>66</v>
      </c>
      <c r="Q68" s="82">
        <v>3</v>
      </c>
      <c r="R68" s="82"/>
      <c r="S68" s="78">
        <v>66</v>
      </c>
      <c r="T68" s="82">
        <v>23</v>
      </c>
      <c r="V68" s="78">
        <v>66</v>
      </c>
      <c r="W68" s="85">
        <f t="shared" ref="W68:W102" si="11">$E$134/$H68-MOD($E$134/$H68,1)</f>
        <v>5</v>
      </c>
      <c r="X68" s="85">
        <f t="shared" ref="X68:X102" si="12">$E$135/$H68-MOD($E$135/$H68,1)</f>
        <v>5</v>
      </c>
      <c r="Y68" s="85">
        <f t="shared" ref="Y68:Y102" si="13">$E$136/$H68-MOD($E$136/$H68,1)</f>
        <v>4</v>
      </c>
      <c r="Z68" s="85">
        <f t="shared" ref="Z68:Z102" si="14">$E$137/$H68-MOD($E$137/$H68,1)</f>
        <v>4</v>
      </c>
      <c r="AA68" s="85">
        <f t="shared" ref="AA68:AA102" si="15">$E$138/$H68-MOD($E$138/$H68,1)</f>
        <v>4</v>
      </c>
      <c r="AB68" s="79"/>
      <c r="AG68" s="78"/>
      <c r="AI68" s="77"/>
      <c r="AK68" s="78">
        <v>66</v>
      </c>
      <c r="AL68" s="85">
        <v>0</v>
      </c>
      <c r="AM68" s="85">
        <v>0</v>
      </c>
      <c r="AN68" s="85">
        <v>0</v>
      </c>
      <c r="AO68" s="85">
        <v>0</v>
      </c>
      <c r="AP68" s="85">
        <v>0</v>
      </c>
      <c r="AR68" s="78">
        <v>66</v>
      </c>
      <c r="AS68" s="85">
        <v>0</v>
      </c>
      <c r="AT68" s="85">
        <v>0</v>
      </c>
      <c r="AU68" s="85">
        <v>0</v>
      </c>
      <c r="AV68" s="85">
        <v>0</v>
      </c>
      <c r="AW68" s="85">
        <v>0</v>
      </c>
      <c r="AY68" s="78">
        <v>66</v>
      </c>
      <c r="AZ68" s="85">
        <v>0</v>
      </c>
      <c r="BA68" s="85">
        <v>0</v>
      </c>
      <c r="BB68" s="85">
        <v>0</v>
      </c>
      <c r="BC68" s="85">
        <v>0</v>
      </c>
      <c r="BD68" s="85">
        <v>0</v>
      </c>
      <c r="BF68" s="78">
        <v>66</v>
      </c>
      <c r="BG68" s="85">
        <v>0</v>
      </c>
      <c r="BH68" s="85">
        <v>0</v>
      </c>
      <c r="BI68" s="85">
        <v>0</v>
      </c>
      <c r="BJ68" s="85">
        <v>0</v>
      </c>
      <c r="BK68" s="86">
        <v>0</v>
      </c>
      <c r="BM68" s="77"/>
      <c r="BN68" s="78">
        <v>66</v>
      </c>
      <c r="BO68" s="85">
        <f t="shared" si="8"/>
        <v>0</v>
      </c>
      <c r="BP68" s="85">
        <f t="shared" si="8"/>
        <v>0</v>
      </c>
      <c r="BQ68" s="85">
        <f t="shared" si="8"/>
        <v>0</v>
      </c>
      <c r="BR68" s="85">
        <f t="shared" si="8"/>
        <v>0</v>
      </c>
      <c r="BS68" s="85">
        <f t="shared" si="8"/>
        <v>0</v>
      </c>
      <c r="BU68" s="78">
        <v>66</v>
      </c>
      <c r="BV68" s="85">
        <f t="shared" si="9"/>
        <v>0</v>
      </c>
      <c r="BW68" s="85">
        <f t="shared" si="9"/>
        <v>0</v>
      </c>
      <c r="BX68" s="85">
        <f t="shared" si="9"/>
        <v>0</v>
      </c>
      <c r="BY68" s="85">
        <f t="shared" si="9"/>
        <v>0</v>
      </c>
      <c r="BZ68" s="85">
        <f t="shared" si="9"/>
        <v>0</v>
      </c>
      <c r="CB68" s="78">
        <v>66</v>
      </c>
      <c r="CC68" s="78">
        <f t="shared" si="10"/>
        <v>0</v>
      </c>
      <c r="CD68" s="78">
        <f t="shared" si="10"/>
        <v>0</v>
      </c>
      <c r="CE68" s="78">
        <f t="shared" si="10"/>
        <v>0</v>
      </c>
      <c r="CF68" s="78">
        <f t="shared" si="10"/>
        <v>0</v>
      </c>
      <c r="CG68" s="80">
        <f t="shared" si="10"/>
        <v>0</v>
      </c>
    </row>
    <row r="69" spans="1:85" x14ac:dyDescent="0.3">
      <c r="A69" s="81">
        <v>67</v>
      </c>
      <c r="B69" s="82">
        <v>12</v>
      </c>
      <c r="C69" s="83"/>
      <c r="D69" s="78">
        <v>67</v>
      </c>
      <c r="E69" s="82">
        <v>6</v>
      </c>
      <c r="F69" s="83"/>
      <c r="G69" s="78">
        <v>67</v>
      </c>
      <c r="H69" s="82">
        <v>8</v>
      </c>
      <c r="I69" s="83"/>
      <c r="J69" s="78">
        <v>67</v>
      </c>
      <c r="K69" s="82">
        <v>2</v>
      </c>
      <c r="L69" s="82"/>
      <c r="M69" s="78">
        <v>67</v>
      </c>
      <c r="N69" s="84">
        <v>0.9</v>
      </c>
      <c r="O69" s="84"/>
      <c r="P69" s="78">
        <v>67</v>
      </c>
      <c r="Q69" s="82">
        <v>4</v>
      </c>
      <c r="R69" s="82"/>
      <c r="S69" s="78">
        <v>67</v>
      </c>
      <c r="T69" s="82">
        <v>25</v>
      </c>
      <c r="V69" s="78">
        <v>67</v>
      </c>
      <c r="W69" s="85">
        <f t="shared" si="11"/>
        <v>4</v>
      </c>
      <c r="X69" s="85">
        <f t="shared" si="12"/>
        <v>3</v>
      </c>
      <c r="Y69" s="85">
        <f t="shared" si="13"/>
        <v>3</v>
      </c>
      <c r="Z69" s="85">
        <f t="shared" si="14"/>
        <v>3</v>
      </c>
      <c r="AA69" s="85">
        <f t="shared" si="15"/>
        <v>3</v>
      </c>
      <c r="AB69" s="79"/>
      <c r="AG69" s="78"/>
      <c r="AI69" s="77"/>
      <c r="AK69" s="78">
        <v>67</v>
      </c>
      <c r="AL69" s="85">
        <v>0</v>
      </c>
      <c r="AM69" s="85">
        <v>0</v>
      </c>
      <c r="AN69" s="85">
        <v>0</v>
      </c>
      <c r="AO69" s="85">
        <v>0</v>
      </c>
      <c r="AP69" s="85">
        <v>0</v>
      </c>
      <c r="AR69" s="78">
        <v>67</v>
      </c>
      <c r="AS69" s="85">
        <v>0</v>
      </c>
      <c r="AT69" s="85">
        <v>0</v>
      </c>
      <c r="AU69" s="85">
        <v>0</v>
      </c>
      <c r="AV69" s="85">
        <v>0</v>
      </c>
      <c r="AW69" s="85">
        <v>0</v>
      </c>
      <c r="AY69" s="78">
        <v>67</v>
      </c>
      <c r="AZ69" s="85">
        <v>0</v>
      </c>
      <c r="BA69" s="85">
        <v>0</v>
      </c>
      <c r="BB69" s="85">
        <v>0</v>
      </c>
      <c r="BC69" s="85">
        <v>0</v>
      </c>
      <c r="BD69" s="85">
        <v>0</v>
      </c>
      <c r="BF69" s="78">
        <v>67</v>
      </c>
      <c r="BG69" s="85">
        <v>0</v>
      </c>
      <c r="BH69" s="85">
        <v>0</v>
      </c>
      <c r="BI69" s="85">
        <v>0</v>
      </c>
      <c r="BJ69" s="85">
        <v>0</v>
      </c>
      <c r="BK69" s="86">
        <v>0</v>
      </c>
      <c r="BM69" s="77"/>
      <c r="BN69" s="78">
        <v>67</v>
      </c>
      <c r="BO69" s="85">
        <f t="shared" si="8"/>
        <v>0</v>
      </c>
      <c r="BP69" s="85">
        <f t="shared" si="8"/>
        <v>0</v>
      </c>
      <c r="BQ69" s="85">
        <f t="shared" si="8"/>
        <v>0</v>
      </c>
      <c r="BR69" s="85">
        <f t="shared" si="8"/>
        <v>0</v>
      </c>
      <c r="BS69" s="85">
        <f t="shared" si="8"/>
        <v>0</v>
      </c>
      <c r="BU69" s="78">
        <v>67</v>
      </c>
      <c r="BV69" s="85">
        <f t="shared" si="9"/>
        <v>0</v>
      </c>
      <c r="BW69" s="85">
        <f t="shared" si="9"/>
        <v>0</v>
      </c>
      <c r="BX69" s="85">
        <f t="shared" si="9"/>
        <v>0</v>
      </c>
      <c r="BY69" s="85">
        <f t="shared" si="9"/>
        <v>0</v>
      </c>
      <c r="BZ69" s="85">
        <f t="shared" si="9"/>
        <v>0</v>
      </c>
      <c r="CB69" s="78">
        <v>67</v>
      </c>
      <c r="CC69" s="78">
        <f t="shared" si="10"/>
        <v>0</v>
      </c>
      <c r="CD69" s="78">
        <f t="shared" si="10"/>
        <v>0</v>
      </c>
      <c r="CE69" s="78">
        <f t="shared" si="10"/>
        <v>0</v>
      </c>
      <c r="CF69" s="78">
        <f t="shared" si="10"/>
        <v>0</v>
      </c>
      <c r="CG69" s="80">
        <f t="shared" si="10"/>
        <v>0</v>
      </c>
    </row>
    <row r="70" spans="1:85" x14ac:dyDescent="0.3">
      <c r="A70" s="81">
        <v>68</v>
      </c>
      <c r="B70" s="82">
        <v>7</v>
      </c>
      <c r="C70" s="83"/>
      <c r="D70" s="78">
        <v>68</v>
      </c>
      <c r="E70" s="82">
        <v>9</v>
      </c>
      <c r="F70" s="83"/>
      <c r="G70" s="78">
        <v>68</v>
      </c>
      <c r="H70" s="82">
        <v>5</v>
      </c>
      <c r="I70" s="83"/>
      <c r="J70" s="78">
        <v>68</v>
      </c>
      <c r="K70" s="82">
        <v>13</v>
      </c>
      <c r="L70" s="82"/>
      <c r="M70" s="78">
        <v>68</v>
      </c>
      <c r="N70" s="84">
        <v>0.2</v>
      </c>
      <c r="O70" s="84"/>
      <c r="P70" s="78">
        <v>68</v>
      </c>
      <c r="Q70" s="82">
        <v>2</v>
      </c>
      <c r="R70" s="82"/>
      <c r="S70" s="78">
        <v>68</v>
      </c>
      <c r="T70" s="82">
        <v>16</v>
      </c>
      <c r="V70" s="78">
        <v>68</v>
      </c>
      <c r="W70" s="85">
        <f t="shared" si="11"/>
        <v>6</v>
      </c>
      <c r="X70" s="85">
        <f t="shared" si="12"/>
        <v>6</v>
      </c>
      <c r="Y70" s="85">
        <f t="shared" si="13"/>
        <v>5</v>
      </c>
      <c r="Z70" s="85">
        <f t="shared" si="14"/>
        <v>5</v>
      </c>
      <c r="AA70" s="85">
        <f t="shared" si="15"/>
        <v>5</v>
      </c>
      <c r="AB70" s="79"/>
      <c r="AG70" s="78"/>
      <c r="AI70" s="77"/>
      <c r="AK70" s="78">
        <v>68</v>
      </c>
      <c r="AL70" s="85">
        <v>0</v>
      </c>
      <c r="AM70" s="85">
        <v>0</v>
      </c>
      <c r="AN70" s="85">
        <v>0</v>
      </c>
      <c r="AO70" s="85">
        <v>0</v>
      </c>
      <c r="AP70" s="85">
        <v>0</v>
      </c>
      <c r="AR70" s="78">
        <v>68</v>
      </c>
      <c r="AS70" s="85">
        <v>0</v>
      </c>
      <c r="AT70" s="85">
        <v>0</v>
      </c>
      <c r="AU70" s="85">
        <v>0</v>
      </c>
      <c r="AV70" s="85">
        <v>0</v>
      </c>
      <c r="AW70" s="85">
        <v>0</v>
      </c>
      <c r="AY70" s="78">
        <v>68</v>
      </c>
      <c r="AZ70" s="85">
        <v>0</v>
      </c>
      <c r="BA70" s="85">
        <v>0</v>
      </c>
      <c r="BB70" s="85">
        <v>0</v>
      </c>
      <c r="BC70" s="85">
        <v>0</v>
      </c>
      <c r="BD70" s="85">
        <v>0</v>
      </c>
      <c r="BF70" s="78">
        <v>68</v>
      </c>
      <c r="BG70" s="85">
        <v>0</v>
      </c>
      <c r="BH70" s="85">
        <v>0</v>
      </c>
      <c r="BI70" s="85">
        <v>0</v>
      </c>
      <c r="BJ70" s="85">
        <v>0</v>
      </c>
      <c r="BK70" s="86">
        <v>0</v>
      </c>
      <c r="BM70" s="77"/>
      <c r="BN70" s="78">
        <v>68</v>
      </c>
      <c r="BO70" s="85">
        <f t="shared" si="8"/>
        <v>0</v>
      </c>
      <c r="BP70" s="85">
        <f t="shared" si="8"/>
        <v>0</v>
      </c>
      <c r="BQ70" s="85">
        <f t="shared" si="8"/>
        <v>0</v>
      </c>
      <c r="BR70" s="85">
        <f t="shared" si="8"/>
        <v>0</v>
      </c>
      <c r="BS70" s="85">
        <f t="shared" si="8"/>
        <v>0</v>
      </c>
      <c r="BU70" s="78">
        <v>68</v>
      </c>
      <c r="BV70" s="85">
        <f t="shared" si="9"/>
        <v>0</v>
      </c>
      <c r="BW70" s="85">
        <f t="shared" si="9"/>
        <v>0</v>
      </c>
      <c r="BX70" s="85">
        <f t="shared" si="9"/>
        <v>0</v>
      </c>
      <c r="BY70" s="85">
        <f t="shared" si="9"/>
        <v>0</v>
      </c>
      <c r="BZ70" s="85">
        <f t="shared" si="9"/>
        <v>0</v>
      </c>
      <c r="CB70" s="78">
        <v>68</v>
      </c>
      <c r="CC70" s="78">
        <f t="shared" si="10"/>
        <v>0</v>
      </c>
      <c r="CD70" s="78">
        <f t="shared" si="10"/>
        <v>0</v>
      </c>
      <c r="CE70" s="78">
        <f t="shared" si="10"/>
        <v>0</v>
      </c>
      <c r="CF70" s="78">
        <f t="shared" si="10"/>
        <v>0</v>
      </c>
      <c r="CG70" s="80">
        <f t="shared" si="10"/>
        <v>0</v>
      </c>
    </row>
    <row r="71" spans="1:85" x14ac:dyDescent="0.3">
      <c r="A71" s="81">
        <v>69</v>
      </c>
      <c r="B71" s="82">
        <v>12</v>
      </c>
      <c r="C71" s="83"/>
      <c r="D71" s="78">
        <v>69</v>
      </c>
      <c r="E71" s="82">
        <v>7</v>
      </c>
      <c r="F71" s="83"/>
      <c r="G71" s="78">
        <v>69</v>
      </c>
      <c r="H71" s="82">
        <v>7</v>
      </c>
      <c r="I71" s="83"/>
      <c r="J71" s="78">
        <v>69</v>
      </c>
      <c r="K71" s="82">
        <v>5</v>
      </c>
      <c r="L71" s="82"/>
      <c r="M71" s="78">
        <v>69</v>
      </c>
      <c r="N71" s="84">
        <v>0.3</v>
      </c>
      <c r="O71" s="84"/>
      <c r="P71" s="78">
        <v>69</v>
      </c>
      <c r="Q71" s="82">
        <v>4</v>
      </c>
      <c r="R71" s="82"/>
      <c r="S71" s="78">
        <v>69</v>
      </c>
      <c r="T71" s="82">
        <v>24</v>
      </c>
      <c r="V71" s="78">
        <v>69</v>
      </c>
      <c r="W71" s="85">
        <f t="shared" si="11"/>
        <v>4</v>
      </c>
      <c r="X71" s="85">
        <f t="shared" si="12"/>
        <v>4</v>
      </c>
      <c r="Y71" s="85">
        <f t="shared" si="13"/>
        <v>3</v>
      </c>
      <c r="Z71" s="85">
        <f t="shared" si="14"/>
        <v>3</v>
      </c>
      <c r="AA71" s="85">
        <f t="shared" si="15"/>
        <v>4</v>
      </c>
      <c r="AB71" s="79"/>
      <c r="AG71" s="78"/>
      <c r="AI71" s="77"/>
      <c r="AK71" s="78">
        <v>69</v>
      </c>
      <c r="AL71" s="85">
        <v>0</v>
      </c>
      <c r="AM71" s="85">
        <v>0</v>
      </c>
      <c r="AN71" s="85">
        <v>0</v>
      </c>
      <c r="AO71" s="85">
        <v>0</v>
      </c>
      <c r="AP71" s="85">
        <v>0</v>
      </c>
      <c r="AR71" s="78">
        <v>69</v>
      </c>
      <c r="AS71" s="85">
        <v>0</v>
      </c>
      <c r="AT71" s="85">
        <v>0</v>
      </c>
      <c r="AU71" s="85">
        <v>0</v>
      </c>
      <c r="AV71" s="85">
        <v>0</v>
      </c>
      <c r="AW71" s="85">
        <v>0</v>
      </c>
      <c r="AY71" s="78">
        <v>69</v>
      </c>
      <c r="AZ71" s="85">
        <v>0</v>
      </c>
      <c r="BA71" s="85">
        <v>0</v>
      </c>
      <c r="BB71" s="85">
        <v>0</v>
      </c>
      <c r="BC71" s="85">
        <v>0</v>
      </c>
      <c r="BD71" s="85">
        <v>0</v>
      </c>
      <c r="BF71" s="78">
        <v>69</v>
      </c>
      <c r="BG71" s="85">
        <v>0</v>
      </c>
      <c r="BH71" s="85">
        <v>0</v>
      </c>
      <c r="BI71" s="85">
        <v>0</v>
      </c>
      <c r="BJ71" s="85">
        <v>0</v>
      </c>
      <c r="BK71" s="86">
        <v>0</v>
      </c>
      <c r="BM71" s="77"/>
      <c r="BN71" s="78">
        <v>69</v>
      </c>
      <c r="BO71" s="85">
        <f t="shared" si="8"/>
        <v>0</v>
      </c>
      <c r="BP71" s="85">
        <f t="shared" si="8"/>
        <v>0</v>
      </c>
      <c r="BQ71" s="85">
        <f t="shared" si="8"/>
        <v>0</v>
      </c>
      <c r="BR71" s="85">
        <f t="shared" si="8"/>
        <v>0</v>
      </c>
      <c r="BS71" s="85">
        <f t="shared" si="8"/>
        <v>0</v>
      </c>
      <c r="BU71" s="78">
        <v>69</v>
      </c>
      <c r="BV71" s="85">
        <f t="shared" si="9"/>
        <v>0</v>
      </c>
      <c r="BW71" s="85">
        <f t="shared" si="9"/>
        <v>0</v>
      </c>
      <c r="BX71" s="85">
        <f t="shared" si="9"/>
        <v>0</v>
      </c>
      <c r="BY71" s="85">
        <f t="shared" si="9"/>
        <v>0</v>
      </c>
      <c r="BZ71" s="85">
        <f t="shared" si="9"/>
        <v>0</v>
      </c>
      <c r="CB71" s="78">
        <v>69</v>
      </c>
      <c r="CC71" s="78">
        <f t="shared" si="10"/>
        <v>0</v>
      </c>
      <c r="CD71" s="78">
        <f t="shared" si="10"/>
        <v>0</v>
      </c>
      <c r="CE71" s="78">
        <f t="shared" si="10"/>
        <v>0</v>
      </c>
      <c r="CF71" s="78">
        <f t="shared" si="10"/>
        <v>0</v>
      </c>
      <c r="CG71" s="80">
        <f t="shared" si="10"/>
        <v>0</v>
      </c>
    </row>
    <row r="72" spans="1:85" x14ac:dyDescent="0.3">
      <c r="A72" s="81">
        <v>70</v>
      </c>
      <c r="B72" s="82">
        <v>6</v>
      </c>
      <c r="C72" s="83"/>
      <c r="D72" s="78">
        <v>70</v>
      </c>
      <c r="E72" s="82">
        <v>9</v>
      </c>
      <c r="F72" s="83"/>
      <c r="G72" s="78">
        <v>70</v>
      </c>
      <c r="H72" s="82">
        <v>5</v>
      </c>
      <c r="I72" s="83"/>
      <c r="J72" s="78">
        <v>70</v>
      </c>
      <c r="K72" s="82">
        <v>8</v>
      </c>
      <c r="L72" s="82"/>
      <c r="M72" s="78">
        <v>70</v>
      </c>
      <c r="N72" s="84">
        <v>0.1</v>
      </c>
      <c r="O72" s="84"/>
      <c r="P72" s="78">
        <v>70</v>
      </c>
      <c r="Q72" s="82">
        <v>2</v>
      </c>
      <c r="R72" s="82"/>
      <c r="S72" s="78">
        <v>70</v>
      </c>
      <c r="T72" s="82">
        <v>18</v>
      </c>
      <c r="V72" s="78">
        <v>70</v>
      </c>
      <c r="W72" s="85">
        <f t="shared" si="11"/>
        <v>6</v>
      </c>
      <c r="X72" s="85">
        <f t="shared" si="12"/>
        <v>6</v>
      </c>
      <c r="Y72" s="85">
        <f t="shared" si="13"/>
        <v>5</v>
      </c>
      <c r="Z72" s="85">
        <f t="shared" si="14"/>
        <v>5</v>
      </c>
      <c r="AA72" s="85">
        <f t="shared" si="15"/>
        <v>5</v>
      </c>
      <c r="AB72" s="79"/>
      <c r="AG72" s="78"/>
      <c r="AI72" s="77"/>
      <c r="AK72" s="78">
        <v>70</v>
      </c>
      <c r="AL72" s="85">
        <v>0</v>
      </c>
      <c r="AM72" s="85">
        <v>0</v>
      </c>
      <c r="AN72" s="85">
        <v>0</v>
      </c>
      <c r="AO72" s="85">
        <v>0</v>
      </c>
      <c r="AP72" s="85">
        <v>0</v>
      </c>
      <c r="AR72" s="78">
        <v>70</v>
      </c>
      <c r="AS72" s="85">
        <v>0</v>
      </c>
      <c r="AT72" s="85">
        <v>0</v>
      </c>
      <c r="AU72" s="85">
        <v>0</v>
      </c>
      <c r="AV72" s="85">
        <v>0</v>
      </c>
      <c r="AW72" s="85">
        <v>0</v>
      </c>
      <c r="AY72" s="78">
        <v>70</v>
      </c>
      <c r="AZ72" s="85">
        <v>0</v>
      </c>
      <c r="BA72" s="85">
        <v>0</v>
      </c>
      <c r="BB72" s="85">
        <v>0</v>
      </c>
      <c r="BC72" s="85">
        <v>0</v>
      </c>
      <c r="BD72" s="85">
        <v>0</v>
      </c>
      <c r="BF72" s="78">
        <v>70</v>
      </c>
      <c r="BG72" s="85">
        <v>0</v>
      </c>
      <c r="BH72" s="85">
        <v>0</v>
      </c>
      <c r="BI72" s="85">
        <v>0</v>
      </c>
      <c r="BJ72" s="85">
        <v>0</v>
      </c>
      <c r="BK72" s="86">
        <v>0</v>
      </c>
      <c r="BM72" s="77"/>
      <c r="BN72" s="78">
        <v>70</v>
      </c>
      <c r="BO72" s="85">
        <f t="shared" si="8"/>
        <v>0</v>
      </c>
      <c r="BP72" s="85">
        <f t="shared" si="8"/>
        <v>0</v>
      </c>
      <c r="BQ72" s="85">
        <f t="shared" si="8"/>
        <v>0</v>
      </c>
      <c r="BR72" s="85">
        <f t="shared" si="8"/>
        <v>0</v>
      </c>
      <c r="BS72" s="85">
        <f t="shared" si="8"/>
        <v>0</v>
      </c>
      <c r="BU72" s="78">
        <v>70</v>
      </c>
      <c r="BV72" s="85">
        <f t="shared" si="9"/>
        <v>0</v>
      </c>
      <c r="BW72" s="85">
        <f t="shared" si="9"/>
        <v>0</v>
      </c>
      <c r="BX72" s="85">
        <f t="shared" si="9"/>
        <v>0</v>
      </c>
      <c r="BY72" s="85">
        <f t="shared" si="9"/>
        <v>0</v>
      </c>
      <c r="BZ72" s="85">
        <f t="shared" si="9"/>
        <v>0</v>
      </c>
      <c r="CB72" s="78">
        <v>70</v>
      </c>
      <c r="CC72" s="78">
        <f t="shared" si="10"/>
        <v>0</v>
      </c>
      <c r="CD72" s="78">
        <f t="shared" si="10"/>
        <v>0</v>
      </c>
      <c r="CE72" s="78">
        <f t="shared" si="10"/>
        <v>0</v>
      </c>
      <c r="CF72" s="78">
        <f t="shared" si="10"/>
        <v>0</v>
      </c>
      <c r="CG72" s="80">
        <f t="shared" si="10"/>
        <v>0</v>
      </c>
    </row>
    <row r="73" spans="1:85" x14ac:dyDescent="0.3">
      <c r="A73" s="81">
        <v>71</v>
      </c>
      <c r="B73" s="82">
        <v>14</v>
      </c>
      <c r="C73" s="83"/>
      <c r="D73" s="78">
        <v>71</v>
      </c>
      <c r="E73" s="82">
        <v>21</v>
      </c>
      <c r="F73" s="83"/>
      <c r="G73" s="78">
        <v>71</v>
      </c>
      <c r="H73" s="82">
        <v>5</v>
      </c>
      <c r="I73" s="83"/>
      <c r="J73" s="78">
        <v>71</v>
      </c>
      <c r="K73" s="82">
        <v>15</v>
      </c>
      <c r="L73" s="82"/>
      <c r="M73" s="78">
        <v>71</v>
      </c>
      <c r="N73" s="84">
        <v>0.3</v>
      </c>
      <c r="O73" s="84"/>
      <c r="P73" s="78">
        <v>71</v>
      </c>
      <c r="Q73" s="82">
        <v>2</v>
      </c>
      <c r="R73" s="82"/>
      <c r="S73" s="78">
        <v>71</v>
      </c>
      <c r="T73" s="82">
        <v>17</v>
      </c>
      <c r="V73" s="78">
        <v>71</v>
      </c>
      <c r="W73" s="85">
        <f t="shared" si="11"/>
        <v>6</v>
      </c>
      <c r="X73" s="85">
        <f t="shared" si="12"/>
        <v>6</v>
      </c>
      <c r="Y73" s="85">
        <f t="shared" si="13"/>
        <v>5</v>
      </c>
      <c r="Z73" s="85">
        <f t="shared" si="14"/>
        <v>5</v>
      </c>
      <c r="AA73" s="85">
        <f t="shared" si="15"/>
        <v>5</v>
      </c>
      <c r="AB73" s="79"/>
      <c r="AG73" s="78"/>
      <c r="AI73" s="77"/>
      <c r="AK73" s="78">
        <v>71</v>
      </c>
      <c r="AL73" s="85">
        <v>0</v>
      </c>
      <c r="AM73" s="85">
        <v>0</v>
      </c>
      <c r="AN73" s="85">
        <v>0</v>
      </c>
      <c r="AO73" s="85">
        <v>0</v>
      </c>
      <c r="AP73" s="85">
        <v>0</v>
      </c>
      <c r="AR73" s="78">
        <v>71</v>
      </c>
      <c r="AS73" s="85">
        <v>0</v>
      </c>
      <c r="AT73" s="85">
        <v>0</v>
      </c>
      <c r="AU73" s="85">
        <v>0</v>
      </c>
      <c r="AV73" s="85">
        <v>0</v>
      </c>
      <c r="AW73" s="85">
        <v>0</v>
      </c>
      <c r="AY73" s="78">
        <v>71</v>
      </c>
      <c r="AZ73" s="85">
        <v>0</v>
      </c>
      <c r="BA73" s="85">
        <v>0</v>
      </c>
      <c r="BB73" s="85">
        <v>0</v>
      </c>
      <c r="BC73" s="85">
        <v>0</v>
      </c>
      <c r="BD73" s="85">
        <v>0</v>
      </c>
      <c r="BF73" s="78">
        <v>71</v>
      </c>
      <c r="BG73" s="85">
        <v>0</v>
      </c>
      <c r="BH73" s="85">
        <v>0</v>
      </c>
      <c r="BI73" s="85">
        <v>0</v>
      </c>
      <c r="BJ73" s="85">
        <v>0</v>
      </c>
      <c r="BK73" s="86">
        <v>0</v>
      </c>
      <c r="BM73" s="77"/>
      <c r="BN73" s="78">
        <v>71</v>
      </c>
      <c r="BO73" s="85">
        <f t="shared" si="8"/>
        <v>0</v>
      </c>
      <c r="BP73" s="85">
        <f t="shared" si="8"/>
        <v>0</v>
      </c>
      <c r="BQ73" s="85">
        <f t="shared" si="8"/>
        <v>0</v>
      </c>
      <c r="BR73" s="85">
        <f t="shared" si="8"/>
        <v>0</v>
      </c>
      <c r="BS73" s="85">
        <f t="shared" si="8"/>
        <v>0</v>
      </c>
      <c r="BU73" s="78">
        <v>71</v>
      </c>
      <c r="BV73" s="85">
        <f t="shared" si="9"/>
        <v>0</v>
      </c>
      <c r="BW73" s="85">
        <f t="shared" si="9"/>
        <v>0</v>
      </c>
      <c r="BX73" s="85">
        <f t="shared" si="9"/>
        <v>0</v>
      </c>
      <c r="BY73" s="85">
        <f t="shared" si="9"/>
        <v>0</v>
      </c>
      <c r="BZ73" s="85">
        <f t="shared" si="9"/>
        <v>0</v>
      </c>
      <c r="CB73" s="78">
        <v>71</v>
      </c>
      <c r="CC73" s="78">
        <f t="shared" si="10"/>
        <v>0</v>
      </c>
      <c r="CD73" s="78">
        <f t="shared" si="10"/>
        <v>0</v>
      </c>
      <c r="CE73" s="78">
        <f t="shared" si="10"/>
        <v>0</v>
      </c>
      <c r="CF73" s="78">
        <f t="shared" si="10"/>
        <v>0</v>
      </c>
      <c r="CG73" s="80">
        <f t="shared" si="10"/>
        <v>0</v>
      </c>
    </row>
    <row r="74" spans="1:85" x14ac:dyDescent="0.3">
      <c r="A74" s="81">
        <v>72</v>
      </c>
      <c r="B74" s="82">
        <v>6</v>
      </c>
      <c r="C74" s="83"/>
      <c r="D74" s="78">
        <v>72</v>
      </c>
      <c r="E74" s="82">
        <v>23</v>
      </c>
      <c r="F74" s="83"/>
      <c r="G74" s="78">
        <v>72</v>
      </c>
      <c r="H74" s="82">
        <v>5</v>
      </c>
      <c r="I74" s="83"/>
      <c r="J74" s="78">
        <v>72</v>
      </c>
      <c r="K74" s="82">
        <v>11</v>
      </c>
      <c r="L74" s="82"/>
      <c r="M74" s="78">
        <v>72</v>
      </c>
      <c r="N74" s="84">
        <v>0.4</v>
      </c>
      <c r="O74" s="84"/>
      <c r="P74" s="78">
        <v>72</v>
      </c>
      <c r="Q74" s="82">
        <v>5</v>
      </c>
      <c r="R74" s="82"/>
      <c r="S74" s="78">
        <v>72</v>
      </c>
      <c r="T74" s="82">
        <v>25</v>
      </c>
      <c r="V74" s="78">
        <v>72</v>
      </c>
      <c r="W74" s="85">
        <f t="shared" si="11"/>
        <v>6</v>
      </c>
      <c r="X74" s="85">
        <f t="shared" si="12"/>
        <v>6</v>
      </c>
      <c r="Y74" s="85">
        <f t="shared" si="13"/>
        <v>5</v>
      </c>
      <c r="Z74" s="85">
        <f t="shared" si="14"/>
        <v>5</v>
      </c>
      <c r="AA74" s="85">
        <f t="shared" si="15"/>
        <v>5</v>
      </c>
      <c r="AB74" s="79"/>
      <c r="AG74" s="78"/>
      <c r="AI74" s="77"/>
      <c r="AK74" s="78">
        <v>72</v>
      </c>
      <c r="AL74" s="85">
        <v>0</v>
      </c>
      <c r="AM74" s="85">
        <v>0</v>
      </c>
      <c r="AN74" s="85">
        <v>0</v>
      </c>
      <c r="AO74" s="85">
        <v>0</v>
      </c>
      <c r="AP74" s="85">
        <v>0</v>
      </c>
      <c r="AR74" s="78">
        <v>72</v>
      </c>
      <c r="AS74" s="85">
        <v>0</v>
      </c>
      <c r="AT74" s="85">
        <v>0</v>
      </c>
      <c r="AU74" s="85">
        <v>0</v>
      </c>
      <c r="AV74" s="85">
        <v>0</v>
      </c>
      <c r="AW74" s="85">
        <v>0</v>
      </c>
      <c r="AY74" s="78">
        <v>72</v>
      </c>
      <c r="AZ74" s="85">
        <v>0</v>
      </c>
      <c r="BA74" s="85">
        <v>0</v>
      </c>
      <c r="BB74" s="85">
        <v>0</v>
      </c>
      <c r="BC74" s="85">
        <v>0</v>
      </c>
      <c r="BD74" s="85">
        <v>0</v>
      </c>
      <c r="BF74" s="78">
        <v>72</v>
      </c>
      <c r="BG74" s="85">
        <v>0</v>
      </c>
      <c r="BH74" s="85">
        <v>0</v>
      </c>
      <c r="BI74" s="85">
        <v>0</v>
      </c>
      <c r="BJ74" s="85">
        <v>0</v>
      </c>
      <c r="BK74" s="86">
        <v>0</v>
      </c>
      <c r="BM74" s="77"/>
      <c r="BN74" s="78">
        <v>72</v>
      </c>
      <c r="BO74" s="85">
        <f t="shared" si="8"/>
        <v>0</v>
      </c>
      <c r="BP74" s="85">
        <f t="shared" si="8"/>
        <v>0</v>
      </c>
      <c r="BQ74" s="85">
        <f t="shared" si="8"/>
        <v>0</v>
      </c>
      <c r="BR74" s="85">
        <f t="shared" si="8"/>
        <v>0</v>
      </c>
      <c r="BS74" s="85">
        <f t="shared" si="8"/>
        <v>0</v>
      </c>
      <c r="BU74" s="78">
        <v>72</v>
      </c>
      <c r="BV74" s="85">
        <f t="shared" si="9"/>
        <v>0</v>
      </c>
      <c r="BW74" s="85">
        <f t="shared" si="9"/>
        <v>0</v>
      </c>
      <c r="BX74" s="85">
        <f t="shared" si="9"/>
        <v>0</v>
      </c>
      <c r="BY74" s="85">
        <f t="shared" si="9"/>
        <v>0</v>
      </c>
      <c r="BZ74" s="85">
        <f t="shared" si="9"/>
        <v>0</v>
      </c>
      <c r="CB74" s="78">
        <v>72</v>
      </c>
      <c r="CC74" s="78">
        <f t="shared" si="10"/>
        <v>0</v>
      </c>
      <c r="CD74" s="78">
        <f t="shared" si="10"/>
        <v>0</v>
      </c>
      <c r="CE74" s="78">
        <f t="shared" si="10"/>
        <v>0</v>
      </c>
      <c r="CF74" s="78">
        <f t="shared" si="10"/>
        <v>0</v>
      </c>
      <c r="CG74" s="80">
        <f t="shared" si="10"/>
        <v>0</v>
      </c>
    </row>
    <row r="75" spans="1:85" x14ac:dyDescent="0.3">
      <c r="A75" s="81">
        <v>73</v>
      </c>
      <c r="B75" s="82">
        <v>8</v>
      </c>
      <c r="C75" s="83"/>
      <c r="D75" s="78">
        <v>73</v>
      </c>
      <c r="E75" s="82">
        <v>23</v>
      </c>
      <c r="F75" s="83"/>
      <c r="G75" s="78">
        <v>73</v>
      </c>
      <c r="H75" s="82">
        <v>7</v>
      </c>
      <c r="I75" s="83"/>
      <c r="J75" s="78">
        <v>73</v>
      </c>
      <c r="K75" s="82">
        <v>11</v>
      </c>
      <c r="L75" s="82"/>
      <c r="M75" s="78">
        <v>73</v>
      </c>
      <c r="N75" s="84">
        <v>0.9</v>
      </c>
      <c r="O75" s="84"/>
      <c r="P75" s="78">
        <v>73</v>
      </c>
      <c r="Q75" s="82">
        <v>4</v>
      </c>
      <c r="R75" s="82"/>
      <c r="S75" s="78">
        <v>73</v>
      </c>
      <c r="T75" s="82">
        <v>24</v>
      </c>
      <c r="V75" s="78">
        <v>73</v>
      </c>
      <c r="W75" s="85">
        <f t="shared" si="11"/>
        <v>4</v>
      </c>
      <c r="X75" s="85">
        <f t="shared" si="12"/>
        <v>4</v>
      </c>
      <c r="Y75" s="85">
        <f t="shared" si="13"/>
        <v>3</v>
      </c>
      <c r="Z75" s="85">
        <f t="shared" si="14"/>
        <v>3</v>
      </c>
      <c r="AA75" s="85">
        <f t="shared" si="15"/>
        <v>4</v>
      </c>
      <c r="AB75" s="79"/>
      <c r="AG75" s="78"/>
      <c r="AI75" s="77"/>
      <c r="AK75" s="78">
        <v>73</v>
      </c>
      <c r="AL75" s="85">
        <v>0</v>
      </c>
      <c r="AM75" s="85">
        <v>0</v>
      </c>
      <c r="AN75" s="85">
        <v>0</v>
      </c>
      <c r="AO75" s="85">
        <v>0</v>
      </c>
      <c r="AP75" s="85">
        <v>0</v>
      </c>
      <c r="AR75" s="78">
        <v>73</v>
      </c>
      <c r="AS75" s="85">
        <v>0</v>
      </c>
      <c r="AT75" s="85">
        <v>0</v>
      </c>
      <c r="AU75" s="85">
        <v>0</v>
      </c>
      <c r="AV75" s="85">
        <v>0</v>
      </c>
      <c r="AW75" s="85">
        <v>0</v>
      </c>
      <c r="AY75" s="78">
        <v>73</v>
      </c>
      <c r="AZ75" s="85">
        <v>0</v>
      </c>
      <c r="BA75" s="85">
        <v>0</v>
      </c>
      <c r="BB75" s="85">
        <v>0</v>
      </c>
      <c r="BC75" s="85">
        <v>0</v>
      </c>
      <c r="BD75" s="85">
        <v>0</v>
      </c>
      <c r="BF75" s="78">
        <v>73</v>
      </c>
      <c r="BG75" s="85">
        <v>0</v>
      </c>
      <c r="BH75" s="85">
        <v>0</v>
      </c>
      <c r="BI75" s="85">
        <v>0</v>
      </c>
      <c r="BJ75" s="85">
        <v>1</v>
      </c>
      <c r="BK75" s="86">
        <v>0</v>
      </c>
      <c r="BM75" s="77"/>
      <c r="BN75" s="78">
        <v>73</v>
      </c>
      <c r="BO75" s="85">
        <f t="shared" si="8"/>
        <v>0</v>
      </c>
      <c r="BP75" s="85">
        <f t="shared" si="8"/>
        <v>0</v>
      </c>
      <c r="BQ75" s="85">
        <f t="shared" si="8"/>
        <v>0</v>
      </c>
      <c r="BR75" s="85">
        <f t="shared" si="8"/>
        <v>1</v>
      </c>
      <c r="BS75" s="85">
        <f t="shared" si="8"/>
        <v>0</v>
      </c>
      <c r="BU75" s="78">
        <v>73</v>
      </c>
      <c r="BV75" s="85">
        <f t="shared" si="9"/>
        <v>0</v>
      </c>
      <c r="BW75" s="85">
        <f t="shared" si="9"/>
        <v>0</v>
      </c>
      <c r="BX75" s="85">
        <f t="shared" si="9"/>
        <v>0</v>
      </c>
      <c r="BY75" s="85">
        <f t="shared" si="9"/>
        <v>4</v>
      </c>
      <c r="BZ75" s="85">
        <f t="shared" si="9"/>
        <v>0</v>
      </c>
      <c r="CB75" s="78">
        <v>73</v>
      </c>
      <c r="CC75" s="78">
        <f t="shared" si="10"/>
        <v>0</v>
      </c>
      <c r="CD75" s="78">
        <f t="shared" si="10"/>
        <v>0</v>
      </c>
      <c r="CE75" s="78">
        <f t="shared" si="10"/>
        <v>0</v>
      </c>
      <c r="CF75" s="78">
        <f t="shared" si="10"/>
        <v>3.4822022531844965</v>
      </c>
      <c r="CG75" s="80">
        <f t="shared" si="10"/>
        <v>0</v>
      </c>
    </row>
    <row r="76" spans="1:85" x14ac:dyDescent="0.3">
      <c r="A76" s="81">
        <v>74</v>
      </c>
      <c r="B76" s="82">
        <v>12</v>
      </c>
      <c r="C76" s="83"/>
      <c r="D76" s="78">
        <v>74</v>
      </c>
      <c r="E76" s="82">
        <v>20</v>
      </c>
      <c r="F76" s="83"/>
      <c r="G76" s="78">
        <v>74</v>
      </c>
      <c r="H76" s="82">
        <v>7</v>
      </c>
      <c r="I76" s="83"/>
      <c r="J76" s="78">
        <v>74</v>
      </c>
      <c r="K76" s="82">
        <v>10</v>
      </c>
      <c r="L76" s="82"/>
      <c r="M76" s="78">
        <v>74</v>
      </c>
      <c r="N76" s="84">
        <v>0.9</v>
      </c>
      <c r="O76" s="84"/>
      <c r="P76" s="78">
        <v>74</v>
      </c>
      <c r="Q76" s="82">
        <v>2</v>
      </c>
      <c r="R76" s="82"/>
      <c r="S76" s="78">
        <v>74</v>
      </c>
      <c r="T76" s="82">
        <v>20</v>
      </c>
      <c r="V76" s="78">
        <v>74</v>
      </c>
      <c r="W76" s="85">
        <f t="shared" si="11"/>
        <v>4</v>
      </c>
      <c r="X76" s="85">
        <f t="shared" si="12"/>
        <v>4</v>
      </c>
      <c r="Y76" s="85">
        <f t="shared" si="13"/>
        <v>3</v>
      </c>
      <c r="Z76" s="85">
        <f t="shared" si="14"/>
        <v>3</v>
      </c>
      <c r="AA76" s="85">
        <f t="shared" si="15"/>
        <v>4</v>
      </c>
      <c r="AB76" s="79"/>
      <c r="AG76" s="78"/>
      <c r="AI76" s="77"/>
      <c r="AK76" s="78">
        <v>74</v>
      </c>
      <c r="AL76" s="85">
        <v>0</v>
      </c>
      <c r="AM76" s="85">
        <v>0</v>
      </c>
      <c r="AN76" s="85">
        <v>0</v>
      </c>
      <c r="AO76" s="85">
        <v>0</v>
      </c>
      <c r="AP76" s="85">
        <v>0</v>
      </c>
      <c r="AR76" s="78">
        <v>74</v>
      </c>
      <c r="AS76" s="85">
        <v>0</v>
      </c>
      <c r="AT76" s="85">
        <v>0</v>
      </c>
      <c r="AU76" s="85">
        <v>0</v>
      </c>
      <c r="AV76" s="85">
        <v>0</v>
      </c>
      <c r="AW76" s="85">
        <v>0</v>
      </c>
      <c r="AY76" s="78">
        <v>74</v>
      </c>
      <c r="AZ76" s="85">
        <v>0</v>
      </c>
      <c r="BA76" s="85">
        <v>0</v>
      </c>
      <c r="BB76" s="85">
        <v>0</v>
      </c>
      <c r="BC76" s="85">
        <v>0</v>
      </c>
      <c r="BD76" s="85">
        <v>0</v>
      </c>
      <c r="BF76" s="78">
        <v>74</v>
      </c>
      <c r="BG76" s="85">
        <v>0</v>
      </c>
      <c r="BH76" s="85">
        <v>0</v>
      </c>
      <c r="BI76" s="85">
        <v>0</v>
      </c>
      <c r="BJ76" s="85">
        <v>1</v>
      </c>
      <c r="BK76" s="86">
        <v>0</v>
      </c>
      <c r="BM76" s="77"/>
      <c r="BN76" s="78">
        <v>74</v>
      </c>
      <c r="BO76" s="85">
        <f t="shared" si="8"/>
        <v>0</v>
      </c>
      <c r="BP76" s="85">
        <f t="shared" si="8"/>
        <v>0</v>
      </c>
      <c r="BQ76" s="85">
        <f t="shared" si="8"/>
        <v>0</v>
      </c>
      <c r="BR76" s="85">
        <f t="shared" si="8"/>
        <v>1</v>
      </c>
      <c r="BS76" s="85">
        <f t="shared" si="8"/>
        <v>0</v>
      </c>
      <c r="BU76" s="78">
        <v>74</v>
      </c>
      <c r="BV76" s="85">
        <f t="shared" si="9"/>
        <v>0</v>
      </c>
      <c r="BW76" s="85">
        <f t="shared" si="9"/>
        <v>0</v>
      </c>
      <c r="BX76" s="85">
        <f t="shared" si="9"/>
        <v>0</v>
      </c>
      <c r="BY76" s="85">
        <f t="shared" si="9"/>
        <v>4</v>
      </c>
      <c r="BZ76" s="85">
        <f t="shared" si="9"/>
        <v>0</v>
      </c>
      <c r="CB76" s="78">
        <v>74</v>
      </c>
      <c r="CC76" s="78">
        <f t="shared" si="10"/>
        <v>0</v>
      </c>
      <c r="CD76" s="78">
        <f t="shared" si="10"/>
        <v>0</v>
      </c>
      <c r="CE76" s="78">
        <f t="shared" si="10"/>
        <v>0</v>
      </c>
      <c r="CF76" s="78">
        <f t="shared" si="10"/>
        <v>3.4822022531844965</v>
      </c>
      <c r="CG76" s="80">
        <f t="shared" si="10"/>
        <v>0</v>
      </c>
    </row>
    <row r="77" spans="1:85" x14ac:dyDescent="0.3">
      <c r="A77" s="81">
        <v>75</v>
      </c>
      <c r="B77" s="82">
        <v>15</v>
      </c>
      <c r="C77" s="83"/>
      <c r="D77" s="78">
        <v>75</v>
      </c>
      <c r="E77" s="82">
        <v>19</v>
      </c>
      <c r="F77" s="83"/>
      <c r="G77" s="78">
        <v>75</v>
      </c>
      <c r="H77" s="82">
        <v>8</v>
      </c>
      <c r="I77" s="83"/>
      <c r="J77" s="78">
        <v>75</v>
      </c>
      <c r="K77" s="82">
        <v>4</v>
      </c>
      <c r="L77" s="82"/>
      <c r="M77" s="78">
        <v>75</v>
      </c>
      <c r="N77" s="84">
        <v>0.4</v>
      </c>
      <c r="O77" s="84"/>
      <c r="P77" s="78">
        <v>75</v>
      </c>
      <c r="Q77" s="82">
        <v>1</v>
      </c>
      <c r="R77" s="82"/>
      <c r="S77" s="78">
        <v>75</v>
      </c>
      <c r="T77" s="82">
        <v>19</v>
      </c>
      <c r="V77" s="78">
        <v>75</v>
      </c>
      <c r="W77" s="85">
        <f t="shared" si="11"/>
        <v>4</v>
      </c>
      <c r="X77" s="85">
        <f t="shared" si="12"/>
        <v>3</v>
      </c>
      <c r="Y77" s="85">
        <f t="shared" si="13"/>
        <v>3</v>
      </c>
      <c r="Z77" s="85">
        <f t="shared" si="14"/>
        <v>3</v>
      </c>
      <c r="AA77" s="85">
        <f t="shared" si="15"/>
        <v>3</v>
      </c>
      <c r="AB77" s="79"/>
      <c r="AG77" s="78"/>
      <c r="AI77" s="77"/>
      <c r="AK77" s="78">
        <v>75</v>
      </c>
      <c r="AL77" s="85">
        <v>0</v>
      </c>
      <c r="AM77" s="85">
        <v>0</v>
      </c>
      <c r="AN77" s="85">
        <v>0</v>
      </c>
      <c r="AO77" s="85">
        <v>0</v>
      </c>
      <c r="AP77" s="85">
        <v>0</v>
      </c>
      <c r="AR77" s="78">
        <v>75</v>
      </c>
      <c r="AS77" s="85">
        <v>0</v>
      </c>
      <c r="AT77" s="85">
        <v>0</v>
      </c>
      <c r="AU77" s="85">
        <v>0</v>
      </c>
      <c r="AV77" s="85">
        <v>0</v>
      </c>
      <c r="AW77" s="85">
        <v>0</v>
      </c>
      <c r="AY77" s="78">
        <v>75</v>
      </c>
      <c r="AZ77" s="85">
        <v>0</v>
      </c>
      <c r="BA77" s="85">
        <v>0</v>
      </c>
      <c r="BB77" s="85">
        <v>0</v>
      </c>
      <c r="BC77" s="85">
        <v>0</v>
      </c>
      <c r="BD77" s="85">
        <v>0</v>
      </c>
      <c r="BF77" s="78">
        <v>75</v>
      </c>
      <c r="BG77" s="85">
        <v>0</v>
      </c>
      <c r="BH77" s="85">
        <v>0</v>
      </c>
      <c r="BI77" s="85">
        <v>0</v>
      </c>
      <c r="BJ77" s="85">
        <v>0</v>
      </c>
      <c r="BK77" s="86">
        <v>0</v>
      </c>
      <c r="BM77" s="77"/>
      <c r="BN77" s="78">
        <v>75</v>
      </c>
      <c r="BO77" s="85">
        <f t="shared" si="8"/>
        <v>0</v>
      </c>
      <c r="BP77" s="85">
        <f t="shared" si="8"/>
        <v>0</v>
      </c>
      <c r="BQ77" s="85">
        <f t="shared" si="8"/>
        <v>0</v>
      </c>
      <c r="BR77" s="85">
        <f t="shared" si="8"/>
        <v>0</v>
      </c>
      <c r="BS77" s="85">
        <f t="shared" si="8"/>
        <v>0</v>
      </c>
      <c r="BU77" s="78">
        <v>75</v>
      </c>
      <c r="BV77" s="85">
        <f t="shared" si="9"/>
        <v>0</v>
      </c>
      <c r="BW77" s="85">
        <f t="shared" si="9"/>
        <v>0</v>
      </c>
      <c r="BX77" s="85">
        <f t="shared" si="9"/>
        <v>0</v>
      </c>
      <c r="BY77" s="85">
        <f t="shared" si="9"/>
        <v>0</v>
      </c>
      <c r="BZ77" s="85">
        <f t="shared" si="9"/>
        <v>0</v>
      </c>
      <c r="CB77" s="78">
        <v>75</v>
      </c>
      <c r="CC77" s="78">
        <f t="shared" si="10"/>
        <v>0</v>
      </c>
      <c r="CD77" s="78">
        <f t="shared" si="10"/>
        <v>0</v>
      </c>
      <c r="CE77" s="78">
        <f t="shared" si="10"/>
        <v>0</v>
      </c>
      <c r="CF77" s="78">
        <f t="shared" si="10"/>
        <v>0</v>
      </c>
      <c r="CG77" s="80">
        <f t="shared" si="10"/>
        <v>0</v>
      </c>
    </row>
    <row r="78" spans="1:85" x14ac:dyDescent="0.3">
      <c r="A78" s="81">
        <v>76</v>
      </c>
      <c r="B78" s="82">
        <v>9</v>
      </c>
      <c r="C78" s="83"/>
      <c r="D78" s="78">
        <v>76</v>
      </c>
      <c r="E78" s="82">
        <v>23</v>
      </c>
      <c r="F78" s="83"/>
      <c r="G78" s="78">
        <v>76</v>
      </c>
      <c r="H78" s="82">
        <v>2</v>
      </c>
      <c r="I78" s="83"/>
      <c r="J78" s="78">
        <v>76</v>
      </c>
      <c r="K78" s="82">
        <v>4</v>
      </c>
      <c r="L78" s="82"/>
      <c r="M78" s="78">
        <v>76</v>
      </c>
      <c r="N78" s="84">
        <v>0.1</v>
      </c>
      <c r="O78" s="84"/>
      <c r="P78" s="78">
        <v>76</v>
      </c>
      <c r="Q78" s="82">
        <v>3</v>
      </c>
      <c r="R78" s="82"/>
      <c r="S78" s="78">
        <v>76</v>
      </c>
      <c r="T78" s="82">
        <v>21</v>
      </c>
      <c r="V78" s="78">
        <v>76</v>
      </c>
      <c r="W78" s="85">
        <f t="shared" si="11"/>
        <v>17</v>
      </c>
      <c r="X78" s="85">
        <f t="shared" si="12"/>
        <v>15</v>
      </c>
      <c r="Y78" s="85">
        <f t="shared" si="13"/>
        <v>13</v>
      </c>
      <c r="Z78" s="85">
        <f t="shared" si="14"/>
        <v>13</v>
      </c>
      <c r="AA78" s="85">
        <f t="shared" si="15"/>
        <v>14</v>
      </c>
      <c r="AB78" s="79"/>
      <c r="AG78" s="78"/>
      <c r="AI78" s="77"/>
      <c r="AK78" s="78">
        <v>76</v>
      </c>
      <c r="AL78" s="85">
        <v>0</v>
      </c>
      <c r="AM78" s="85">
        <v>0</v>
      </c>
      <c r="AN78" s="85">
        <v>0</v>
      </c>
      <c r="AO78" s="85">
        <v>0</v>
      </c>
      <c r="AP78" s="85">
        <v>0</v>
      </c>
      <c r="AR78" s="78">
        <v>76</v>
      </c>
      <c r="AS78" s="85">
        <v>0</v>
      </c>
      <c r="AT78" s="85">
        <v>0</v>
      </c>
      <c r="AU78" s="85">
        <v>0</v>
      </c>
      <c r="AV78" s="85">
        <v>0</v>
      </c>
      <c r="AW78" s="85">
        <v>0</v>
      </c>
      <c r="AY78" s="78">
        <v>76</v>
      </c>
      <c r="AZ78" s="85">
        <v>0</v>
      </c>
      <c r="BA78" s="85">
        <v>0</v>
      </c>
      <c r="BB78" s="85">
        <v>0</v>
      </c>
      <c r="BC78" s="85">
        <v>0</v>
      </c>
      <c r="BD78" s="85">
        <v>0</v>
      </c>
      <c r="BF78" s="78">
        <v>76</v>
      </c>
      <c r="BG78" s="85">
        <v>0</v>
      </c>
      <c r="BH78" s="85">
        <v>0</v>
      </c>
      <c r="BI78" s="85">
        <v>0</v>
      </c>
      <c r="BJ78" s="85">
        <v>0</v>
      </c>
      <c r="BK78" s="86">
        <v>0</v>
      </c>
      <c r="BM78" s="77"/>
      <c r="BN78" s="78">
        <v>76</v>
      </c>
      <c r="BO78" s="85">
        <f t="shared" si="8"/>
        <v>0</v>
      </c>
      <c r="BP78" s="85">
        <f t="shared" si="8"/>
        <v>0</v>
      </c>
      <c r="BQ78" s="85">
        <f t="shared" si="8"/>
        <v>0</v>
      </c>
      <c r="BR78" s="85">
        <f t="shared" si="8"/>
        <v>0</v>
      </c>
      <c r="BS78" s="85">
        <f t="shared" si="8"/>
        <v>0</v>
      </c>
      <c r="BU78" s="78">
        <v>76</v>
      </c>
      <c r="BV78" s="85">
        <f t="shared" si="9"/>
        <v>0</v>
      </c>
      <c r="BW78" s="85">
        <f t="shared" si="9"/>
        <v>0</v>
      </c>
      <c r="BX78" s="85">
        <f t="shared" si="9"/>
        <v>0</v>
      </c>
      <c r="BY78" s="85">
        <f t="shared" si="9"/>
        <v>0</v>
      </c>
      <c r="BZ78" s="85">
        <f t="shared" si="9"/>
        <v>0</v>
      </c>
      <c r="CB78" s="78">
        <v>76</v>
      </c>
      <c r="CC78" s="78">
        <f t="shared" si="10"/>
        <v>0</v>
      </c>
      <c r="CD78" s="78">
        <f t="shared" si="10"/>
        <v>0</v>
      </c>
      <c r="CE78" s="78">
        <f t="shared" si="10"/>
        <v>0</v>
      </c>
      <c r="CF78" s="78">
        <f t="shared" si="10"/>
        <v>0</v>
      </c>
      <c r="CG78" s="80">
        <f t="shared" si="10"/>
        <v>0</v>
      </c>
    </row>
    <row r="79" spans="1:85" x14ac:dyDescent="0.3">
      <c r="A79" s="81">
        <v>77</v>
      </c>
      <c r="B79" s="82">
        <v>6</v>
      </c>
      <c r="C79" s="83"/>
      <c r="D79" s="78">
        <v>77</v>
      </c>
      <c r="E79" s="82">
        <v>16</v>
      </c>
      <c r="F79" s="83"/>
      <c r="G79" s="78">
        <v>77</v>
      </c>
      <c r="H79" s="82">
        <v>4</v>
      </c>
      <c r="I79" s="83"/>
      <c r="J79" s="78">
        <v>77</v>
      </c>
      <c r="K79" s="82">
        <v>13</v>
      </c>
      <c r="L79" s="82"/>
      <c r="M79" s="78">
        <v>77</v>
      </c>
      <c r="N79" s="84">
        <v>0.5</v>
      </c>
      <c r="O79" s="84"/>
      <c r="P79" s="78">
        <v>77</v>
      </c>
      <c r="Q79" s="82">
        <v>2</v>
      </c>
      <c r="R79" s="82"/>
      <c r="S79" s="78">
        <v>77</v>
      </c>
      <c r="T79" s="82">
        <v>19</v>
      </c>
      <c r="V79" s="78">
        <v>77</v>
      </c>
      <c r="W79" s="85">
        <f t="shared" si="11"/>
        <v>8</v>
      </c>
      <c r="X79" s="85">
        <f t="shared" si="12"/>
        <v>7</v>
      </c>
      <c r="Y79" s="85">
        <f t="shared" si="13"/>
        <v>6</v>
      </c>
      <c r="Z79" s="85">
        <f t="shared" si="14"/>
        <v>6</v>
      </c>
      <c r="AA79" s="85">
        <f t="shared" si="15"/>
        <v>7</v>
      </c>
      <c r="AB79" s="79"/>
      <c r="AG79" s="78"/>
      <c r="AI79" s="77"/>
      <c r="AK79" s="78">
        <v>77</v>
      </c>
      <c r="AL79" s="85">
        <v>0</v>
      </c>
      <c r="AM79" s="85">
        <v>0</v>
      </c>
      <c r="AN79" s="85">
        <v>0</v>
      </c>
      <c r="AO79" s="85">
        <v>0</v>
      </c>
      <c r="AP79" s="85">
        <v>0</v>
      </c>
      <c r="AR79" s="78">
        <v>77</v>
      </c>
      <c r="AS79" s="85">
        <v>0</v>
      </c>
      <c r="AT79" s="85">
        <v>0</v>
      </c>
      <c r="AU79" s="85">
        <v>0</v>
      </c>
      <c r="AV79" s="85">
        <v>0</v>
      </c>
      <c r="AW79" s="85">
        <v>0</v>
      </c>
      <c r="AY79" s="78">
        <v>77</v>
      </c>
      <c r="AZ79" s="85">
        <v>0</v>
      </c>
      <c r="BA79" s="85">
        <v>0</v>
      </c>
      <c r="BB79" s="85">
        <v>0</v>
      </c>
      <c r="BC79" s="85">
        <v>0</v>
      </c>
      <c r="BD79" s="85">
        <v>0</v>
      </c>
      <c r="BF79" s="78">
        <v>77</v>
      </c>
      <c r="BG79" s="85">
        <v>0</v>
      </c>
      <c r="BH79" s="85">
        <v>0</v>
      </c>
      <c r="BI79" s="85">
        <v>0</v>
      </c>
      <c r="BJ79" s="85">
        <v>0</v>
      </c>
      <c r="BK79" s="86">
        <v>0</v>
      </c>
      <c r="BM79" s="77"/>
      <c r="BN79" s="78">
        <v>77</v>
      </c>
      <c r="BO79" s="85">
        <f t="shared" si="8"/>
        <v>0</v>
      </c>
      <c r="BP79" s="85">
        <f t="shared" si="8"/>
        <v>0</v>
      </c>
      <c r="BQ79" s="85">
        <f t="shared" si="8"/>
        <v>0</v>
      </c>
      <c r="BR79" s="85">
        <f t="shared" si="8"/>
        <v>0</v>
      </c>
      <c r="BS79" s="85">
        <f t="shared" si="8"/>
        <v>0</v>
      </c>
      <c r="BU79" s="78">
        <v>77</v>
      </c>
      <c r="BV79" s="85">
        <f t="shared" si="9"/>
        <v>0</v>
      </c>
      <c r="BW79" s="85">
        <f t="shared" si="9"/>
        <v>0</v>
      </c>
      <c r="BX79" s="85">
        <f t="shared" si="9"/>
        <v>0</v>
      </c>
      <c r="BY79" s="85">
        <f t="shared" si="9"/>
        <v>0</v>
      </c>
      <c r="BZ79" s="85">
        <f t="shared" si="9"/>
        <v>0</v>
      </c>
      <c r="CB79" s="78">
        <v>77</v>
      </c>
      <c r="CC79" s="78">
        <f t="shared" si="10"/>
        <v>0</v>
      </c>
      <c r="CD79" s="78">
        <f t="shared" si="10"/>
        <v>0</v>
      </c>
      <c r="CE79" s="78">
        <f t="shared" si="10"/>
        <v>0</v>
      </c>
      <c r="CF79" s="78">
        <f t="shared" si="10"/>
        <v>0</v>
      </c>
      <c r="CG79" s="80">
        <f t="shared" si="10"/>
        <v>0</v>
      </c>
    </row>
    <row r="80" spans="1:85" x14ac:dyDescent="0.3">
      <c r="A80" s="81">
        <v>78</v>
      </c>
      <c r="B80" s="82">
        <v>6</v>
      </c>
      <c r="C80" s="83"/>
      <c r="D80" s="78">
        <v>78</v>
      </c>
      <c r="E80" s="82">
        <v>24</v>
      </c>
      <c r="F80" s="83"/>
      <c r="G80" s="78">
        <v>78</v>
      </c>
      <c r="H80" s="82">
        <v>8</v>
      </c>
      <c r="I80" s="83"/>
      <c r="J80" s="78">
        <v>78</v>
      </c>
      <c r="K80" s="82">
        <v>4</v>
      </c>
      <c r="L80" s="82"/>
      <c r="M80" s="78">
        <v>78</v>
      </c>
      <c r="N80" s="84">
        <v>0.1</v>
      </c>
      <c r="O80" s="84"/>
      <c r="P80" s="78">
        <v>78</v>
      </c>
      <c r="Q80" s="82">
        <v>4</v>
      </c>
      <c r="R80" s="82"/>
      <c r="S80" s="78">
        <v>78</v>
      </c>
      <c r="T80" s="82">
        <v>16</v>
      </c>
      <c r="V80" s="78">
        <v>78</v>
      </c>
      <c r="W80" s="85">
        <f t="shared" si="11"/>
        <v>4</v>
      </c>
      <c r="X80" s="85">
        <f t="shared" si="12"/>
        <v>3</v>
      </c>
      <c r="Y80" s="85">
        <f t="shared" si="13"/>
        <v>3</v>
      </c>
      <c r="Z80" s="85">
        <f t="shared" si="14"/>
        <v>3</v>
      </c>
      <c r="AA80" s="85">
        <f t="shared" si="15"/>
        <v>3</v>
      </c>
      <c r="AB80" s="79"/>
      <c r="AG80" s="78"/>
      <c r="AI80" s="77"/>
      <c r="AK80" s="78">
        <v>78</v>
      </c>
      <c r="AL80" s="85">
        <v>0</v>
      </c>
      <c r="AM80" s="85">
        <v>0</v>
      </c>
      <c r="AN80" s="85">
        <v>0</v>
      </c>
      <c r="AO80" s="85">
        <v>0</v>
      </c>
      <c r="AP80" s="85">
        <v>0</v>
      </c>
      <c r="AR80" s="78">
        <v>78</v>
      </c>
      <c r="AS80" s="85">
        <v>0</v>
      </c>
      <c r="AT80" s="85">
        <v>0</v>
      </c>
      <c r="AU80" s="85">
        <v>0</v>
      </c>
      <c r="AV80" s="85">
        <v>0</v>
      </c>
      <c r="AW80" s="85">
        <v>0</v>
      </c>
      <c r="AY80" s="78">
        <v>78</v>
      </c>
      <c r="AZ80" s="85">
        <v>0</v>
      </c>
      <c r="BA80" s="85">
        <v>0</v>
      </c>
      <c r="BB80" s="85">
        <v>0</v>
      </c>
      <c r="BC80" s="85">
        <v>0</v>
      </c>
      <c r="BD80" s="85">
        <v>0</v>
      </c>
      <c r="BF80" s="78">
        <v>78</v>
      </c>
      <c r="BG80" s="85">
        <v>0</v>
      </c>
      <c r="BH80" s="85">
        <v>0</v>
      </c>
      <c r="BI80" s="85">
        <v>0</v>
      </c>
      <c r="BJ80" s="85">
        <v>0</v>
      </c>
      <c r="BK80" s="86">
        <v>0</v>
      </c>
      <c r="BM80" s="77"/>
      <c r="BN80" s="78">
        <v>78</v>
      </c>
      <c r="BO80" s="85">
        <f t="shared" si="8"/>
        <v>0</v>
      </c>
      <c r="BP80" s="85">
        <f t="shared" si="8"/>
        <v>0</v>
      </c>
      <c r="BQ80" s="85">
        <f t="shared" si="8"/>
        <v>0</v>
      </c>
      <c r="BR80" s="85">
        <f t="shared" si="8"/>
        <v>0</v>
      </c>
      <c r="BS80" s="85">
        <f t="shared" si="8"/>
        <v>0</v>
      </c>
      <c r="BU80" s="78">
        <v>78</v>
      </c>
      <c r="BV80" s="85">
        <f t="shared" si="9"/>
        <v>0</v>
      </c>
      <c r="BW80" s="85">
        <f t="shared" si="9"/>
        <v>0</v>
      </c>
      <c r="BX80" s="85">
        <f t="shared" si="9"/>
        <v>0</v>
      </c>
      <c r="BY80" s="85">
        <f t="shared" si="9"/>
        <v>0</v>
      </c>
      <c r="BZ80" s="85">
        <f t="shared" si="9"/>
        <v>0</v>
      </c>
      <c r="CB80" s="78">
        <v>78</v>
      </c>
      <c r="CC80" s="78">
        <f t="shared" si="10"/>
        <v>0</v>
      </c>
      <c r="CD80" s="78">
        <f t="shared" si="10"/>
        <v>0</v>
      </c>
      <c r="CE80" s="78">
        <f t="shared" si="10"/>
        <v>0</v>
      </c>
      <c r="CF80" s="78">
        <f t="shared" si="10"/>
        <v>0</v>
      </c>
      <c r="CG80" s="80">
        <f t="shared" si="10"/>
        <v>0</v>
      </c>
    </row>
    <row r="81" spans="1:85" x14ac:dyDescent="0.3">
      <c r="A81" s="81">
        <v>79</v>
      </c>
      <c r="B81" s="82">
        <v>11</v>
      </c>
      <c r="C81" s="83"/>
      <c r="D81" s="78">
        <v>79</v>
      </c>
      <c r="E81" s="82">
        <v>20</v>
      </c>
      <c r="F81" s="83"/>
      <c r="G81" s="78">
        <v>79</v>
      </c>
      <c r="H81" s="82">
        <v>8</v>
      </c>
      <c r="I81" s="83"/>
      <c r="J81" s="78">
        <v>79</v>
      </c>
      <c r="K81" s="82">
        <v>13</v>
      </c>
      <c r="L81" s="82"/>
      <c r="M81" s="78">
        <v>79</v>
      </c>
      <c r="N81" s="84">
        <v>0.2</v>
      </c>
      <c r="O81" s="84"/>
      <c r="P81" s="78">
        <v>79</v>
      </c>
      <c r="Q81" s="82">
        <v>2</v>
      </c>
      <c r="R81" s="82"/>
      <c r="S81" s="78">
        <v>79</v>
      </c>
      <c r="T81" s="82">
        <v>15</v>
      </c>
      <c r="V81" s="78">
        <v>79</v>
      </c>
      <c r="W81" s="85">
        <f t="shared" si="11"/>
        <v>4</v>
      </c>
      <c r="X81" s="85">
        <f t="shared" si="12"/>
        <v>3</v>
      </c>
      <c r="Y81" s="85">
        <f t="shared" si="13"/>
        <v>3</v>
      </c>
      <c r="Z81" s="85">
        <f t="shared" si="14"/>
        <v>3</v>
      </c>
      <c r="AA81" s="85">
        <f t="shared" si="15"/>
        <v>3</v>
      </c>
      <c r="AB81" s="79"/>
      <c r="AG81" s="78"/>
      <c r="AI81" s="77"/>
      <c r="AK81" s="78">
        <v>79</v>
      </c>
      <c r="AL81" s="85">
        <v>0</v>
      </c>
      <c r="AM81" s="85">
        <v>0</v>
      </c>
      <c r="AN81" s="85">
        <v>0</v>
      </c>
      <c r="AO81" s="85">
        <v>0</v>
      </c>
      <c r="AP81" s="85">
        <v>0</v>
      </c>
      <c r="AR81" s="78">
        <v>79</v>
      </c>
      <c r="AS81" s="85">
        <v>0</v>
      </c>
      <c r="AT81" s="85">
        <v>0</v>
      </c>
      <c r="AU81" s="85">
        <v>0</v>
      </c>
      <c r="AV81" s="85">
        <v>0</v>
      </c>
      <c r="AW81" s="85">
        <v>0</v>
      </c>
      <c r="AY81" s="78">
        <v>79</v>
      </c>
      <c r="AZ81" s="85">
        <v>0</v>
      </c>
      <c r="BA81" s="85">
        <v>0</v>
      </c>
      <c r="BB81" s="85">
        <v>0</v>
      </c>
      <c r="BC81" s="85">
        <v>0</v>
      </c>
      <c r="BD81" s="85">
        <v>0</v>
      </c>
      <c r="BF81" s="78">
        <v>79</v>
      </c>
      <c r="BG81" s="85">
        <v>0</v>
      </c>
      <c r="BH81" s="85">
        <v>0</v>
      </c>
      <c r="BI81" s="85">
        <v>0</v>
      </c>
      <c r="BJ81" s="85">
        <v>0</v>
      </c>
      <c r="BK81" s="86">
        <v>0</v>
      </c>
      <c r="BM81" s="77"/>
      <c r="BN81" s="78">
        <v>79</v>
      </c>
      <c r="BO81" s="85">
        <f t="shared" si="8"/>
        <v>0</v>
      </c>
      <c r="BP81" s="85">
        <f t="shared" si="8"/>
        <v>0</v>
      </c>
      <c r="BQ81" s="85">
        <f t="shared" si="8"/>
        <v>0</v>
      </c>
      <c r="BR81" s="85">
        <f t="shared" si="8"/>
        <v>0</v>
      </c>
      <c r="BS81" s="85">
        <f t="shared" si="8"/>
        <v>0</v>
      </c>
      <c r="BU81" s="78">
        <v>79</v>
      </c>
      <c r="BV81" s="85">
        <f t="shared" si="9"/>
        <v>0</v>
      </c>
      <c r="BW81" s="85">
        <f t="shared" si="9"/>
        <v>0</v>
      </c>
      <c r="BX81" s="85">
        <f t="shared" si="9"/>
        <v>0</v>
      </c>
      <c r="BY81" s="85">
        <f t="shared" si="9"/>
        <v>0</v>
      </c>
      <c r="BZ81" s="85">
        <f t="shared" si="9"/>
        <v>0</v>
      </c>
      <c r="CB81" s="78">
        <v>79</v>
      </c>
      <c r="CC81" s="78">
        <f t="shared" si="10"/>
        <v>0</v>
      </c>
      <c r="CD81" s="78">
        <f t="shared" si="10"/>
        <v>0</v>
      </c>
      <c r="CE81" s="78">
        <f t="shared" si="10"/>
        <v>0</v>
      </c>
      <c r="CF81" s="78">
        <f t="shared" si="10"/>
        <v>0</v>
      </c>
      <c r="CG81" s="80">
        <f t="shared" si="10"/>
        <v>0</v>
      </c>
    </row>
    <row r="82" spans="1:85" x14ac:dyDescent="0.3">
      <c r="A82" s="81">
        <v>80</v>
      </c>
      <c r="B82" s="82">
        <v>8</v>
      </c>
      <c r="C82" s="83"/>
      <c r="D82" s="78">
        <v>80</v>
      </c>
      <c r="E82" s="82">
        <v>22</v>
      </c>
      <c r="F82" s="83"/>
      <c r="G82" s="78">
        <v>80</v>
      </c>
      <c r="H82" s="82">
        <v>5</v>
      </c>
      <c r="I82" s="83"/>
      <c r="J82" s="78">
        <v>80</v>
      </c>
      <c r="K82" s="82">
        <v>2</v>
      </c>
      <c r="L82" s="82"/>
      <c r="M82" s="78">
        <v>80</v>
      </c>
      <c r="N82" s="84">
        <v>0.6</v>
      </c>
      <c r="O82" s="84"/>
      <c r="P82" s="78">
        <v>80</v>
      </c>
      <c r="Q82" s="82">
        <v>2</v>
      </c>
      <c r="R82" s="82"/>
      <c r="S82" s="78">
        <v>80</v>
      </c>
      <c r="T82" s="82">
        <v>25</v>
      </c>
      <c r="V82" s="78">
        <v>80</v>
      </c>
      <c r="W82" s="85">
        <f t="shared" si="11"/>
        <v>6</v>
      </c>
      <c r="X82" s="85">
        <f t="shared" si="12"/>
        <v>6</v>
      </c>
      <c r="Y82" s="85">
        <f t="shared" si="13"/>
        <v>5</v>
      </c>
      <c r="Z82" s="85">
        <f t="shared" si="14"/>
        <v>5</v>
      </c>
      <c r="AA82" s="85">
        <f t="shared" si="15"/>
        <v>5</v>
      </c>
      <c r="AB82" s="79"/>
      <c r="AG82" s="78"/>
      <c r="AI82" s="77"/>
      <c r="AK82" s="78">
        <v>80</v>
      </c>
      <c r="AL82" s="85">
        <v>0</v>
      </c>
      <c r="AM82" s="85">
        <v>0</v>
      </c>
      <c r="AN82" s="85">
        <v>0</v>
      </c>
      <c r="AO82" s="85">
        <v>0</v>
      </c>
      <c r="AP82" s="85">
        <v>0</v>
      </c>
      <c r="AR82" s="78">
        <v>80</v>
      </c>
      <c r="AS82" s="85">
        <v>0</v>
      </c>
      <c r="AT82" s="85">
        <v>0</v>
      </c>
      <c r="AU82" s="85">
        <v>0</v>
      </c>
      <c r="AV82" s="85">
        <v>0</v>
      </c>
      <c r="AW82" s="85">
        <v>0</v>
      </c>
      <c r="AY82" s="78">
        <v>80</v>
      </c>
      <c r="AZ82" s="85">
        <v>0</v>
      </c>
      <c r="BA82" s="85">
        <v>0</v>
      </c>
      <c r="BB82" s="85">
        <v>0</v>
      </c>
      <c r="BC82" s="85">
        <v>0</v>
      </c>
      <c r="BD82" s="85">
        <v>0</v>
      </c>
      <c r="BF82" s="78">
        <v>80</v>
      </c>
      <c r="BG82" s="85">
        <v>0</v>
      </c>
      <c r="BH82" s="85">
        <v>0</v>
      </c>
      <c r="BI82" s="85">
        <v>0</v>
      </c>
      <c r="BJ82" s="85">
        <v>0</v>
      </c>
      <c r="BK82" s="86">
        <v>0</v>
      </c>
      <c r="BM82" s="77"/>
      <c r="BN82" s="78">
        <v>80</v>
      </c>
      <c r="BO82" s="85">
        <f t="shared" si="8"/>
        <v>0</v>
      </c>
      <c r="BP82" s="85">
        <f t="shared" si="8"/>
        <v>0</v>
      </c>
      <c r="BQ82" s="85">
        <f t="shared" si="8"/>
        <v>0</v>
      </c>
      <c r="BR82" s="85">
        <f t="shared" si="8"/>
        <v>0</v>
      </c>
      <c r="BS82" s="85">
        <f t="shared" si="8"/>
        <v>0</v>
      </c>
      <c r="BU82" s="78">
        <v>80</v>
      </c>
      <c r="BV82" s="85">
        <f t="shared" si="9"/>
        <v>0</v>
      </c>
      <c r="BW82" s="85">
        <f t="shared" si="9"/>
        <v>0</v>
      </c>
      <c r="BX82" s="85">
        <f t="shared" si="9"/>
        <v>0</v>
      </c>
      <c r="BY82" s="85">
        <f t="shared" si="9"/>
        <v>0</v>
      </c>
      <c r="BZ82" s="85">
        <f t="shared" si="9"/>
        <v>0</v>
      </c>
      <c r="CB82" s="78">
        <v>80</v>
      </c>
      <c r="CC82" s="78">
        <f t="shared" si="10"/>
        <v>0</v>
      </c>
      <c r="CD82" s="78">
        <f t="shared" si="10"/>
        <v>0</v>
      </c>
      <c r="CE82" s="78">
        <f t="shared" si="10"/>
        <v>0</v>
      </c>
      <c r="CF82" s="78">
        <f t="shared" si="10"/>
        <v>0</v>
      </c>
      <c r="CG82" s="80">
        <f t="shared" si="10"/>
        <v>0</v>
      </c>
    </row>
    <row r="83" spans="1:85" x14ac:dyDescent="0.3">
      <c r="A83" s="81">
        <v>81</v>
      </c>
      <c r="B83" s="82">
        <v>11</v>
      </c>
      <c r="C83" s="83"/>
      <c r="D83" s="78">
        <v>81</v>
      </c>
      <c r="E83" s="82">
        <v>20</v>
      </c>
      <c r="F83" s="83"/>
      <c r="G83" s="78">
        <v>81</v>
      </c>
      <c r="H83" s="82">
        <v>7</v>
      </c>
      <c r="I83" s="83"/>
      <c r="J83" s="78">
        <v>81</v>
      </c>
      <c r="K83" s="82">
        <v>13</v>
      </c>
      <c r="L83" s="82"/>
      <c r="M83" s="78">
        <v>81</v>
      </c>
      <c r="N83" s="84">
        <v>0.7</v>
      </c>
      <c r="O83" s="84"/>
      <c r="P83" s="78">
        <v>81</v>
      </c>
      <c r="Q83" s="82">
        <v>1</v>
      </c>
      <c r="R83" s="82"/>
      <c r="S83" s="78">
        <v>81</v>
      </c>
      <c r="T83" s="82">
        <v>23</v>
      </c>
      <c r="V83" s="78">
        <v>81</v>
      </c>
      <c r="W83" s="85">
        <f t="shared" si="11"/>
        <v>4</v>
      </c>
      <c r="X83" s="85">
        <f t="shared" si="12"/>
        <v>4</v>
      </c>
      <c r="Y83" s="85">
        <f t="shared" si="13"/>
        <v>3</v>
      </c>
      <c r="Z83" s="85">
        <f t="shared" si="14"/>
        <v>3</v>
      </c>
      <c r="AA83" s="85">
        <f t="shared" si="15"/>
        <v>4</v>
      </c>
      <c r="AB83" s="79"/>
      <c r="AG83" s="78"/>
      <c r="AI83" s="77"/>
      <c r="AK83" s="78">
        <v>81</v>
      </c>
      <c r="AL83" s="85">
        <v>0</v>
      </c>
      <c r="AM83" s="85">
        <v>0</v>
      </c>
      <c r="AN83" s="85">
        <v>0</v>
      </c>
      <c r="AO83" s="85">
        <v>0</v>
      </c>
      <c r="AP83" s="85">
        <v>0</v>
      </c>
      <c r="AR83" s="78">
        <v>81</v>
      </c>
      <c r="AS83" s="85">
        <v>0</v>
      </c>
      <c r="AT83" s="85">
        <v>1</v>
      </c>
      <c r="AU83" s="85">
        <v>0</v>
      </c>
      <c r="AV83" s="85">
        <v>0</v>
      </c>
      <c r="AW83" s="85">
        <v>0</v>
      </c>
      <c r="AY83" s="78">
        <v>81</v>
      </c>
      <c r="AZ83" s="85">
        <v>0</v>
      </c>
      <c r="BA83" s="85">
        <v>0</v>
      </c>
      <c r="BB83" s="85">
        <v>0</v>
      </c>
      <c r="BC83" s="85">
        <v>0</v>
      </c>
      <c r="BD83" s="85">
        <v>0</v>
      </c>
      <c r="BF83" s="78">
        <v>81</v>
      </c>
      <c r="BG83" s="85">
        <v>0</v>
      </c>
      <c r="BH83" s="85">
        <v>0</v>
      </c>
      <c r="BI83" s="85">
        <v>0</v>
      </c>
      <c r="BJ83" s="85">
        <v>0</v>
      </c>
      <c r="BK83" s="86">
        <v>0</v>
      </c>
      <c r="BM83" s="77"/>
      <c r="BN83" s="78">
        <v>81</v>
      </c>
      <c r="BO83" s="85">
        <f t="shared" si="8"/>
        <v>0</v>
      </c>
      <c r="BP83" s="85">
        <f t="shared" si="8"/>
        <v>1</v>
      </c>
      <c r="BQ83" s="85">
        <f t="shared" si="8"/>
        <v>0</v>
      </c>
      <c r="BR83" s="85">
        <f t="shared" si="8"/>
        <v>0</v>
      </c>
      <c r="BS83" s="85">
        <f t="shared" si="8"/>
        <v>0</v>
      </c>
      <c r="BU83" s="78">
        <v>81</v>
      </c>
      <c r="BV83" s="85">
        <f t="shared" si="9"/>
        <v>0</v>
      </c>
      <c r="BW83" s="85">
        <f t="shared" si="9"/>
        <v>2</v>
      </c>
      <c r="BX83" s="85">
        <f t="shared" si="9"/>
        <v>0</v>
      </c>
      <c r="BY83" s="85">
        <f t="shared" si="9"/>
        <v>0</v>
      </c>
      <c r="BZ83" s="85">
        <f t="shared" si="9"/>
        <v>0</v>
      </c>
      <c r="CB83" s="78">
        <v>81</v>
      </c>
      <c r="CC83" s="78">
        <f t="shared" si="10"/>
        <v>0</v>
      </c>
      <c r="CD83" s="78">
        <f t="shared" si="10"/>
        <v>1.6245047927124709</v>
      </c>
      <c r="CE83" s="78">
        <f t="shared" si="10"/>
        <v>0</v>
      </c>
      <c r="CF83" s="78">
        <f t="shared" si="10"/>
        <v>0</v>
      </c>
      <c r="CG83" s="80">
        <f t="shared" si="10"/>
        <v>0</v>
      </c>
    </row>
    <row r="84" spans="1:85" x14ac:dyDescent="0.3">
      <c r="A84" s="81">
        <v>82</v>
      </c>
      <c r="B84" s="82">
        <v>7</v>
      </c>
      <c r="C84" s="83"/>
      <c r="D84" s="78">
        <v>82</v>
      </c>
      <c r="E84" s="82">
        <v>25</v>
      </c>
      <c r="F84" s="83"/>
      <c r="G84" s="78">
        <v>82</v>
      </c>
      <c r="H84" s="82">
        <v>3</v>
      </c>
      <c r="I84" s="83"/>
      <c r="J84" s="78">
        <v>82</v>
      </c>
      <c r="K84" s="82">
        <v>3</v>
      </c>
      <c r="L84" s="82"/>
      <c r="M84" s="78">
        <v>82</v>
      </c>
      <c r="N84" s="84">
        <v>0.3</v>
      </c>
      <c r="O84" s="84"/>
      <c r="P84" s="78">
        <v>82</v>
      </c>
      <c r="Q84" s="82">
        <v>3</v>
      </c>
      <c r="R84" s="82"/>
      <c r="S84" s="78">
        <v>82</v>
      </c>
      <c r="T84" s="82">
        <v>22</v>
      </c>
      <c r="V84" s="78">
        <v>82</v>
      </c>
      <c r="W84" s="85">
        <f t="shared" si="11"/>
        <v>11</v>
      </c>
      <c r="X84" s="85">
        <f t="shared" si="12"/>
        <v>10</v>
      </c>
      <c r="Y84" s="85">
        <f t="shared" si="13"/>
        <v>8</v>
      </c>
      <c r="Z84" s="85">
        <f t="shared" si="14"/>
        <v>9</v>
      </c>
      <c r="AA84" s="85">
        <f t="shared" si="15"/>
        <v>9</v>
      </c>
      <c r="AB84" s="79"/>
      <c r="AG84" s="78"/>
      <c r="AI84" s="77"/>
      <c r="AK84" s="78">
        <v>82</v>
      </c>
      <c r="AL84" s="85">
        <v>0</v>
      </c>
      <c r="AM84" s="85">
        <v>0</v>
      </c>
      <c r="AN84" s="85">
        <v>0</v>
      </c>
      <c r="AO84" s="85">
        <v>0</v>
      </c>
      <c r="AP84" s="85">
        <v>0</v>
      </c>
      <c r="AR84" s="78">
        <v>82</v>
      </c>
      <c r="AS84" s="85">
        <v>0</v>
      </c>
      <c r="AT84" s="85">
        <v>0</v>
      </c>
      <c r="AU84" s="85">
        <v>0</v>
      </c>
      <c r="AV84" s="85">
        <v>0</v>
      </c>
      <c r="AW84" s="85">
        <v>0</v>
      </c>
      <c r="AY84" s="78">
        <v>82</v>
      </c>
      <c r="AZ84" s="85">
        <v>0</v>
      </c>
      <c r="BA84" s="85">
        <v>0</v>
      </c>
      <c r="BB84" s="85">
        <v>0</v>
      </c>
      <c r="BC84" s="85">
        <v>0</v>
      </c>
      <c r="BD84" s="85">
        <v>0</v>
      </c>
      <c r="BF84" s="78">
        <v>82</v>
      </c>
      <c r="BG84" s="85">
        <v>0</v>
      </c>
      <c r="BH84" s="85">
        <v>0</v>
      </c>
      <c r="BI84" s="85">
        <v>0</v>
      </c>
      <c r="BJ84" s="85">
        <v>0</v>
      </c>
      <c r="BK84" s="86">
        <v>0</v>
      </c>
      <c r="BM84" s="77"/>
      <c r="BN84" s="78">
        <v>82</v>
      </c>
      <c r="BO84" s="85">
        <f t="shared" si="8"/>
        <v>0</v>
      </c>
      <c r="BP84" s="85">
        <f t="shared" si="8"/>
        <v>0</v>
      </c>
      <c r="BQ84" s="85">
        <f t="shared" si="8"/>
        <v>0</v>
      </c>
      <c r="BR84" s="85">
        <f t="shared" si="8"/>
        <v>0</v>
      </c>
      <c r="BS84" s="85">
        <f t="shared" si="8"/>
        <v>0</v>
      </c>
      <c r="BU84" s="78">
        <v>82</v>
      </c>
      <c r="BV84" s="85">
        <f t="shared" si="9"/>
        <v>0</v>
      </c>
      <c r="BW84" s="85">
        <f t="shared" si="9"/>
        <v>0</v>
      </c>
      <c r="BX84" s="85">
        <f t="shared" si="9"/>
        <v>0</v>
      </c>
      <c r="BY84" s="85">
        <f t="shared" si="9"/>
        <v>0</v>
      </c>
      <c r="BZ84" s="85">
        <f t="shared" si="9"/>
        <v>0</v>
      </c>
      <c r="CB84" s="78">
        <v>82</v>
      </c>
      <c r="CC84" s="78">
        <f t="shared" si="10"/>
        <v>0</v>
      </c>
      <c r="CD84" s="78">
        <f t="shared" si="10"/>
        <v>0</v>
      </c>
      <c r="CE84" s="78">
        <f t="shared" si="10"/>
        <v>0</v>
      </c>
      <c r="CF84" s="78">
        <f t="shared" si="10"/>
        <v>0</v>
      </c>
      <c r="CG84" s="80">
        <f t="shared" si="10"/>
        <v>0</v>
      </c>
    </row>
    <row r="85" spans="1:85" x14ac:dyDescent="0.3">
      <c r="A85" s="81">
        <v>83</v>
      </c>
      <c r="B85" s="82">
        <v>9</v>
      </c>
      <c r="C85" s="83"/>
      <c r="D85" s="78">
        <v>83</v>
      </c>
      <c r="E85" s="82">
        <v>16</v>
      </c>
      <c r="F85" s="83"/>
      <c r="G85" s="78">
        <v>83</v>
      </c>
      <c r="H85" s="82">
        <v>3</v>
      </c>
      <c r="I85" s="83"/>
      <c r="J85" s="78">
        <v>83</v>
      </c>
      <c r="K85" s="82">
        <v>12</v>
      </c>
      <c r="L85" s="82"/>
      <c r="M85" s="78">
        <v>83</v>
      </c>
      <c r="N85" s="84">
        <v>0.9</v>
      </c>
      <c r="O85" s="84"/>
      <c r="P85" s="78">
        <v>83</v>
      </c>
      <c r="Q85" s="82">
        <v>3</v>
      </c>
      <c r="R85" s="82"/>
      <c r="S85" s="78">
        <v>83</v>
      </c>
      <c r="T85" s="82">
        <v>20</v>
      </c>
      <c r="V85" s="78">
        <v>83</v>
      </c>
      <c r="W85" s="85">
        <f t="shared" si="11"/>
        <v>11</v>
      </c>
      <c r="X85" s="85">
        <f t="shared" si="12"/>
        <v>10</v>
      </c>
      <c r="Y85" s="85">
        <f t="shared" si="13"/>
        <v>8</v>
      </c>
      <c r="Z85" s="85">
        <f t="shared" si="14"/>
        <v>9</v>
      </c>
      <c r="AA85" s="85">
        <f t="shared" si="15"/>
        <v>9</v>
      </c>
      <c r="AB85" s="79"/>
      <c r="AG85" s="78"/>
      <c r="AI85" s="77"/>
      <c r="AK85" s="78">
        <v>83</v>
      </c>
      <c r="AL85" s="85">
        <v>0</v>
      </c>
      <c r="AM85" s="85">
        <v>0</v>
      </c>
      <c r="AN85" s="85">
        <v>0</v>
      </c>
      <c r="AO85" s="85">
        <v>0</v>
      </c>
      <c r="AP85" s="85">
        <v>0</v>
      </c>
      <c r="AR85" s="78">
        <v>83</v>
      </c>
      <c r="AS85" s="85">
        <v>0</v>
      </c>
      <c r="AT85" s="85">
        <v>0</v>
      </c>
      <c r="AU85" s="85">
        <v>1</v>
      </c>
      <c r="AV85" s="85">
        <v>0</v>
      </c>
      <c r="AW85" s="85">
        <v>0</v>
      </c>
      <c r="AY85" s="78">
        <v>83</v>
      </c>
      <c r="AZ85" s="85">
        <v>0</v>
      </c>
      <c r="BA85" s="85">
        <v>0</v>
      </c>
      <c r="BB85" s="85">
        <v>0</v>
      </c>
      <c r="BC85" s="85">
        <v>0</v>
      </c>
      <c r="BD85" s="85">
        <v>0</v>
      </c>
      <c r="BF85" s="78">
        <v>83</v>
      </c>
      <c r="BG85" s="85">
        <v>0</v>
      </c>
      <c r="BH85" s="85">
        <v>0</v>
      </c>
      <c r="BI85" s="85">
        <v>0</v>
      </c>
      <c r="BJ85" s="85">
        <v>0</v>
      </c>
      <c r="BK85" s="86">
        <v>0</v>
      </c>
      <c r="BM85" s="77"/>
      <c r="BN85" s="78">
        <v>83</v>
      </c>
      <c r="BO85" s="85">
        <f t="shared" si="8"/>
        <v>0</v>
      </c>
      <c r="BP85" s="85">
        <f t="shared" si="8"/>
        <v>0</v>
      </c>
      <c r="BQ85" s="85">
        <f t="shared" si="8"/>
        <v>1</v>
      </c>
      <c r="BR85" s="85">
        <f t="shared" si="8"/>
        <v>0</v>
      </c>
      <c r="BS85" s="85">
        <f t="shared" si="8"/>
        <v>0</v>
      </c>
      <c r="BU85" s="78">
        <v>83</v>
      </c>
      <c r="BV85" s="85">
        <f t="shared" si="9"/>
        <v>0</v>
      </c>
      <c r="BW85" s="85">
        <f t="shared" si="9"/>
        <v>0</v>
      </c>
      <c r="BX85" s="85">
        <f t="shared" si="9"/>
        <v>2</v>
      </c>
      <c r="BY85" s="85">
        <f t="shared" si="9"/>
        <v>0</v>
      </c>
      <c r="BZ85" s="85">
        <f t="shared" si="9"/>
        <v>0</v>
      </c>
      <c r="CB85" s="78">
        <v>83</v>
      </c>
      <c r="CC85" s="78">
        <f t="shared" si="10"/>
        <v>0</v>
      </c>
      <c r="CD85" s="78">
        <f t="shared" si="10"/>
        <v>0</v>
      </c>
      <c r="CE85" s="78">
        <f t="shared" si="10"/>
        <v>1.8660659830736148</v>
      </c>
      <c r="CF85" s="78">
        <f t="shared" si="10"/>
        <v>0</v>
      </c>
      <c r="CG85" s="80">
        <f t="shared" si="10"/>
        <v>0</v>
      </c>
    </row>
    <row r="86" spans="1:85" x14ac:dyDescent="0.3">
      <c r="A86" s="81">
        <v>84</v>
      </c>
      <c r="B86" s="82">
        <v>12</v>
      </c>
      <c r="C86" s="83"/>
      <c r="D86" s="78">
        <v>84</v>
      </c>
      <c r="E86" s="82">
        <v>17</v>
      </c>
      <c r="F86" s="83"/>
      <c r="G86" s="78">
        <v>84</v>
      </c>
      <c r="H86" s="82">
        <v>6</v>
      </c>
      <c r="I86" s="83"/>
      <c r="J86" s="78">
        <v>84</v>
      </c>
      <c r="K86" s="82">
        <v>14</v>
      </c>
      <c r="L86" s="82"/>
      <c r="M86" s="78">
        <v>84</v>
      </c>
      <c r="N86" s="84">
        <v>0.9</v>
      </c>
      <c r="O86" s="84"/>
      <c r="P86" s="78">
        <v>84</v>
      </c>
      <c r="Q86" s="82">
        <v>5</v>
      </c>
      <c r="R86" s="82"/>
      <c r="S86" s="78">
        <v>84</v>
      </c>
      <c r="T86" s="82">
        <v>16</v>
      </c>
      <c r="V86" s="78">
        <v>84</v>
      </c>
      <c r="W86" s="85">
        <f t="shared" si="11"/>
        <v>5</v>
      </c>
      <c r="X86" s="85">
        <f t="shared" si="12"/>
        <v>5</v>
      </c>
      <c r="Y86" s="85">
        <f t="shared" si="13"/>
        <v>4</v>
      </c>
      <c r="Z86" s="85">
        <f t="shared" si="14"/>
        <v>4</v>
      </c>
      <c r="AA86" s="85">
        <f t="shared" si="15"/>
        <v>4</v>
      </c>
      <c r="AB86" s="79"/>
      <c r="AG86" s="78"/>
      <c r="AI86" s="77"/>
      <c r="AK86" s="78">
        <v>84</v>
      </c>
      <c r="AL86" s="85">
        <v>0</v>
      </c>
      <c r="AM86" s="85">
        <v>0</v>
      </c>
      <c r="AN86" s="85">
        <v>0</v>
      </c>
      <c r="AO86" s="85">
        <v>0</v>
      </c>
      <c r="AP86" s="85">
        <v>0</v>
      </c>
      <c r="AR86" s="78">
        <v>84</v>
      </c>
      <c r="AS86" s="85">
        <v>0</v>
      </c>
      <c r="AT86" s="85">
        <v>0</v>
      </c>
      <c r="AU86" s="85">
        <v>0</v>
      </c>
      <c r="AV86" s="85">
        <v>0</v>
      </c>
      <c r="AW86" s="85">
        <v>0</v>
      </c>
      <c r="AY86" s="78">
        <v>84</v>
      </c>
      <c r="AZ86" s="85">
        <v>0</v>
      </c>
      <c r="BA86" s="85">
        <v>0</v>
      </c>
      <c r="BB86" s="85">
        <v>0</v>
      </c>
      <c r="BC86" s="85">
        <v>0</v>
      </c>
      <c r="BD86" s="85">
        <v>0</v>
      </c>
      <c r="BF86" s="78">
        <v>84</v>
      </c>
      <c r="BG86" s="85">
        <v>0</v>
      </c>
      <c r="BH86" s="85">
        <v>0</v>
      </c>
      <c r="BI86" s="85">
        <v>1</v>
      </c>
      <c r="BJ86" s="85">
        <v>0</v>
      </c>
      <c r="BK86" s="86">
        <v>0</v>
      </c>
      <c r="BM86" s="77"/>
      <c r="BN86" s="78">
        <v>84</v>
      </c>
      <c r="BO86" s="85">
        <f t="shared" si="8"/>
        <v>0</v>
      </c>
      <c r="BP86" s="85">
        <f t="shared" si="8"/>
        <v>0</v>
      </c>
      <c r="BQ86" s="85">
        <f t="shared" si="8"/>
        <v>1</v>
      </c>
      <c r="BR86" s="85">
        <f t="shared" si="8"/>
        <v>0</v>
      </c>
      <c r="BS86" s="85">
        <f t="shared" si="8"/>
        <v>0</v>
      </c>
      <c r="BU86" s="78">
        <v>84</v>
      </c>
      <c r="BV86" s="85">
        <f t="shared" si="9"/>
        <v>0</v>
      </c>
      <c r="BW86" s="85">
        <f t="shared" si="9"/>
        <v>0</v>
      </c>
      <c r="BX86" s="85">
        <f t="shared" si="9"/>
        <v>4</v>
      </c>
      <c r="BY86" s="85">
        <f t="shared" si="9"/>
        <v>0</v>
      </c>
      <c r="BZ86" s="85">
        <f t="shared" si="9"/>
        <v>0</v>
      </c>
      <c r="CB86" s="78">
        <v>84</v>
      </c>
      <c r="CC86" s="78">
        <f t="shared" si="10"/>
        <v>0</v>
      </c>
      <c r="CD86" s="78">
        <f t="shared" si="10"/>
        <v>0</v>
      </c>
      <c r="CE86" s="78">
        <f t="shared" si="10"/>
        <v>3.4822022531844965</v>
      </c>
      <c r="CF86" s="78">
        <f t="shared" si="10"/>
        <v>0</v>
      </c>
      <c r="CG86" s="80">
        <f t="shared" si="10"/>
        <v>0</v>
      </c>
    </row>
    <row r="87" spans="1:85" x14ac:dyDescent="0.3">
      <c r="A87" s="81">
        <v>85</v>
      </c>
      <c r="B87" s="82">
        <v>6</v>
      </c>
      <c r="C87" s="83"/>
      <c r="D87" s="78">
        <v>85</v>
      </c>
      <c r="E87" s="82">
        <v>21</v>
      </c>
      <c r="F87" s="83"/>
      <c r="G87" s="78">
        <v>85</v>
      </c>
      <c r="H87" s="82">
        <v>4</v>
      </c>
      <c r="I87" s="83"/>
      <c r="J87" s="78">
        <v>85</v>
      </c>
      <c r="K87" s="82">
        <v>11</v>
      </c>
      <c r="L87" s="82"/>
      <c r="M87" s="78">
        <v>85</v>
      </c>
      <c r="N87" s="84">
        <v>0.5</v>
      </c>
      <c r="O87" s="84"/>
      <c r="P87" s="78">
        <v>85</v>
      </c>
      <c r="Q87" s="82">
        <v>4</v>
      </c>
      <c r="R87" s="82"/>
      <c r="S87" s="78">
        <v>85</v>
      </c>
      <c r="T87" s="82">
        <v>25</v>
      </c>
      <c r="V87" s="78">
        <v>85</v>
      </c>
      <c r="W87" s="85">
        <f t="shared" si="11"/>
        <v>8</v>
      </c>
      <c r="X87" s="85">
        <f t="shared" si="12"/>
        <v>7</v>
      </c>
      <c r="Y87" s="85">
        <f t="shared" si="13"/>
        <v>6</v>
      </c>
      <c r="Z87" s="85">
        <f t="shared" si="14"/>
        <v>6</v>
      </c>
      <c r="AA87" s="85">
        <f t="shared" si="15"/>
        <v>7</v>
      </c>
      <c r="AB87" s="79"/>
      <c r="AG87" s="78"/>
      <c r="AI87" s="77"/>
      <c r="AK87" s="78">
        <v>85</v>
      </c>
      <c r="AL87" s="85">
        <v>0</v>
      </c>
      <c r="AM87" s="85">
        <v>0</v>
      </c>
      <c r="AN87" s="85">
        <v>0</v>
      </c>
      <c r="AO87" s="85">
        <v>0</v>
      </c>
      <c r="AP87" s="85">
        <v>0</v>
      </c>
      <c r="AR87" s="78">
        <v>85</v>
      </c>
      <c r="AS87" s="85">
        <v>0</v>
      </c>
      <c r="AT87" s="85">
        <v>0</v>
      </c>
      <c r="AU87" s="85">
        <v>0</v>
      </c>
      <c r="AV87" s="85">
        <v>0</v>
      </c>
      <c r="AW87" s="85">
        <v>0</v>
      </c>
      <c r="AY87" s="78">
        <v>85</v>
      </c>
      <c r="AZ87" s="85">
        <v>0</v>
      </c>
      <c r="BA87" s="85">
        <v>0</v>
      </c>
      <c r="BB87" s="85">
        <v>0</v>
      </c>
      <c r="BC87" s="85">
        <v>0</v>
      </c>
      <c r="BD87" s="85">
        <v>0</v>
      </c>
      <c r="BF87" s="78">
        <v>85</v>
      </c>
      <c r="BG87" s="85">
        <v>0</v>
      </c>
      <c r="BH87" s="85">
        <v>0</v>
      </c>
      <c r="BI87" s="85">
        <v>0</v>
      </c>
      <c r="BJ87" s="85">
        <v>0</v>
      </c>
      <c r="BK87" s="86">
        <v>0</v>
      </c>
      <c r="BM87" s="77"/>
      <c r="BN87" s="78">
        <v>85</v>
      </c>
      <c r="BO87" s="85">
        <f t="shared" si="8"/>
        <v>0</v>
      </c>
      <c r="BP87" s="85">
        <f t="shared" si="8"/>
        <v>0</v>
      </c>
      <c r="BQ87" s="85">
        <f t="shared" si="8"/>
        <v>0</v>
      </c>
      <c r="BR87" s="85">
        <f t="shared" si="8"/>
        <v>0</v>
      </c>
      <c r="BS87" s="85">
        <f t="shared" si="8"/>
        <v>0</v>
      </c>
      <c r="BU87" s="78">
        <v>85</v>
      </c>
      <c r="BV87" s="85">
        <f t="shared" si="9"/>
        <v>0</v>
      </c>
      <c r="BW87" s="85">
        <f t="shared" si="9"/>
        <v>0</v>
      </c>
      <c r="BX87" s="85">
        <f t="shared" si="9"/>
        <v>0</v>
      </c>
      <c r="BY87" s="85">
        <f t="shared" si="9"/>
        <v>0</v>
      </c>
      <c r="BZ87" s="85">
        <f t="shared" si="9"/>
        <v>0</v>
      </c>
      <c r="CB87" s="78">
        <v>85</v>
      </c>
      <c r="CC87" s="78">
        <f t="shared" si="10"/>
        <v>0</v>
      </c>
      <c r="CD87" s="78">
        <f t="shared" si="10"/>
        <v>0</v>
      </c>
      <c r="CE87" s="78">
        <f t="shared" si="10"/>
        <v>0</v>
      </c>
      <c r="CF87" s="78">
        <f t="shared" si="10"/>
        <v>0</v>
      </c>
      <c r="CG87" s="80">
        <f t="shared" si="10"/>
        <v>0</v>
      </c>
    </row>
    <row r="88" spans="1:85" x14ac:dyDescent="0.3">
      <c r="A88" s="81">
        <v>86</v>
      </c>
      <c r="B88" s="82">
        <v>11</v>
      </c>
      <c r="C88" s="83"/>
      <c r="D88" s="78">
        <v>86</v>
      </c>
      <c r="E88" s="82">
        <v>16</v>
      </c>
      <c r="F88" s="83"/>
      <c r="G88" s="78">
        <v>86</v>
      </c>
      <c r="H88" s="82">
        <v>2</v>
      </c>
      <c r="I88" s="83"/>
      <c r="J88" s="78">
        <v>86</v>
      </c>
      <c r="K88" s="82">
        <v>4</v>
      </c>
      <c r="L88" s="82"/>
      <c r="M88" s="78">
        <v>86</v>
      </c>
      <c r="N88" s="84">
        <v>0.4</v>
      </c>
      <c r="O88" s="84"/>
      <c r="P88" s="78">
        <v>86</v>
      </c>
      <c r="Q88" s="82">
        <v>3</v>
      </c>
      <c r="R88" s="82"/>
      <c r="S88" s="78">
        <v>86</v>
      </c>
      <c r="T88" s="82">
        <v>17</v>
      </c>
      <c r="V88" s="78">
        <v>86</v>
      </c>
      <c r="W88" s="85">
        <f t="shared" si="11"/>
        <v>17</v>
      </c>
      <c r="X88" s="85">
        <f t="shared" si="12"/>
        <v>15</v>
      </c>
      <c r="Y88" s="85">
        <f t="shared" si="13"/>
        <v>13</v>
      </c>
      <c r="Z88" s="85">
        <f t="shared" si="14"/>
        <v>13</v>
      </c>
      <c r="AA88" s="85">
        <f t="shared" si="15"/>
        <v>14</v>
      </c>
      <c r="AB88" s="79"/>
      <c r="AG88" s="78"/>
      <c r="AI88" s="77"/>
      <c r="AK88" s="78">
        <v>86</v>
      </c>
      <c r="AL88" s="85">
        <v>0</v>
      </c>
      <c r="AM88" s="85">
        <v>0</v>
      </c>
      <c r="AN88" s="85">
        <v>0</v>
      </c>
      <c r="AO88" s="85">
        <v>0</v>
      </c>
      <c r="AP88" s="85">
        <v>0</v>
      </c>
      <c r="AR88" s="78">
        <v>86</v>
      </c>
      <c r="AS88" s="85">
        <v>0</v>
      </c>
      <c r="AT88" s="85">
        <v>0</v>
      </c>
      <c r="AU88" s="85">
        <v>0</v>
      </c>
      <c r="AV88" s="85">
        <v>0</v>
      </c>
      <c r="AW88" s="85">
        <v>0</v>
      </c>
      <c r="AY88" s="78">
        <v>86</v>
      </c>
      <c r="AZ88" s="85">
        <v>0</v>
      </c>
      <c r="BA88" s="85">
        <v>0</v>
      </c>
      <c r="BB88" s="85">
        <v>0</v>
      </c>
      <c r="BC88" s="85">
        <v>0</v>
      </c>
      <c r="BD88" s="85">
        <v>0</v>
      </c>
      <c r="BF88" s="78">
        <v>86</v>
      </c>
      <c r="BG88" s="85">
        <v>0</v>
      </c>
      <c r="BH88" s="85">
        <v>0</v>
      </c>
      <c r="BI88" s="85">
        <v>0</v>
      </c>
      <c r="BJ88" s="85">
        <v>0</v>
      </c>
      <c r="BK88" s="86">
        <v>0</v>
      </c>
      <c r="BM88" s="77"/>
      <c r="BN88" s="78">
        <v>86</v>
      </c>
      <c r="BO88" s="85">
        <f t="shared" si="8"/>
        <v>0</v>
      </c>
      <c r="BP88" s="85">
        <f t="shared" si="8"/>
        <v>0</v>
      </c>
      <c r="BQ88" s="85">
        <f t="shared" si="8"/>
        <v>0</v>
      </c>
      <c r="BR88" s="85">
        <f t="shared" si="8"/>
        <v>0</v>
      </c>
      <c r="BS88" s="85">
        <f t="shared" si="8"/>
        <v>0</v>
      </c>
      <c r="BU88" s="78">
        <v>86</v>
      </c>
      <c r="BV88" s="85">
        <f t="shared" si="9"/>
        <v>0</v>
      </c>
      <c r="BW88" s="85">
        <f t="shared" si="9"/>
        <v>0</v>
      </c>
      <c r="BX88" s="85">
        <f t="shared" si="9"/>
        <v>0</v>
      </c>
      <c r="BY88" s="85">
        <f t="shared" si="9"/>
        <v>0</v>
      </c>
      <c r="BZ88" s="85">
        <f t="shared" si="9"/>
        <v>0</v>
      </c>
      <c r="CB88" s="78">
        <v>86</v>
      </c>
      <c r="CC88" s="78">
        <f t="shared" si="10"/>
        <v>0</v>
      </c>
      <c r="CD88" s="78">
        <f t="shared" si="10"/>
        <v>0</v>
      </c>
      <c r="CE88" s="78">
        <f t="shared" si="10"/>
        <v>0</v>
      </c>
      <c r="CF88" s="78">
        <f t="shared" si="10"/>
        <v>0</v>
      </c>
      <c r="CG88" s="80">
        <f t="shared" si="10"/>
        <v>0</v>
      </c>
    </row>
    <row r="89" spans="1:85" x14ac:dyDescent="0.3">
      <c r="A89" s="81">
        <v>87</v>
      </c>
      <c r="B89" s="82">
        <v>7</v>
      </c>
      <c r="C89" s="83"/>
      <c r="D89" s="78">
        <v>87</v>
      </c>
      <c r="E89" s="82">
        <v>17</v>
      </c>
      <c r="F89" s="83"/>
      <c r="G89" s="78">
        <v>87</v>
      </c>
      <c r="H89" s="82">
        <v>7</v>
      </c>
      <c r="I89" s="83"/>
      <c r="J89" s="78">
        <v>87</v>
      </c>
      <c r="K89" s="82">
        <v>10</v>
      </c>
      <c r="L89" s="82"/>
      <c r="M89" s="78">
        <v>87</v>
      </c>
      <c r="N89" s="84">
        <v>0.1</v>
      </c>
      <c r="O89" s="84"/>
      <c r="P89" s="78">
        <v>87</v>
      </c>
      <c r="Q89" s="82">
        <v>3</v>
      </c>
      <c r="R89" s="82"/>
      <c r="S89" s="78">
        <v>87</v>
      </c>
      <c r="T89" s="82">
        <v>18</v>
      </c>
      <c r="V89" s="78">
        <v>87</v>
      </c>
      <c r="W89" s="85">
        <f t="shared" si="11"/>
        <v>4</v>
      </c>
      <c r="X89" s="85">
        <f t="shared" si="12"/>
        <v>4</v>
      </c>
      <c r="Y89" s="85">
        <f t="shared" si="13"/>
        <v>3</v>
      </c>
      <c r="Z89" s="85">
        <f t="shared" si="14"/>
        <v>3</v>
      </c>
      <c r="AA89" s="85">
        <f t="shared" si="15"/>
        <v>4</v>
      </c>
      <c r="AB89" s="79"/>
      <c r="AG89" s="78"/>
      <c r="AI89" s="77"/>
      <c r="AK89" s="78">
        <v>87</v>
      </c>
      <c r="AL89" s="85">
        <v>0</v>
      </c>
      <c r="AM89" s="85">
        <v>0</v>
      </c>
      <c r="AN89" s="85">
        <v>0</v>
      </c>
      <c r="AO89" s="85">
        <v>0</v>
      </c>
      <c r="AP89" s="85">
        <v>0</v>
      </c>
      <c r="AR89" s="78">
        <v>87</v>
      </c>
      <c r="AS89" s="85">
        <v>0</v>
      </c>
      <c r="AT89" s="85">
        <v>0</v>
      </c>
      <c r="AU89" s="85">
        <v>0</v>
      </c>
      <c r="AV89" s="85">
        <v>0</v>
      </c>
      <c r="AW89" s="85">
        <v>0</v>
      </c>
      <c r="AY89" s="78">
        <v>87</v>
      </c>
      <c r="AZ89" s="85">
        <v>0</v>
      </c>
      <c r="BA89" s="85">
        <v>0</v>
      </c>
      <c r="BB89" s="85">
        <v>0</v>
      </c>
      <c r="BC89" s="85">
        <v>0</v>
      </c>
      <c r="BD89" s="85">
        <v>0</v>
      </c>
      <c r="BF89" s="78">
        <v>87</v>
      </c>
      <c r="BG89" s="85">
        <v>0</v>
      </c>
      <c r="BH89" s="85">
        <v>0</v>
      </c>
      <c r="BI89" s="85">
        <v>0</v>
      </c>
      <c r="BJ89" s="85">
        <v>0</v>
      </c>
      <c r="BK89" s="86">
        <v>0</v>
      </c>
      <c r="BM89" s="77"/>
      <c r="BN89" s="78">
        <v>87</v>
      </c>
      <c r="BO89" s="85">
        <f t="shared" si="8"/>
        <v>0</v>
      </c>
      <c r="BP89" s="85">
        <f t="shared" si="8"/>
        <v>0</v>
      </c>
      <c r="BQ89" s="85">
        <f t="shared" si="8"/>
        <v>0</v>
      </c>
      <c r="BR89" s="85">
        <f t="shared" si="8"/>
        <v>0</v>
      </c>
      <c r="BS89" s="85">
        <f t="shared" si="8"/>
        <v>0</v>
      </c>
      <c r="BU89" s="78">
        <v>87</v>
      </c>
      <c r="BV89" s="85">
        <f t="shared" si="9"/>
        <v>0</v>
      </c>
      <c r="BW89" s="85">
        <f t="shared" si="9"/>
        <v>0</v>
      </c>
      <c r="BX89" s="85">
        <f t="shared" si="9"/>
        <v>0</v>
      </c>
      <c r="BY89" s="85">
        <f t="shared" si="9"/>
        <v>0</v>
      </c>
      <c r="BZ89" s="85">
        <f t="shared" si="9"/>
        <v>0</v>
      </c>
      <c r="CB89" s="78">
        <v>87</v>
      </c>
      <c r="CC89" s="78">
        <f t="shared" si="10"/>
        <v>0</v>
      </c>
      <c r="CD89" s="78">
        <f t="shared" si="10"/>
        <v>0</v>
      </c>
      <c r="CE89" s="78">
        <f t="shared" si="10"/>
        <v>0</v>
      </c>
      <c r="CF89" s="78">
        <f t="shared" si="10"/>
        <v>0</v>
      </c>
      <c r="CG89" s="80">
        <f t="shared" si="10"/>
        <v>0</v>
      </c>
    </row>
    <row r="90" spans="1:85" x14ac:dyDescent="0.3">
      <c r="A90" s="81">
        <v>88</v>
      </c>
      <c r="B90" s="82">
        <v>10</v>
      </c>
      <c r="C90" s="83"/>
      <c r="D90" s="78">
        <v>88</v>
      </c>
      <c r="E90" s="82">
        <v>17</v>
      </c>
      <c r="F90" s="83"/>
      <c r="G90" s="78">
        <v>88</v>
      </c>
      <c r="H90" s="82">
        <v>4</v>
      </c>
      <c r="I90" s="83"/>
      <c r="J90" s="78">
        <v>88</v>
      </c>
      <c r="K90" s="82">
        <v>13</v>
      </c>
      <c r="L90" s="82"/>
      <c r="M90" s="78">
        <v>88</v>
      </c>
      <c r="N90" s="84">
        <v>0.3</v>
      </c>
      <c r="O90" s="84"/>
      <c r="P90" s="78">
        <v>88</v>
      </c>
      <c r="Q90" s="82">
        <v>3</v>
      </c>
      <c r="R90" s="82"/>
      <c r="S90" s="78">
        <v>88</v>
      </c>
      <c r="T90" s="82">
        <v>15</v>
      </c>
      <c r="V90" s="78">
        <v>88</v>
      </c>
      <c r="W90" s="85">
        <f t="shared" si="11"/>
        <v>8</v>
      </c>
      <c r="X90" s="85">
        <f t="shared" si="12"/>
        <v>7</v>
      </c>
      <c r="Y90" s="85">
        <f t="shared" si="13"/>
        <v>6</v>
      </c>
      <c r="Z90" s="85">
        <f t="shared" si="14"/>
        <v>6</v>
      </c>
      <c r="AA90" s="85">
        <f t="shared" si="15"/>
        <v>7</v>
      </c>
      <c r="AB90" s="79"/>
      <c r="AG90" s="78"/>
      <c r="AI90" s="77"/>
      <c r="AK90" s="78">
        <v>88</v>
      </c>
      <c r="AL90" s="85">
        <v>1</v>
      </c>
      <c r="AM90" s="85">
        <v>0</v>
      </c>
      <c r="AN90" s="85">
        <v>0</v>
      </c>
      <c r="AO90" s="85">
        <v>0</v>
      </c>
      <c r="AP90" s="85">
        <v>0</v>
      </c>
      <c r="AR90" s="78">
        <v>88</v>
      </c>
      <c r="AS90" s="85">
        <v>0</v>
      </c>
      <c r="AT90" s="85">
        <v>0</v>
      </c>
      <c r="AU90" s="85">
        <v>0</v>
      </c>
      <c r="AV90" s="85">
        <v>0</v>
      </c>
      <c r="AW90" s="85">
        <v>0</v>
      </c>
      <c r="AY90" s="78">
        <v>88</v>
      </c>
      <c r="AZ90" s="85">
        <v>0</v>
      </c>
      <c r="BA90" s="85">
        <v>0</v>
      </c>
      <c r="BB90" s="85">
        <v>0</v>
      </c>
      <c r="BC90" s="85">
        <v>0</v>
      </c>
      <c r="BD90" s="85">
        <v>0</v>
      </c>
      <c r="BF90" s="78">
        <v>88</v>
      </c>
      <c r="BG90" s="85">
        <v>0</v>
      </c>
      <c r="BH90" s="85">
        <v>0</v>
      </c>
      <c r="BI90" s="85">
        <v>0</v>
      </c>
      <c r="BJ90" s="85">
        <v>0</v>
      </c>
      <c r="BK90" s="86">
        <v>0</v>
      </c>
      <c r="BM90" s="77"/>
      <c r="BN90" s="78">
        <v>88</v>
      </c>
      <c r="BO90" s="85">
        <f t="shared" si="8"/>
        <v>1</v>
      </c>
      <c r="BP90" s="85">
        <f t="shared" si="8"/>
        <v>0</v>
      </c>
      <c r="BQ90" s="85">
        <f t="shared" si="8"/>
        <v>0</v>
      </c>
      <c r="BR90" s="85">
        <f t="shared" si="8"/>
        <v>0</v>
      </c>
      <c r="BS90" s="85">
        <f t="shared" si="8"/>
        <v>0</v>
      </c>
      <c r="BU90" s="78">
        <v>88</v>
      </c>
      <c r="BV90" s="85">
        <f t="shared" si="9"/>
        <v>1</v>
      </c>
      <c r="BW90" s="85">
        <f t="shared" si="9"/>
        <v>0</v>
      </c>
      <c r="BX90" s="85">
        <f t="shared" si="9"/>
        <v>0</v>
      </c>
      <c r="BY90" s="85">
        <f t="shared" si="9"/>
        <v>0</v>
      </c>
      <c r="BZ90" s="85">
        <f t="shared" si="9"/>
        <v>0</v>
      </c>
      <c r="CB90" s="78">
        <v>88</v>
      </c>
      <c r="CC90" s="78">
        <f t="shared" si="10"/>
        <v>1</v>
      </c>
      <c r="CD90" s="78">
        <f t="shared" si="10"/>
        <v>0</v>
      </c>
      <c r="CE90" s="78">
        <f t="shared" si="10"/>
        <v>0</v>
      </c>
      <c r="CF90" s="78">
        <f t="shared" si="10"/>
        <v>0</v>
      </c>
      <c r="CG90" s="80">
        <f t="shared" si="10"/>
        <v>0</v>
      </c>
    </row>
    <row r="91" spans="1:85" x14ac:dyDescent="0.3">
      <c r="A91" s="81">
        <v>89</v>
      </c>
      <c r="B91" s="82">
        <v>7</v>
      </c>
      <c r="C91" s="83"/>
      <c r="D91" s="78">
        <v>89</v>
      </c>
      <c r="E91" s="82">
        <v>19</v>
      </c>
      <c r="F91" s="83"/>
      <c r="G91" s="78">
        <v>89</v>
      </c>
      <c r="H91" s="82">
        <v>8</v>
      </c>
      <c r="I91" s="83"/>
      <c r="J91" s="78">
        <v>89</v>
      </c>
      <c r="K91" s="82">
        <v>8</v>
      </c>
      <c r="L91" s="82"/>
      <c r="M91" s="78">
        <v>89</v>
      </c>
      <c r="N91" s="84">
        <v>0.6</v>
      </c>
      <c r="O91" s="84"/>
      <c r="P91" s="78">
        <v>89</v>
      </c>
      <c r="Q91" s="82">
        <v>3</v>
      </c>
      <c r="R91" s="82"/>
      <c r="S91" s="78">
        <v>89</v>
      </c>
      <c r="T91" s="82">
        <v>19</v>
      </c>
      <c r="V91" s="78">
        <v>89</v>
      </c>
      <c r="W91" s="85">
        <f t="shared" si="11"/>
        <v>4</v>
      </c>
      <c r="X91" s="85">
        <f t="shared" si="12"/>
        <v>3</v>
      </c>
      <c r="Y91" s="85">
        <f t="shared" si="13"/>
        <v>3</v>
      </c>
      <c r="Z91" s="85">
        <f t="shared" si="14"/>
        <v>3</v>
      </c>
      <c r="AA91" s="85">
        <f t="shared" si="15"/>
        <v>3</v>
      </c>
      <c r="AB91" s="79"/>
      <c r="AG91" s="78"/>
      <c r="AI91" s="77"/>
      <c r="AK91" s="78">
        <v>89</v>
      </c>
      <c r="AL91" s="85">
        <v>0</v>
      </c>
      <c r="AM91" s="85">
        <v>0</v>
      </c>
      <c r="AN91" s="85">
        <v>0</v>
      </c>
      <c r="AO91" s="85">
        <v>0</v>
      </c>
      <c r="AP91" s="85">
        <v>0</v>
      </c>
      <c r="AR91" s="78">
        <v>89</v>
      </c>
      <c r="AS91" s="85">
        <v>0</v>
      </c>
      <c r="AT91" s="85">
        <v>0</v>
      </c>
      <c r="AU91" s="85">
        <v>0</v>
      </c>
      <c r="AV91" s="85">
        <v>0</v>
      </c>
      <c r="AW91" s="85">
        <v>0</v>
      </c>
      <c r="AY91" s="78">
        <v>89</v>
      </c>
      <c r="AZ91" s="85">
        <v>0</v>
      </c>
      <c r="BA91" s="85">
        <v>0</v>
      </c>
      <c r="BB91" s="85">
        <v>0</v>
      </c>
      <c r="BC91" s="85">
        <v>0</v>
      </c>
      <c r="BD91" s="85">
        <v>0</v>
      </c>
      <c r="BF91" s="78">
        <v>89</v>
      </c>
      <c r="BG91" s="85">
        <v>0</v>
      </c>
      <c r="BH91" s="85">
        <v>0</v>
      </c>
      <c r="BI91" s="85">
        <v>0</v>
      </c>
      <c r="BJ91" s="85">
        <v>0</v>
      </c>
      <c r="BK91" s="86">
        <v>0</v>
      </c>
      <c r="BM91" s="77"/>
      <c r="BN91" s="78">
        <v>89</v>
      </c>
      <c r="BO91" s="85">
        <f t="shared" si="8"/>
        <v>0</v>
      </c>
      <c r="BP91" s="85">
        <f t="shared" si="8"/>
        <v>0</v>
      </c>
      <c r="BQ91" s="85">
        <f t="shared" si="8"/>
        <v>0</v>
      </c>
      <c r="BR91" s="85">
        <f t="shared" si="8"/>
        <v>0</v>
      </c>
      <c r="BS91" s="85">
        <f t="shared" si="8"/>
        <v>0</v>
      </c>
      <c r="BU91" s="78">
        <v>89</v>
      </c>
      <c r="BV91" s="85">
        <f t="shared" si="9"/>
        <v>0</v>
      </c>
      <c r="BW91" s="85">
        <f t="shared" si="9"/>
        <v>0</v>
      </c>
      <c r="BX91" s="85">
        <f t="shared" si="9"/>
        <v>0</v>
      </c>
      <c r="BY91" s="85">
        <f t="shared" si="9"/>
        <v>0</v>
      </c>
      <c r="BZ91" s="85">
        <f t="shared" si="9"/>
        <v>0</v>
      </c>
      <c r="CB91" s="78">
        <v>89</v>
      </c>
      <c r="CC91" s="78">
        <f t="shared" si="10"/>
        <v>0</v>
      </c>
      <c r="CD91" s="78">
        <f t="shared" si="10"/>
        <v>0</v>
      </c>
      <c r="CE91" s="78">
        <f t="shared" si="10"/>
        <v>0</v>
      </c>
      <c r="CF91" s="78">
        <f t="shared" si="10"/>
        <v>0</v>
      </c>
      <c r="CG91" s="80">
        <f t="shared" si="10"/>
        <v>0</v>
      </c>
    </row>
    <row r="92" spans="1:85" x14ac:dyDescent="0.3">
      <c r="A92" s="81">
        <v>90</v>
      </c>
      <c r="B92" s="82">
        <v>7</v>
      </c>
      <c r="C92" s="83"/>
      <c r="D92" s="78">
        <v>90</v>
      </c>
      <c r="E92" s="82">
        <v>20</v>
      </c>
      <c r="F92" s="83"/>
      <c r="G92" s="78">
        <v>90</v>
      </c>
      <c r="H92" s="82">
        <v>4</v>
      </c>
      <c r="I92" s="83"/>
      <c r="J92" s="78">
        <v>90</v>
      </c>
      <c r="K92" s="82">
        <v>10</v>
      </c>
      <c r="L92" s="82"/>
      <c r="M92" s="78">
        <v>90</v>
      </c>
      <c r="N92" s="84">
        <v>0.4</v>
      </c>
      <c r="O92" s="84"/>
      <c r="P92" s="78">
        <v>90</v>
      </c>
      <c r="Q92" s="82">
        <v>5</v>
      </c>
      <c r="R92" s="82"/>
      <c r="S92" s="78">
        <v>90</v>
      </c>
      <c r="T92" s="82">
        <v>21</v>
      </c>
      <c r="V92" s="78">
        <v>90</v>
      </c>
      <c r="W92" s="85">
        <f t="shared" si="11"/>
        <v>8</v>
      </c>
      <c r="X92" s="85">
        <f t="shared" si="12"/>
        <v>7</v>
      </c>
      <c r="Y92" s="85">
        <f t="shared" si="13"/>
        <v>6</v>
      </c>
      <c r="Z92" s="85">
        <f t="shared" si="14"/>
        <v>6</v>
      </c>
      <c r="AA92" s="85">
        <f t="shared" si="15"/>
        <v>7</v>
      </c>
      <c r="AB92" s="79"/>
      <c r="AG92" s="78"/>
      <c r="AI92" s="77"/>
      <c r="AK92" s="78">
        <v>90</v>
      </c>
      <c r="AL92" s="85">
        <v>0</v>
      </c>
      <c r="AM92" s="85">
        <v>0</v>
      </c>
      <c r="AN92" s="85">
        <v>0</v>
      </c>
      <c r="AO92" s="85">
        <v>0</v>
      </c>
      <c r="AP92" s="85">
        <v>0</v>
      </c>
      <c r="AR92" s="78">
        <v>90</v>
      </c>
      <c r="AS92" s="85">
        <v>0</v>
      </c>
      <c r="AT92" s="85">
        <v>0</v>
      </c>
      <c r="AU92" s="85">
        <v>0</v>
      </c>
      <c r="AV92" s="85">
        <v>0</v>
      </c>
      <c r="AW92" s="85">
        <v>0</v>
      </c>
      <c r="AY92" s="78">
        <v>90</v>
      </c>
      <c r="AZ92" s="85">
        <v>0</v>
      </c>
      <c r="BA92" s="85">
        <v>0</v>
      </c>
      <c r="BB92" s="85">
        <v>0</v>
      </c>
      <c r="BC92" s="85">
        <v>0</v>
      </c>
      <c r="BD92" s="85">
        <v>0</v>
      </c>
      <c r="BF92" s="78">
        <v>90</v>
      </c>
      <c r="BG92" s="85">
        <v>0</v>
      </c>
      <c r="BH92" s="85">
        <v>0</v>
      </c>
      <c r="BI92" s="85">
        <v>0</v>
      </c>
      <c r="BJ92" s="85">
        <v>0</v>
      </c>
      <c r="BK92" s="86">
        <v>0</v>
      </c>
      <c r="BM92" s="77"/>
      <c r="BN92" s="78">
        <v>90</v>
      </c>
      <c r="BO92" s="85">
        <f t="shared" si="8"/>
        <v>0</v>
      </c>
      <c r="BP92" s="85">
        <f t="shared" si="8"/>
        <v>0</v>
      </c>
      <c r="BQ92" s="85">
        <f t="shared" si="8"/>
        <v>0</v>
      </c>
      <c r="BR92" s="85">
        <f t="shared" si="8"/>
        <v>0</v>
      </c>
      <c r="BS92" s="85">
        <f t="shared" si="8"/>
        <v>0</v>
      </c>
      <c r="BU92" s="78">
        <v>90</v>
      </c>
      <c r="BV92" s="85">
        <f t="shared" si="9"/>
        <v>0</v>
      </c>
      <c r="BW92" s="85">
        <f t="shared" si="9"/>
        <v>0</v>
      </c>
      <c r="BX92" s="85">
        <f t="shared" si="9"/>
        <v>0</v>
      </c>
      <c r="BY92" s="85">
        <f t="shared" si="9"/>
        <v>0</v>
      </c>
      <c r="BZ92" s="85">
        <f t="shared" si="9"/>
        <v>0</v>
      </c>
      <c r="CB92" s="78">
        <v>90</v>
      </c>
      <c r="CC92" s="78">
        <f t="shared" si="10"/>
        <v>0</v>
      </c>
      <c r="CD92" s="78">
        <f t="shared" si="10"/>
        <v>0</v>
      </c>
      <c r="CE92" s="78">
        <f t="shared" si="10"/>
        <v>0</v>
      </c>
      <c r="CF92" s="78">
        <f t="shared" si="10"/>
        <v>0</v>
      </c>
      <c r="CG92" s="80">
        <f t="shared" si="10"/>
        <v>0</v>
      </c>
    </row>
    <row r="93" spans="1:85" x14ac:dyDescent="0.3">
      <c r="A93" s="81">
        <v>91</v>
      </c>
      <c r="B93" s="82">
        <v>9</v>
      </c>
      <c r="C93" s="83"/>
      <c r="D93" s="78">
        <v>91</v>
      </c>
      <c r="E93" s="82">
        <v>24</v>
      </c>
      <c r="F93" s="83"/>
      <c r="G93" s="78">
        <v>91</v>
      </c>
      <c r="H93" s="82">
        <v>2</v>
      </c>
      <c r="I93" s="83"/>
      <c r="J93" s="78">
        <v>91</v>
      </c>
      <c r="K93" s="82">
        <v>4</v>
      </c>
      <c r="L93" s="82"/>
      <c r="M93" s="78">
        <v>91</v>
      </c>
      <c r="N93" s="84">
        <v>0.3</v>
      </c>
      <c r="O93" s="84"/>
      <c r="P93" s="78">
        <v>91</v>
      </c>
      <c r="Q93" s="82">
        <v>4</v>
      </c>
      <c r="R93" s="82"/>
      <c r="S93" s="78">
        <v>91</v>
      </c>
      <c r="T93" s="82">
        <v>17</v>
      </c>
      <c r="V93" s="78">
        <v>91</v>
      </c>
      <c r="W93" s="85">
        <f t="shared" si="11"/>
        <v>17</v>
      </c>
      <c r="X93" s="85">
        <f t="shared" si="12"/>
        <v>15</v>
      </c>
      <c r="Y93" s="85">
        <f t="shared" si="13"/>
        <v>13</v>
      </c>
      <c r="Z93" s="85">
        <f t="shared" si="14"/>
        <v>13</v>
      </c>
      <c r="AA93" s="85">
        <f t="shared" si="15"/>
        <v>14</v>
      </c>
      <c r="AB93" s="79"/>
      <c r="AG93" s="78"/>
      <c r="AI93" s="77"/>
      <c r="AK93" s="78">
        <v>91</v>
      </c>
      <c r="AL93" s="85">
        <v>0</v>
      </c>
      <c r="AM93" s="85">
        <v>0</v>
      </c>
      <c r="AN93" s="85">
        <v>0</v>
      </c>
      <c r="AO93" s="85">
        <v>0</v>
      </c>
      <c r="AP93" s="85">
        <v>0</v>
      </c>
      <c r="AR93" s="78">
        <v>91</v>
      </c>
      <c r="AS93" s="85">
        <v>0</v>
      </c>
      <c r="AT93" s="85">
        <v>0</v>
      </c>
      <c r="AU93" s="85">
        <v>0</v>
      </c>
      <c r="AV93" s="85">
        <v>0</v>
      </c>
      <c r="AW93" s="85">
        <v>0</v>
      </c>
      <c r="AY93" s="78">
        <v>91</v>
      </c>
      <c r="AZ93" s="85">
        <v>0</v>
      </c>
      <c r="BA93" s="85">
        <v>0</v>
      </c>
      <c r="BB93" s="85">
        <v>0</v>
      </c>
      <c r="BC93" s="85">
        <v>0</v>
      </c>
      <c r="BD93" s="85">
        <v>0</v>
      </c>
      <c r="BF93" s="78">
        <v>91</v>
      </c>
      <c r="BG93" s="85">
        <v>0</v>
      </c>
      <c r="BH93" s="85">
        <v>0</v>
      </c>
      <c r="BI93" s="85">
        <v>0</v>
      </c>
      <c r="BJ93" s="85">
        <v>0</v>
      </c>
      <c r="BK93" s="86">
        <v>0</v>
      </c>
      <c r="BM93" s="77"/>
      <c r="BN93" s="78">
        <v>91</v>
      </c>
      <c r="BO93" s="85">
        <f t="shared" si="8"/>
        <v>0</v>
      </c>
      <c r="BP93" s="85">
        <f t="shared" si="8"/>
        <v>0</v>
      </c>
      <c r="BQ93" s="85">
        <f t="shared" si="8"/>
        <v>0</v>
      </c>
      <c r="BR93" s="85">
        <f t="shared" si="8"/>
        <v>0</v>
      </c>
      <c r="BS93" s="85">
        <f t="shared" si="8"/>
        <v>0</v>
      </c>
      <c r="BU93" s="78">
        <v>91</v>
      </c>
      <c r="BV93" s="85">
        <f t="shared" si="9"/>
        <v>0</v>
      </c>
      <c r="BW93" s="85">
        <f t="shared" si="9"/>
        <v>0</v>
      </c>
      <c r="BX93" s="85">
        <f t="shared" si="9"/>
        <v>0</v>
      </c>
      <c r="BY93" s="85">
        <f t="shared" si="9"/>
        <v>0</v>
      </c>
      <c r="BZ93" s="85">
        <f t="shared" si="9"/>
        <v>0</v>
      </c>
      <c r="CB93" s="78">
        <v>91</v>
      </c>
      <c r="CC93" s="78">
        <f t="shared" si="10"/>
        <v>0</v>
      </c>
      <c r="CD93" s="78">
        <f t="shared" si="10"/>
        <v>0</v>
      </c>
      <c r="CE93" s="78">
        <f t="shared" si="10"/>
        <v>0</v>
      </c>
      <c r="CF93" s="78">
        <f t="shared" si="10"/>
        <v>0</v>
      </c>
      <c r="CG93" s="80">
        <f t="shared" si="10"/>
        <v>0</v>
      </c>
    </row>
    <row r="94" spans="1:85" x14ac:dyDescent="0.3">
      <c r="A94" s="81">
        <v>92</v>
      </c>
      <c r="B94" s="82">
        <v>5</v>
      </c>
      <c r="C94" s="83"/>
      <c r="D94" s="78">
        <v>92</v>
      </c>
      <c r="E94" s="82">
        <v>20</v>
      </c>
      <c r="F94" s="83"/>
      <c r="G94" s="78">
        <v>92</v>
      </c>
      <c r="H94" s="82">
        <v>7</v>
      </c>
      <c r="I94" s="83"/>
      <c r="J94" s="78">
        <v>92</v>
      </c>
      <c r="K94" s="82">
        <v>8</v>
      </c>
      <c r="L94" s="82"/>
      <c r="M94" s="78">
        <v>92</v>
      </c>
      <c r="N94" s="84">
        <v>0.9</v>
      </c>
      <c r="O94" s="84"/>
      <c r="P94" s="78">
        <v>92</v>
      </c>
      <c r="Q94" s="82">
        <v>5</v>
      </c>
      <c r="R94" s="82"/>
      <c r="S94" s="78">
        <v>92</v>
      </c>
      <c r="T94" s="82">
        <v>18</v>
      </c>
      <c r="V94" s="78">
        <v>92</v>
      </c>
      <c r="W94" s="85">
        <f t="shared" si="11"/>
        <v>4</v>
      </c>
      <c r="X94" s="85">
        <f t="shared" si="12"/>
        <v>4</v>
      </c>
      <c r="Y94" s="85">
        <f t="shared" si="13"/>
        <v>3</v>
      </c>
      <c r="Z94" s="85">
        <f t="shared" si="14"/>
        <v>3</v>
      </c>
      <c r="AA94" s="85">
        <f t="shared" si="15"/>
        <v>4</v>
      </c>
      <c r="AB94" s="79"/>
      <c r="AG94" s="78"/>
      <c r="AI94" s="77"/>
      <c r="AK94" s="78">
        <v>92</v>
      </c>
      <c r="AL94" s="85">
        <v>0</v>
      </c>
      <c r="AM94" s="85">
        <v>0</v>
      </c>
      <c r="AN94" s="85">
        <v>0</v>
      </c>
      <c r="AO94" s="85">
        <v>0</v>
      </c>
      <c r="AP94" s="85">
        <v>0</v>
      </c>
      <c r="AR94" s="78">
        <v>92</v>
      </c>
      <c r="AS94" s="85">
        <v>0</v>
      </c>
      <c r="AT94" s="85">
        <v>0</v>
      </c>
      <c r="AU94" s="85">
        <v>0</v>
      </c>
      <c r="AV94" s="85">
        <v>0</v>
      </c>
      <c r="AW94" s="85">
        <v>0</v>
      </c>
      <c r="AY94" s="78">
        <v>92</v>
      </c>
      <c r="AZ94" s="85">
        <v>1</v>
      </c>
      <c r="BA94" s="85">
        <v>0</v>
      </c>
      <c r="BB94" s="85">
        <v>0</v>
      </c>
      <c r="BC94" s="85">
        <v>0</v>
      </c>
      <c r="BD94" s="85">
        <v>0</v>
      </c>
      <c r="BF94" s="78">
        <v>92</v>
      </c>
      <c r="BG94" s="85">
        <v>0</v>
      </c>
      <c r="BH94" s="85">
        <v>0</v>
      </c>
      <c r="BI94" s="85">
        <v>0</v>
      </c>
      <c r="BJ94" s="85">
        <v>0</v>
      </c>
      <c r="BK94" s="86">
        <v>0</v>
      </c>
      <c r="BM94" s="77"/>
      <c r="BN94" s="78">
        <v>92</v>
      </c>
      <c r="BO94" s="85">
        <f t="shared" si="8"/>
        <v>1</v>
      </c>
      <c r="BP94" s="85">
        <f t="shared" si="8"/>
        <v>0</v>
      </c>
      <c r="BQ94" s="85">
        <f t="shared" si="8"/>
        <v>0</v>
      </c>
      <c r="BR94" s="85">
        <f t="shared" si="8"/>
        <v>0</v>
      </c>
      <c r="BS94" s="85">
        <f t="shared" si="8"/>
        <v>0</v>
      </c>
      <c r="BU94" s="78">
        <v>92</v>
      </c>
      <c r="BV94" s="85">
        <f t="shared" si="9"/>
        <v>3</v>
      </c>
      <c r="BW94" s="85">
        <f t="shared" si="9"/>
        <v>0</v>
      </c>
      <c r="BX94" s="85">
        <f t="shared" si="9"/>
        <v>0</v>
      </c>
      <c r="BY94" s="85">
        <f t="shared" si="9"/>
        <v>0</v>
      </c>
      <c r="BZ94" s="85">
        <f t="shared" si="9"/>
        <v>0</v>
      </c>
      <c r="CB94" s="78">
        <v>92</v>
      </c>
      <c r="CC94" s="78">
        <f t="shared" si="10"/>
        <v>2.6878753795222869</v>
      </c>
      <c r="CD94" s="78">
        <f t="shared" si="10"/>
        <v>0</v>
      </c>
      <c r="CE94" s="78">
        <f t="shared" si="10"/>
        <v>0</v>
      </c>
      <c r="CF94" s="78">
        <f t="shared" si="10"/>
        <v>0</v>
      </c>
      <c r="CG94" s="80">
        <f t="shared" si="10"/>
        <v>0</v>
      </c>
    </row>
    <row r="95" spans="1:85" x14ac:dyDescent="0.3">
      <c r="A95" s="81">
        <v>93</v>
      </c>
      <c r="B95" s="82">
        <v>7</v>
      </c>
      <c r="C95" s="83"/>
      <c r="D95" s="78">
        <v>93</v>
      </c>
      <c r="E95" s="82">
        <v>24</v>
      </c>
      <c r="F95" s="83"/>
      <c r="G95" s="78">
        <v>93</v>
      </c>
      <c r="H95" s="82">
        <v>8</v>
      </c>
      <c r="I95" s="83"/>
      <c r="J95" s="78">
        <v>93</v>
      </c>
      <c r="K95" s="82">
        <v>14</v>
      </c>
      <c r="L95" s="82"/>
      <c r="M95" s="78">
        <v>93</v>
      </c>
      <c r="N95" s="84">
        <v>0.7</v>
      </c>
      <c r="O95" s="84"/>
      <c r="P95" s="78">
        <v>93</v>
      </c>
      <c r="Q95" s="82">
        <v>2</v>
      </c>
      <c r="R95" s="82"/>
      <c r="S95" s="78">
        <v>93</v>
      </c>
      <c r="T95" s="82">
        <v>22</v>
      </c>
      <c r="V95" s="78">
        <v>93</v>
      </c>
      <c r="W95" s="85">
        <f t="shared" si="11"/>
        <v>4</v>
      </c>
      <c r="X95" s="85">
        <f t="shared" si="12"/>
        <v>3</v>
      </c>
      <c r="Y95" s="85">
        <f t="shared" si="13"/>
        <v>3</v>
      </c>
      <c r="Z95" s="85">
        <f t="shared" si="14"/>
        <v>3</v>
      </c>
      <c r="AA95" s="85">
        <f t="shared" si="15"/>
        <v>3</v>
      </c>
      <c r="AB95" s="79"/>
      <c r="AG95" s="78"/>
      <c r="AI95" s="77"/>
      <c r="AK95" s="78">
        <v>93</v>
      </c>
      <c r="AL95" s="85">
        <v>0</v>
      </c>
      <c r="AM95" s="85">
        <v>0</v>
      </c>
      <c r="AN95" s="85">
        <v>0</v>
      </c>
      <c r="AO95" s="85">
        <v>0</v>
      </c>
      <c r="AP95" s="85">
        <v>1</v>
      </c>
      <c r="AR95" s="78">
        <v>93</v>
      </c>
      <c r="AS95" s="85">
        <v>0</v>
      </c>
      <c r="AT95" s="85">
        <v>0</v>
      </c>
      <c r="AU95" s="85">
        <v>0</v>
      </c>
      <c r="AV95" s="85">
        <v>0</v>
      </c>
      <c r="AW95" s="85">
        <v>0</v>
      </c>
      <c r="AY95" s="78">
        <v>93</v>
      </c>
      <c r="AZ95" s="85">
        <v>0</v>
      </c>
      <c r="BA95" s="85">
        <v>0</v>
      </c>
      <c r="BB95" s="85">
        <v>0</v>
      </c>
      <c r="BC95" s="85">
        <v>0</v>
      </c>
      <c r="BD95" s="85">
        <v>0</v>
      </c>
      <c r="BF95" s="78">
        <v>93</v>
      </c>
      <c r="BG95" s="85">
        <v>0</v>
      </c>
      <c r="BH95" s="85">
        <v>0</v>
      </c>
      <c r="BI95" s="85">
        <v>0</v>
      </c>
      <c r="BJ95" s="85">
        <v>0</v>
      </c>
      <c r="BK95" s="86">
        <v>0</v>
      </c>
      <c r="BM95" s="77"/>
      <c r="BN95" s="78">
        <v>93</v>
      </c>
      <c r="BO95" s="85">
        <f t="shared" si="8"/>
        <v>0</v>
      </c>
      <c r="BP95" s="85">
        <f t="shared" si="8"/>
        <v>0</v>
      </c>
      <c r="BQ95" s="85">
        <f t="shared" si="8"/>
        <v>0</v>
      </c>
      <c r="BR95" s="85">
        <f t="shared" si="8"/>
        <v>0</v>
      </c>
      <c r="BS95" s="85">
        <f t="shared" si="8"/>
        <v>1</v>
      </c>
      <c r="BU95" s="78">
        <v>93</v>
      </c>
      <c r="BV95" s="85">
        <f t="shared" si="9"/>
        <v>0</v>
      </c>
      <c r="BW95" s="85">
        <f t="shared" si="9"/>
        <v>0</v>
      </c>
      <c r="BX95" s="85">
        <f t="shared" si="9"/>
        <v>0</v>
      </c>
      <c r="BY95" s="85">
        <f t="shared" si="9"/>
        <v>0</v>
      </c>
      <c r="BZ95" s="85">
        <f t="shared" si="9"/>
        <v>1</v>
      </c>
      <c r="CB95" s="78">
        <v>93</v>
      </c>
      <c r="CC95" s="78">
        <f t="shared" si="10"/>
        <v>0</v>
      </c>
      <c r="CD95" s="78">
        <f t="shared" si="10"/>
        <v>0</v>
      </c>
      <c r="CE95" s="78">
        <f t="shared" si="10"/>
        <v>0</v>
      </c>
      <c r="CF95" s="78">
        <f t="shared" si="10"/>
        <v>0</v>
      </c>
      <c r="CG95" s="80">
        <f t="shared" si="10"/>
        <v>1</v>
      </c>
    </row>
    <row r="96" spans="1:85" x14ac:dyDescent="0.3">
      <c r="A96" s="81">
        <v>94</v>
      </c>
      <c r="B96" s="82">
        <v>12</v>
      </c>
      <c r="C96" s="83"/>
      <c r="D96" s="78">
        <v>94</v>
      </c>
      <c r="E96" s="82">
        <v>24</v>
      </c>
      <c r="F96" s="83"/>
      <c r="G96" s="78">
        <v>94</v>
      </c>
      <c r="H96" s="82">
        <v>2</v>
      </c>
      <c r="I96" s="83"/>
      <c r="J96" s="78">
        <v>94</v>
      </c>
      <c r="K96" s="82">
        <v>6</v>
      </c>
      <c r="L96" s="82"/>
      <c r="M96" s="78">
        <v>94</v>
      </c>
      <c r="N96" s="84">
        <v>0.9</v>
      </c>
      <c r="O96" s="84"/>
      <c r="P96" s="78">
        <v>94</v>
      </c>
      <c r="Q96" s="82">
        <v>2</v>
      </c>
      <c r="R96" s="82"/>
      <c r="S96" s="78">
        <v>94</v>
      </c>
      <c r="T96" s="82">
        <v>17</v>
      </c>
      <c r="V96" s="78">
        <v>94</v>
      </c>
      <c r="W96" s="85">
        <f t="shared" si="11"/>
        <v>17</v>
      </c>
      <c r="X96" s="85">
        <f t="shared" si="12"/>
        <v>15</v>
      </c>
      <c r="Y96" s="85">
        <f t="shared" si="13"/>
        <v>13</v>
      </c>
      <c r="Z96" s="85">
        <f t="shared" si="14"/>
        <v>13</v>
      </c>
      <c r="AA96" s="85">
        <f t="shared" si="15"/>
        <v>14</v>
      </c>
      <c r="AB96" s="79"/>
      <c r="AG96" s="78"/>
      <c r="AI96" s="77"/>
      <c r="AK96" s="78">
        <v>94</v>
      </c>
      <c r="AL96" s="85">
        <v>0</v>
      </c>
      <c r="AM96" s="85">
        <v>0</v>
      </c>
      <c r="AN96" s="85">
        <v>0</v>
      </c>
      <c r="AO96" s="85">
        <v>1</v>
      </c>
      <c r="AP96" s="85">
        <v>0</v>
      </c>
      <c r="AR96" s="78">
        <v>94</v>
      </c>
      <c r="AS96" s="85">
        <v>0</v>
      </c>
      <c r="AT96" s="85">
        <v>0</v>
      </c>
      <c r="AU96" s="85">
        <v>0</v>
      </c>
      <c r="AV96" s="85">
        <v>0</v>
      </c>
      <c r="AW96" s="85">
        <v>0</v>
      </c>
      <c r="AY96" s="78">
        <v>94</v>
      </c>
      <c r="AZ96" s="85">
        <v>0</v>
      </c>
      <c r="BA96" s="85">
        <v>0</v>
      </c>
      <c r="BB96" s="85">
        <v>0</v>
      </c>
      <c r="BC96" s="85">
        <v>0</v>
      </c>
      <c r="BD96" s="85">
        <v>0</v>
      </c>
      <c r="BF96" s="78">
        <v>94</v>
      </c>
      <c r="BG96" s="85">
        <v>0</v>
      </c>
      <c r="BH96" s="85">
        <v>0</v>
      </c>
      <c r="BI96" s="85">
        <v>0</v>
      </c>
      <c r="BJ96" s="85">
        <v>0</v>
      </c>
      <c r="BK96" s="86">
        <v>0</v>
      </c>
      <c r="BM96" s="77"/>
      <c r="BN96" s="78">
        <v>94</v>
      </c>
      <c r="BO96" s="85">
        <f t="shared" si="8"/>
        <v>0</v>
      </c>
      <c r="BP96" s="85">
        <f t="shared" si="8"/>
        <v>0</v>
      </c>
      <c r="BQ96" s="85">
        <f t="shared" si="8"/>
        <v>0</v>
      </c>
      <c r="BR96" s="85">
        <f t="shared" si="8"/>
        <v>1</v>
      </c>
      <c r="BS96" s="85">
        <f t="shared" si="8"/>
        <v>0</v>
      </c>
      <c r="BU96" s="78">
        <v>94</v>
      </c>
      <c r="BV96" s="85">
        <f t="shared" si="9"/>
        <v>0</v>
      </c>
      <c r="BW96" s="85">
        <f t="shared" si="9"/>
        <v>0</v>
      </c>
      <c r="BX96" s="85">
        <f t="shared" si="9"/>
        <v>0</v>
      </c>
      <c r="BY96" s="85">
        <f t="shared" si="9"/>
        <v>1</v>
      </c>
      <c r="BZ96" s="85">
        <f t="shared" si="9"/>
        <v>0</v>
      </c>
      <c r="CB96" s="78">
        <v>94</v>
      </c>
      <c r="CC96" s="78">
        <f t="shared" si="10"/>
        <v>0</v>
      </c>
      <c r="CD96" s="78">
        <f t="shared" si="10"/>
        <v>0</v>
      </c>
      <c r="CE96" s="78">
        <f t="shared" si="10"/>
        <v>0</v>
      </c>
      <c r="CF96" s="78">
        <f t="shared" si="10"/>
        <v>1</v>
      </c>
      <c r="CG96" s="80">
        <f t="shared" si="10"/>
        <v>0</v>
      </c>
    </row>
    <row r="97" spans="1:85" x14ac:dyDescent="0.3">
      <c r="A97" s="81">
        <v>95</v>
      </c>
      <c r="B97" s="82">
        <v>14</v>
      </c>
      <c r="C97" s="83"/>
      <c r="D97" s="78">
        <v>95</v>
      </c>
      <c r="E97" s="82">
        <v>25</v>
      </c>
      <c r="F97" s="83"/>
      <c r="G97" s="78">
        <v>95</v>
      </c>
      <c r="H97" s="82">
        <v>6</v>
      </c>
      <c r="I97" s="83"/>
      <c r="J97" s="78">
        <v>95</v>
      </c>
      <c r="K97" s="82">
        <v>9</v>
      </c>
      <c r="L97" s="82"/>
      <c r="M97" s="78">
        <v>95</v>
      </c>
      <c r="N97" s="84">
        <v>0.4</v>
      </c>
      <c r="O97" s="84"/>
      <c r="P97" s="78">
        <v>95</v>
      </c>
      <c r="Q97" s="82">
        <v>2</v>
      </c>
      <c r="R97" s="82"/>
      <c r="S97" s="78">
        <v>95</v>
      </c>
      <c r="T97" s="82">
        <v>16</v>
      </c>
      <c r="V97" s="78">
        <v>95</v>
      </c>
      <c r="W97" s="85">
        <f t="shared" si="11"/>
        <v>5</v>
      </c>
      <c r="X97" s="85">
        <f t="shared" si="12"/>
        <v>5</v>
      </c>
      <c r="Y97" s="85">
        <f t="shared" si="13"/>
        <v>4</v>
      </c>
      <c r="Z97" s="85">
        <f t="shared" si="14"/>
        <v>4</v>
      </c>
      <c r="AA97" s="85">
        <f t="shared" si="15"/>
        <v>4</v>
      </c>
      <c r="AB97" s="79"/>
      <c r="AG97" s="78"/>
      <c r="AI97" s="77"/>
      <c r="AK97" s="78">
        <v>95</v>
      </c>
      <c r="AL97" s="85">
        <v>0</v>
      </c>
      <c r="AM97" s="85">
        <v>0</v>
      </c>
      <c r="AN97" s="85">
        <v>0</v>
      </c>
      <c r="AO97" s="85">
        <v>0</v>
      </c>
      <c r="AP97" s="85">
        <v>0</v>
      </c>
      <c r="AR97" s="78">
        <v>95</v>
      </c>
      <c r="AS97" s="85">
        <v>0</v>
      </c>
      <c r="AT97" s="85">
        <v>0</v>
      </c>
      <c r="AU97" s="85">
        <v>0</v>
      </c>
      <c r="AV97" s="85">
        <v>0</v>
      </c>
      <c r="AW97" s="85">
        <v>0</v>
      </c>
      <c r="AY97" s="78">
        <v>95</v>
      </c>
      <c r="AZ97" s="85">
        <v>0</v>
      </c>
      <c r="BA97" s="85">
        <v>0</v>
      </c>
      <c r="BB97" s="85">
        <v>0</v>
      </c>
      <c r="BC97" s="85">
        <v>0</v>
      </c>
      <c r="BD97" s="85">
        <v>0</v>
      </c>
      <c r="BF97" s="78">
        <v>95</v>
      </c>
      <c r="BG97" s="85">
        <v>0</v>
      </c>
      <c r="BH97" s="85">
        <v>0</v>
      </c>
      <c r="BI97" s="85">
        <v>0</v>
      </c>
      <c r="BJ97" s="85">
        <v>0</v>
      </c>
      <c r="BK97" s="86">
        <v>0</v>
      </c>
      <c r="BM97" s="77"/>
      <c r="BN97" s="78">
        <v>95</v>
      </c>
      <c r="BO97" s="85">
        <f t="shared" si="8"/>
        <v>0</v>
      </c>
      <c r="BP97" s="85">
        <f t="shared" si="8"/>
        <v>0</v>
      </c>
      <c r="BQ97" s="85">
        <f t="shared" si="8"/>
        <v>0</v>
      </c>
      <c r="BR97" s="85">
        <f t="shared" si="8"/>
        <v>0</v>
      </c>
      <c r="BS97" s="85">
        <f t="shared" si="8"/>
        <v>0</v>
      </c>
      <c r="BU97" s="78">
        <v>95</v>
      </c>
      <c r="BV97" s="85">
        <f t="shared" si="9"/>
        <v>0</v>
      </c>
      <c r="BW97" s="85">
        <f t="shared" si="9"/>
        <v>0</v>
      </c>
      <c r="BX97" s="85">
        <f t="shared" si="9"/>
        <v>0</v>
      </c>
      <c r="BY97" s="85">
        <f t="shared" si="9"/>
        <v>0</v>
      </c>
      <c r="BZ97" s="85">
        <f t="shared" si="9"/>
        <v>0</v>
      </c>
      <c r="CB97" s="78">
        <v>95</v>
      </c>
      <c r="CC97" s="78">
        <f t="shared" si="10"/>
        <v>0</v>
      </c>
      <c r="CD97" s="78">
        <f t="shared" si="10"/>
        <v>0</v>
      </c>
      <c r="CE97" s="78">
        <f t="shared" si="10"/>
        <v>0</v>
      </c>
      <c r="CF97" s="78">
        <f t="shared" si="10"/>
        <v>0</v>
      </c>
      <c r="CG97" s="80">
        <f t="shared" si="10"/>
        <v>0</v>
      </c>
    </row>
    <row r="98" spans="1:85" x14ac:dyDescent="0.3">
      <c r="A98" s="81">
        <v>96</v>
      </c>
      <c r="B98" s="82">
        <v>8</v>
      </c>
      <c r="C98" s="83"/>
      <c r="D98" s="78">
        <v>96</v>
      </c>
      <c r="E98" s="82">
        <v>23</v>
      </c>
      <c r="F98" s="83"/>
      <c r="G98" s="78">
        <v>96</v>
      </c>
      <c r="H98" s="82">
        <v>6</v>
      </c>
      <c r="I98" s="83"/>
      <c r="J98" s="78">
        <v>96</v>
      </c>
      <c r="K98" s="82">
        <v>4</v>
      </c>
      <c r="L98" s="82"/>
      <c r="M98" s="78">
        <v>96</v>
      </c>
      <c r="N98" s="84">
        <v>0.7</v>
      </c>
      <c r="O98" s="84"/>
      <c r="P98" s="78">
        <v>96</v>
      </c>
      <c r="Q98" s="82">
        <v>1</v>
      </c>
      <c r="R98" s="82"/>
      <c r="S98" s="78">
        <v>96</v>
      </c>
      <c r="T98" s="82">
        <v>17</v>
      </c>
      <c r="V98" s="78">
        <v>96</v>
      </c>
      <c r="W98" s="85">
        <f t="shared" si="11"/>
        <v>5</v>
      </c>
      <c r="X98" s="85">
        <f t="shared" si="12"/>
        <v>5</v>
      </c>
      <c r="Y98" s="85">
        <f t="shared" si="13"/>
        <v>4</v>
      </c>
      <c r="Z98" s="85">
        <f t="shared" si="14"/>
        <v>4</v>
      </c>
      <c r="AA98" s="85">
        <f t="shared" si="15"/>
        <v>4</v>
      </c>
      <c r="AB98" s="79"/>
      <c r="AG98" s="78"/>
      <c r="AI98" s="77"/>
      <c r="AK98" s="78">
        <v>96</v>
      </c>
      <c r="AL98" s="85">
        <v>0</v>
      </c>
      <c r="AM98" s="85">
        <v>0</v>
      </c>
      <c r="AN98" s="85">
        <v>0</v>
      </c>
      <c r="AO98" s="85">
        <v>0</v>
      </c>
      <c r="AP98" s="85">
        <v>0</v>
      </c>
      <c r="AR98" s="78">
        <v>96</v>
      </c>
      <c r="AS98" s="85">
        <v>0</v>
      </c>
      <c r="AT98" s="85">
        <v>0</v>
      </c>
      <c r="AU98" s="85">
        <v>0</v>
      </c>
      <c r="AV98" s="85">
        <v>0</v>
      </c>
      <c r="AW98" s="85">
        <v>0</v>
      </c>
      <c r="AY98" s="78">
        <v>96</v>
      </c>
      <c r="AZ98" s="85">
        <v>0</v>
      </c>
      <c r="BA98" s="85">
        <v>0</v>
      </c>
      <c r="BB98" s="85">
        <v>0</v>
      </c>
      <c r="BC98" s="85">
        <v>0</v>
      </c>
      <c r="BD98" s="85">
        <v>0</v>
      </c>
      <c r="BF98" s="78">
        <v>96</v>
      </c>
      <c r="BG98" s="85">
        <v>0</v>
      </c>
      <c r="BH98" s="85">
        <v>0</v>
      </c>
      <c r="BI98" s="85">
        <v>0</v>
      </c>
      <c r="BJ98" s="85">
        <v>0</v>
      </c>
      <c r="BK98" s="86">
        <v>0</v>
      </c>
      <c r="BM98" s="77"/>
      <c r="BN98" s="78">
        <v>96</v>
      </c>
      <c r="BO98" s="85">
        <f t="shared" si="8"/>
        <v>0</v>
      </c>
      <c r="BP98" s="85">
        <f t="shared" si="8"/>
        <v>0</v>
      </c>
      <c r="BQ98" s="85">
        <f t="shared" si="8"/>
        <v>0</v>
      </c>
      <c r="BR98" s="85">
        <f t="shared" si="8"/>
        <v>0</v>
      </c>
      <c r="BS98" s="85">
        <f t="shared" si="8"/>
        <v>0</v>
      </c>
      <c r="BU98" s="78">
        <v>96</v>
      </c>
      <c r="BV98" s="85">
        <f t="shared" si="9"/>
        <v>0</v>
      </c>
      <c r="BW98" s="85">
        <f t="shared" si="9"/>
        <v>0</v>
      </c>
      <c r="BX98" s="85">
        <f t="shared" si="9"/>
        <v>0</v>
      </c>
      <c r="BY98" s="85">
        <f t="shared" si="9"/>
        <v>0</v>
      </c>
      <c r="BZ98" s="85">
        <f t="shared" si="9"/>
        <v>0</v>
      </c>
      <c r="CB98" s="78">
        <v>96</v>
      </c>
      <c r="CC98" s="78">
        <f t="shared" si="10"/>
        <v>0</v>
      </c>
      <c r="CD98" s="78">
        <f t="shared" si="10"/>
        <v>0</v>
      </c>
      <c r="CE98" s="78">
        <f t="shared" si="10"/>
        <v>0</v>
      </c>
      <c r="CF98" s="78">
        <f t="shared" si="10"/>
        <v>0</v>
      </c>
      <c r="CG98" s="80">
        <f t="shared" si="10"/>
        <v>0</v>
      </c>
    </row>
    <row r="99" spans="1:85" x14ac:dyDescent="0.3">
      <c r="A99" s="81">
        <v>97</v>
      </c>
      <c r="B99" s="82">
        <v>8</v>
      </c>
      <c r="C99" s="83"/>
      <c r="D99" s="78">
        <v>97</v>
      </c>
      <c r="E99" s="82">
        <v>25</v>
      </c>
      <c r="F99" s="83"/>
      <c r="G99" s="78">
        <v>97</v>
      </c>
      <c r="H99" s="82">
        <v>6</v>
      </c>
      <c r="I99" s="83"/>
      <c r="J99" s="78">
        <v>97</v>
      </c>
      <c r="K99" s="82">
        <v>12</v>
      </c>
      <c r="L99" s="82"/>
      <c r="M99" s="78">
        <v>97</v>
      </c>
      <c r="N99" s="84">
        <v>0.7</v>
      </c>
      <c r="O99" s="84"/>
      <c r="P99" s="78">
        <v>97</v>
      </c>
      <c r="Q99" s="82">
        <v>4</v>
      </c>
      <c r="R99" s="82"/>
      <c r="S99" s="78">
        <v>97</v>
      </c>
      <c r="T99" s="82">
        <v>16</v>
      </c>
      <c r="V99" s="78">
        <v>97</v>
      </c>
      <c r="W99" s="85">
        <f t="shared" si="11"/>
        <v>5</v>
      </c>
      <c r="X99" s="85">
        <f t="shared" si="12"/>
        <v>5</v>
      </c>
      <c r="Y99" s="85">
        <f t="shared" si="13"/>
        <v>4</v>
      </c>
      <c r="Z99" s="85">
        <f t="shared" si="14"/>
        <v>4</v>
      </c>
      <c r="AA99" s="85">
        <f t="shared" si="15"/>
        <v>4</v>
      </c>
      <c r="AB99" s="79"/>
      <c r="AG99" s="78"/>
      <c r="AI99" s="77"/>
      <c r="AK99" s="78">
        <v>97</v>
      </c>
      <c r="AL99" s="85">
        <v>0</v>
      </c>
      <c r="AM99" s="85">
        <v>0</v>
      </c>
      <c r="AN99" s="85">
        <v>0</v>
      </c>
      <c r="AO99" s="85">
        <v>0</v>
      </c>
      <c r="AP99" s="85">
        <v>1</v>
      </c>
      <c r="AR99" s="78">
        <v>97</v>
      </c>
      <c r="AS99" s="85">
        <v>0</v>
      </c>
      <c r="AT99" s="85">
        <v>0</v>
      </c>
      <c r="AU99" s="85">
        <v>0</v>
      </c>
      <c r="AV99" s="85">
        <v>0</v>
      </c>
      <c r="AW99" s="85">
        <v>0</v>
      </c>
      <c r="AY99" s="78">
        <v>97</v>
      </c>
      <c r="AZ99" s="85">
        <v>0</v>
      </c>
      <c r="BA99" s="85">
        <v>0</v>
      </c>
      <c r="BB99" s="85">
        <v>0</v>
      </c>
      <c r="BC99" s="85">
        <v>0</v>
      </c>
      <c r="BD99" s="85">
        <v>0</v>
      </c>
      <c r="BF99" s="78">
        <v>97</v>
      </c>
      <c r="BG99" s="85">
        <v>0</v>
      </c>
      <c r="BH99" s="85">
        <v>0</v>
      </c>
      <c r="BI99" s="85">
        <v>0</v>
      </c>
      <c r="BJ99" s="85">
        <v>0</v>
      </c>
      <c r="BK99" s="86">
        <v>0</v>
      </c>
      <c r="BM99" s="77"/>
      <c r="BN99" s="78">
        <v>97</v>
      </c>
      <c r="BO99" s="85">
        <f t="shared" si="8"/>
        <v>0</v>
      </c>
      <c r="BP99" s="85">
        <f t="shared" si="8"/>
        <v>0</v>
      </c>
      <c r="BQ99" s="85">
        <f t="shared" si="8"/>
        <v>0</v>
      </c>
      <c r="BR99" s="85">
        <f t="shared" si="8"/>
        <v>0</v>
      </c>
      <c r="BS99" s="85">
        <f t="shared" si="8"/>
        <v>1</v>
      </c>
      <c r="BU99" s="78">
        <v>97</v>
      </c>
      <c r="BV99" s="85">
        <f t="shared" si="9"/>
        <v>0</v>
      </c>
      <c r="BW99" s="85">
        <f t="shared" si="9"/>
        <v>0</v>
      </c>
      <c r="BX99" s="85">
        <f t="shared" si="9"/>
        <v>0</v>
      </c>
      <c r="BY99" s="85">
        <f t="shared" si="9"/>
        <v>0</v>
      </c>
      <c r="BZ99" s="85">
        <f t="shared" si="9"/>
        <v>1</v>
      </c>
      <c r="CB99" s="78">
        <v>97</v>
      </c>
      <c r="CC99" s="78">
        <f t="shared" si="10"/>
        <v>0</v>
      </c>
      <c r="CD99" s="78">
        <f t="shared" si="10"/>
        <v>0</v>
      </c>
      <c r="CE99" s="78">
        <f t="shared" si="10"/>
        <v>0</v>
      </c>
      <c r="CF99" s="78">
        <f t="shared" si="10"/>
        <v>0</v>
      </c>
      <c r="CG99" s="80">
        <f t="shared" si="10"/>
        <v>1</v>
      </c>
    </row>
    <row r="100" spans="1:85" x14ac:dyDescent="0.3">
      <c r="A100" s="81">
        <v>98</v>
      </c>
      <c r="B100" s="82">
        <v>7</v>
      </c>
      <c r="C100" s="83"/>
      <c r="D100" s="78">
        <v>98</v>
      </c>
      <c r="E100" s="82">
        <v>18</v>
      </c>
      <c r="F100" s="83"/>
      <c r="G100" s="78">
        <v>98</v>
      </c>
      <c r="H100" s="82">
        <v>8</v>
      </c>
      <c r="I100" s="83"/>
      <c r="J100" s="78">
        <v>98</v>
      </c>
      <c r="K100" s="82">
        <v>2</v>
      </c>
      <c r="L100" s="82"/>
      <c r="M100" s="78">
        <v>98</v>
      </c>
      <c r="N100" s="84">
        <v>0.1</v>
      </c>
      <c r="O100" s="84"/>
      <c r="P100" s="78">
        <v>98</v>
      </c>
      <c r="Q100" s="82">
        <v>3</v>
      </c>
      <c r="R100" s="82"/>
      <c r="S100" s="78">
        <v>98</v>
      </c>
      <c r="T100" s="82">
        <v>16</v>
      </c>
      <c r="V100" s="78">
        <v>98</v>
      </c>
      <c r="W100" s="85">
        <f t="shared" si="11"/>
        <v>4</v>
      </c>
      <c r="X100" s="85">
        <f t="shared" si="12"/>
        <v>3</v>
      </c>
      <c r="Y100" s="85">
        <f t="shared" si="13"/>
        <v>3</v>
      </c>
      <c r="Z100" s="85">
        <f t="shared" si="14"/>
        <v>3</v>
      </c>
      <c r="AA100" s="85">
        <f t="shared" si="15"/>
        <v>3</v>
      </c>
      <c r="AB100" s="79"/>
      <c r="AG100" s="78"/>
      <c r="AI100" s="77"/>
      <c r="AK100" s="78">
        <v>98</v>
      </c>
      <c r="AL100" s="85">
        <v>0</v>
      </c>
      <c r="AM100" s="85">
        <v>0</v>
      </c>
      <c r="AN100" s="85">
        <v>0</v>
      </c>
      <c r="AO100" s="85">
        <v>0</v>
      </c>
      <c r="AP100" s="85">
        <v>0</v>
      </c>
      <c r="AR100" s="78">
        <v>98</v>
      </c>
      <c r="AS100" s="85">
        <v>0</v>
      </c>
      <c r="AT100" s="85">
        <v>0</v>
      </c>
      <c r="AU100" s="85">
        <v>0</v>
      </c>
      <c r="AV100" s="85">
        <v>0</v>
      </c>
      <c r="AW100" s="85">
        <v>0</v>
      </c>
      <c r="AY100" s="78">
        <v>98</v>
      </c>
      <c r="AZ100" s="85">
        <v>0</v>
      </c>
      <c r="BA100" s="85">
        <v>0</v>
      </c>
      <c r="BB100" s="85">
        <v>0</v>
      </c>
      <c r="BC100" s="85">
        <v>0</v>
      </c>
      <c r="BD100" s="85">
        <v>0</v>
      </c>
      <c r="BF100" s="78">
        <v>98</v>
      </c>
      <c r="BG100" s="85">
        <v>0</v>
      </c>
      <c r="BH100" s="85">
        <v>0</v>
      </c>
      <c r="BI100" s="85">
        <v>0</v>
      </c>
      <c r="BJ100" s="85">
        <v>0</v>
      </c>
      <c r="BK100" s="86">
        <v>0</v>
      </c>
      <c r="BM100" s="77"/>
      <c r="BN100" s="78">
        <v>98</v>
      </c>
      <c r="BO100" s="85">
        <f t="shared" si="8"/>
        <v>0</v>
      </c>
      <c r="BP100" s="85">
        <f t="shared" si="8"/>
        <v>0</v>
      </c>
      <c r="BQ100" s="85">
        <f t="shared" si="8"/>
        <v>0</v>
      </c>
      <c r="BR100" s="85">
        <f t="shared" si="8"/>
        <v>0</v>
      </c>
      <c r="BS100" s="85">
        <f t="shared" si="8"/>
        <v>0</v>
      </c>
      <c r="BU100" s="78">
        <v>98</v>
      </c>
      <c r="BV100" s="85">
        <f t="shared" si="9"/>
        <v>0</v>
      </c>
      <c r="BW100" s="85">
        <f t="shared" si="9"/>
        <v>0</v>
      </c>
      <c r="BX100" s="85">
        <f t="shared" si="9"/>
        <v>0</v>
      </c>
      <c r="BY100" s="85">
        <f t="shared" si="9"/>
        <v>0</v>
      </c>
      <c r="BZ100" s="85">
        <f t="shared" si="9"/>
        <v>0</v>
      </c>
      <c r="CB100" s="78">
        <v>98</v>
      </c>
      <c r="CC100" s="78">
        <f t="shared" si="10"/>
        <v>0</v>
      </c>
      <c r="CD100" s="78">
        <f t="shared" si="10"/>
        <v>0</v>
      </c>
      <c r="CE100" s="78">
        <f t="shared" si="10"/>
        <v>0</v>
      </c>
      <c r="CF100" s="78">
        <f t="shared" si="10"/>
        <v>0</v>
      </c>
      <c r="CG100" s="80">
        <f t="shared" si="10"/>
        <v>0</v>
      </c>
    </row>
    <row r="101" spans="1:85" x14ac:dyDescent="0.3">
      <c r="A101" s="81">
        <v>99</v>
      </c>
      <c r="B101" s="82">
        <v>8</v>
      </c>
      <c r="C101" s="83"/>
      <c r="D101" s="78">
        <v>99</v>
      </c>
      <c r="E101" s="82">
        <v>15</v>
      </c>
      <c r="F101" s="83"/>
      <c r="G101" s="78">
        <v>99</v>
      </c>
      <c r="H101" s="82">
        <v>6</v>
      </c>
      <c r="I101" s="83"/>
      <c r="J101" s="78">
        <v>99</v>
      </c>
      <c r="K101" s="82">
        <v>6</v>
      </c>
      <c r="L101" s="82"/>
      <c r="M101" s="78">
        <v>99</v>
      </c>
      <c r="N101" s="84">
        <v>0.8</v>
      </c>
      <c r="O101" s="84"/>
      <c r="P101" s="78">
        <v>99</v>
      </c>
      <c r="Q101" s="82">
        <v>2</v>
      </c>
      <c r="R101" s="82"/>
      <c r="S101" s="78">
        <v>99</v>
      </c>
      <c r="T101" s="82">
        <v>25</v>
      </c>
      <c r="V101" s="78">
        <v>99</v>
      </c>
      <c r="W101" s="85">
        <f t="shared" si="11"/>
        <v>5</v>
      </c>
      <c r="X101" s="85">
        <f t="shared" si="12"/>
        <v>5</v>
      </c>
      <c r="Y101" s="85">
        <f t="shared" si="13"/>
        <v>4</v>
      </c>
      <c r="Z101" s="85">
        <f t="shared" si="14"/>
        <v>4</v>
      </c>
      <c r="AA101" s="85">
        <f t="shared" si="15"/>
        <v>4</v>
      </c>
      <c r="AB101" s="79"/>
      <c r="AG101" s="78"/>
      <c r="AI101" s="77"/>
      <c r="AK101" s="78">
        <v>99</v>
      </c>
      <c r="AL101" s="85">
        <v>0</v>
      </c>
      <c r="AM101" s="85">
        <v>0</v>
      </c>
      <c r="AN101" s="85">
        <v>0</v>
      </c>
      <c r="AO101" s="85">
        <v>0</v>
      </c>
      <c r="AP101" s="85">
        <v>1</v>
      </c>
      <c r="AR101" s="78">
        <v>99</v>
      </c>
      <c r="AS101" s="85">
        <v>0</v>
      </c>
      <c r="AT101" s="85">
        <v>0</v>
      </c>
      <c r="AU101" s="85">
        <v>0</v>
      </c>
      <c r="AV101" s="85">
        <v>0</v>
      </c>
      <c r="AW101" s="85">
        <v>0</v>
      </c>
      <c r="AY101" s="78">
        <v>99</v>
      </c>
      <c r="AZ101" s="85">
        <v>0</v>
      </c>
      <c r="BA101" s="85">
        <v>0</v>
      </c>
      <c r="BB101" s="85">
        <v>0</v>
      </c>
      <c r="BC101" s="85">
        <v>0</v>
      </c>
      <c r="BD101" s="85">
        <v>0</v>
      </c>
      <c r="BF101" s="78">
        <v>99</v>
      </c>
      <c r="BG101" s="85">
        <v>0</v>
      </c>
      <c r="BH101" s="85">
        <v>0</v>
      </c>
      <c r="BI101" s="85">
        <v>0</v>
      </c>
      <c r="BJ101" s="85">
        <v>0</v>
      </c>
      <c r="BK101" s="86">
        <v>0</v>
      </c>
      <c r="BM101" s="77"/>
      <c r="BN101" s="78">
        <v>99</v>
      </c>
      <c r="BO101" s="85">
        <f t="shared" si="8"/>
        <v>0</v>
      </c>
      <c r="BP101" s="85">
        <f t="shared" si="8"/>
        <v>0</v>
      </c>
      <c r="BQ101" s="85">
        <f t="shared" si="8"/>
        <v>0</v>
      </c>
      <c r="BR101" s="85">
        <f t="shared" si="8"/>
        <v>0</v>
      </c>
      <c r="BS101" s="85">
        <f t="shared" si="8"/>
        <v>1</v>
      </c>
      <c r="BU101" s="78">
        <v>99</v>
      </c>
      <c r="BV101" s="85">
        <f t="shared" si="9"/>
        <v>0</v>
      </c>
      <c r="BW101" s="85">
        <f t="shared" si="9"/>
        <v>0</v>
      </c>
      <c r="BX101" s="85">
        <f t="shared" si="9"/>
        <v>0</v>
      </c>
      <c r="BY101" s="85">
        <f t="shared" si="9"/>
        <v>0</v>
      </c>
      <c r="BZ101" s="85">
        <f t="shared" si="9"/>
        <v>1</v>
      </c>
      <c r="CB101" s="78">
        <v>99</v>
      </c>
      <c r="CC101" s="78">
        <f t="shared" si="10"/>
        <v>0</v>
      </c>
      <c r="CD101" s="78">
        <f t="shared" si="10"/>
        <v>0</v>
      </c>
      <c r="CE101" s="78">
        <f t="shared" si="10"/>
        <v>0</v>
      </c>
      <c r="CF101" s="78">
        <f t="shared" si="10"/>
        <v>0</v>
      </c>
      <c r="CG101" s="80">
        <f t="shared" si="10"/>
        <v>1</v>
      </c>
    </row>
    <row r="102" spans="1:85" x14ac:dyDescent="0.3">
      <c r="A102" s="81">
        <v>100</v>
      </c>
      <c r="B102" s="82">
        <v>5</v>
      </c>
      <c r="C102" s="83"/>
      <c r="D102" s="78">
        <v>100</v>
      </c>
      <c r="E102" s="82">
        <v>25</v>
      </c>
      <c r="F102" s="83"/>
      <c r="G102" s="78">
        <v>100</v>
      </c>
      <c r="H102" s="82">
        <v>8</v>
      </c>
      <c r="I102" s="83"/>
      <c r="J102" s="78">
        <v>100</v>
      </c>
      <c r="K102" s="82">
        <v>8</v>
      </c>
      <c r="L102" s="82"/>
      <c r="M102" s="78">
        <v>100</v>
      </c>
      <c r="N102" s="84">
        <v>0.1</v>
      </c>
      <c r="O102" s="84"/>
      <c r="P102" s="78">
        <v>100</v>
      </c>
      <c r="Q102" s="82">
        <v>5</v>
      </c>
      <c r="R102" s="82"/>
      <c r="S102" s="78">
        <v>100</v>
      </c>
      <c r="T102" s="82">
        <v>25</v>
      </c>
      <c r="V102" s="78">
        <v>100</v>
      </c>
      <c r="W102" s="85">
        <f t="shared" si="11"/>
        <v>4</v>
      </c>
      <c r="X102" s="85">
        <f t="shared" si="12"/>
        <v>3</v>
      </c>
      <c r="Y102" s="85">
        <f t="shared" si="13"/>
        <v>3</v>
      </c>
      <c r="Z102" s="85">
        <f t="shared" si="14"/>
        <v>3</v>
      </c>
      <c r="AA102" s="85">
        <f t="shared" si="15"/>
        <v>3</v>
      </c>
      <c r="AB102" s="79"/>
      <c r="AG102" s="78"/>
      <c r="AI102" s="77"/>
      <c r="AK102" s="78">
        <v>100</v>
      </c>
      <c r="AL102" s="85">
        <v>0</v>
      </c>
      <c r="AM102" s="85">
        <v>0</v>
      </c>
      <c r="AN102" s="85">
        <v>0</v>
      </c>
      <c r="AO102" s="85">
        <v>0</v>
      </c>
      <c r="AP102" s="85">
        <v>0</v>
      </c>
      <c r="AR102" s="78">
        <v>100</v>
      </c>
      <c r="AS102" s="85">
        <v>0</v>
      </c>
      <c r="AT102" s="85">
        <v>0</v>
      </c>
      <c r="AU102" s="85">
        <v>0</v>
      </c>
      <c r="AV102" s="85">
        <v>0</v>
      </c>
      <c r="AW102" s="85">
        <v>0</v>
      </c>
      <c r="AY102" s="78">
        <v>100</v>
      </c>
      <c r="AZ102" s="85">
        <v>0</v>
      </c>
      <c r="BA102" s="85">
        <v>0</v>
      </c>
      <c r="BB102" s="85">
        <v>0</v>
      </c>
      <c r="BC102" s="85">
        <v>0</v>
      </c>
      <c r="BD102" s="85">
        <v>0</v>
      </c>
      <c r="BF102" s="78">
        <v>100</v>
      </c>
      <c r="BG102" s="85">
        <v>0</v>
      </c>
      <c r="BH102" s="85">
        <v>0</v>
      </c>
      <c r="BI102" s="85">
        <v>0</v>
      </c>
      <c r="BJ102" s="85">
        <v>0</v>
      </c>
      <c r="BK102" s="86">
        <v>0</v>
      </c>
      <c r="BM102" s="77"/>
      <c r="BN102" s="78">
        <v>100</v>
      </c>
      <c r="BO102" s="85">
        <f t="shared" si="8"/>
        <v>0</v>
      </c>
      <c r="BP102" s="85">
        <f t="shared" si="8"/>
        <v>0</v>
      </c>
      <c r="BQ102" s="85">
        <f t="shared" si="8"/>
        <v>0</v>
      </c>
      <c r="BR102" s="85">
        <f t="shared" si="8"/>
        <v>0</v>
      </c>
      <c r="BS102" s="85">
        <f t="shared" si="8"/>
        <v>0</v>
      </c>
      <c r="BU102" s="78">
        <v>100</v>
      </c>
      <c r="BV102" s="85">
        <f t="shared" si="9"/>
        <v>0</v>
      </c>
      <c r="BW102" s="85">
        <f t="shared" si="9"/>
        <v>0</v>
      </c>
      <c r="BX102" s="85">
        <f t="shared" si="9"/>
        <v>0</v>
      </c>
      <c r="BY102" s="85">
        <f t="shared" si="9"/>
        <v>0</v>
      </c>
      <c r="BZ102" s="85">
        <f t="shared" si="9"/>
        <v>0</v>
      </c>
      <c r="CB102" s="78">
        <v>100</v>
      </c>
      <c r="CC102" s="78">
        <f t="shared" si="10"/>
        <v>0</v>
      </c>
      <c r="CD102" s="78">
        <f t="shared" si="10"/>
        <v>0</v>
      </c>
      <c r="CE102" s="78">
        <f t="shared" si="10"/>
        <v>0</v>
      </c>
      <c r="CF102" s="78">
        <f t="shared" si="10"/>
        <v>0</v>
      </c>
      <c r="CG102" s="80">
        <f t="shared" si="10"/>
        <v>0</v>
      </c>
    </row>
    <row r="103" spans="1:85" x14ac:dyDescent="0.3">
      <c r="A103" s="77"/>
      <c r="E103" s="82"/>
      <c r="F103" s="83"/>
      <c r="H103" s="82"/>
      <c r="I103" s="83"/>
      <c r="K103" s="82"/>
      <c r="L103" s="83"/>
      <c r="N103" s="82"/>
      <c r="O103" s="82"/>
      <c r="Q103" s="84"/>
      <c r="R103" s="84"/>
      <c r="T103" s="82"/>
      <c r="U103" s="82"/>
      <c r="W103" s="82"/>
      <c r="X103" s="82"/>
      <c r="AB103" s="79"/>
      <c r="AI103" s="77"/>
      <c r="BK103" s="79"/>
      <c r="BM103" s="77"/>
      <c r="CG103" s="79"/>
    </row>
    <row r="104" spans="1:85" x14ac:dyDescent="0.3">
      <c r="A104" s="77" t="s">
        <v>19</v>
      </c>
      <c r="AB104" s="79"/>
      <c r="AI104" s="77"/>
      <c r="BK104" s="79"/>
      <c r="BM104" s="77"/>
      <c r="CG104" s="79"/>
    </row>
    <row r="105" spans="1:85" ht="15" thickBot="1" x14ac:dyDescent="0.35">
      <c r="A105" s="77" t="s">
        <v>1188</v>
      </c>
      <c r="B105" s="82">
        <v>3</v>
      </c>
      <c r="C105">
        <v>8</v>
      </c>
      <c r="AB105" s="79"/>
      <c r="AI105" s="87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9"/>
      <c r="BM105" s="87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9"/>
    </row>
    <row r="106" spans="1:85" ht="15.6" x14ac:dyDescent="0.3">
      <c r="A106" s="77" t="s">
        <v>1189</v>
      </c>
      <c r="B106" s="82">
        <v>2</v>
      </c>
      <c r="C106">
        <v>5</v>
      </c>
      <c r="W106" s="1" t="s">
        <v>26</v>
      </c>
      <c r="AB106" s="79"/>
      <c r="AL106" s="1" t="s">
        <v>26</v>
      </c>
      <c r="AS106" s="1" t="s">
        <v>26</v>
      </c>
      <c r="AZ106" s="1" t="s">
        <v>26</v>
      </c>
      <c r="BG106" s="1" t="s">
        <v>26</v>
      </c>
      <c r="BO106" s="1" t="s">
        <v>26</v>
      </c>
      <c r="BV106" s="1" t="s">
        <v>26</v>
      </c>
    </row>
    <row r="107" spans="1:85" ht="16.2" thickBot="1" x14ac:dyDescent="0.35">
      <c r="A107" s="77" t="s">
        <v>1190</v>
      </c>
      <c r="B107" s="82">
        <v>16</v>
      </c>
      <c r="C107">
        <v>20</v>
      </c>
      <c r="W107" s="1">
        <f>COLUMN()</f>
        <v>23</v>
      </c>
      <c r="AB107" s="79"/>
      <c r="AL107" s="1">
        <f>COLUMN()</f>
        <v>38</v>
      </c>
      <c r="AS107" s="1">
        <f>COLUMN()</f>
        <v>45</v>
      </c>
      <c r="AZ107" s="1">
        <f>COLUMN()</f>
        <v>52</v>
      </c>
      <c r="BG107" s="1">
        <f>COLUMN()</f>
        <v>59</v>
      </c>
      <c r="BO107" s="1">
        <f>COLUMN()</f>
        <v>67</v>
      </c>
      <c r="BV107" s="1">
        <f>COLUMN()</f>
        <v>74</v>
      </c>
    </row>
    <row r="108" spans="1:85" ht="15.6" x14ac:dyDescent="0.3">
      <c r="A108" s="77" t="s">
        <v>1191</v>
      </c>
      <c r="B108" s="82">
        <v>92</v>
      </c>
      <c r="C108">
        <v>45</v>
      </c>
      <c r="AB108" s="79"/>
      <c r="AD108" s="6" t="s">
        <v>0</v>
      </c>
      <c r="AE108" s="4"/>
      <c r="AF108" s="33"/>
      <c r="AH108" s="2" t="s">
        <v>5</v>
      </c>
      <c r="AI108" s="74"/>
      <c r="AJ108" s="74"/>
      <c r="AK108" s="74"/>
      <c r="AL108" s="75"/>
    </row>
    <row r="109" spans="1:85" ht="15.6" x14ac:dyDescent="0.3">
      <c r="A109" s="77" t="s">
        <v>1192</v>
      </c>
      <c r="B109" s="82">
        <v>39</v>
      </c>
      <c r="C109">
        <v>58</v>
      </c>
      <c r="AB109" s="79"/>
      <c r="AD109" s="10" t="s">
        <v>2</v>
      </c>
      <c r="AE109" s="38"/>
      <c r="AF109" s="34"/>
      <c r="AH109" s="77"/>
      <c r="AL109" s="79"/>
    </row>
    <row r="110" spans="1:85" ht="15.6" x14ac:dyDescent="0.3">
      <c r="A110" s="77" t="s">
        <v>1193</v>
      </c>
      <c r="B110" s="82">
        <v>74</v>
      </c>
      <c r="C110">
        <v>88</v>
      </c>
      <c r="AB110" s="79"/>
      <c r="AD110" s="10" t="s">
        <v>1</v>
      </c>
      <c r="AE110" s="38"/>
      <c r="AF110" s="34"/>
      <c r="AH110" s="77"/>
      <c r="AL110" s="79"/>
    </row>
    <row r="111" spans="1:85" ht="16.2" thickBot="1" x14ac:dyDescent="0.35">
      <c r="A111" s="77" t="s">
        <v>1194</v>
      </c>
      <c r="B111" s="82">
        <v>99</v>
      </c>
      <c r="C111">
        <v>47</v>
      </c>
      <c r="AB111" s="79"/>
      <c r="AD111" s="25" t="s">
        <v>1160</v>
      </c>
      <c r="AE111" s="26"/>
      <c r="AF111" s="27"/>
      <c r="AH111" s="77"/>
      <c r="AL111" s="79"/>
    </row>
    <row r="112" spans="1:85" x14ac:dyDescent="0.3">
      <c r="A112" s="77" t="s">
        <v>1195</v>
      </c>
      <c r="B112" s="82">
        <v>41</v>
      </c>
      <c r="C112">
        <v>36</v>
      </c>
      <c r="AB112" s="79"/>
      <c r="AH112" s="77"/>
      <c r="AL112" s="79"/>
    </row>
    <row r="113" spans="1:38" ht="15" thickBot="1" x14ac:dyDescent="0.35">
      <c r="A113" s="77" t="s">
        <v>1196</v>
      </c>
      <c r="B113" s="82">
        <v>27</v>
      </c>
      <c r="C113">
        <v>51</v>
      </c>
      <c r="AB113" s="79"/>
      <c r="AH113" s="87" cm="1">
        <f t="array" ref="AH113">SUMPRODUCT(MMULT(B3:B102*K3:K102*POWER(E3:E102,N3:N102)*CC3:CG102,H134:H138))</f>
        <v>37906.151969006882</v>
      </c>
      <c r="AI113" s="88"/>
      <c r="AJ113" s="88"/>
      <c r="AK113" s="88"/>
      <c r="AL113" s="89"/>
    </row>
    <row r="114" spans="1:38" x14ac:dyDescent="0.3">
      <c r="A114" s="77" t="s">
        <v>1197</v>
      </c>
      <c r="B114" s="82">
        <v>93</v>
      </c>
      <c r="C114">
        <v>88</v>
      </c>
      <c r="AB114" s="79"/>
    </row>
    <row r="115" spans="1:38" x14ac:dyDescent="0.3">
      <c r="A115" s="77" t="s">
        <v>1198</v>
      </c>
      <c r="B115" s="82">
        <v>100</v>
      </c>
      <c r="C115">
        <v>22</v>
      </c>
      <c r="AB115" s="79"/>
    </row>
    <row r="116" spans="1:38" x14ac:dyDescent="0.3">
      <c r="A116" s="77" t="s">
        <v>1199</v>
      </c>
      <c r="B116" s="82">
        <v>41</v>
      </c>
      <c r="C116">
        <v>99</v>
      </c>
      <c r="AB116" s="79"/>
    </row>
    <row r="117" spans="1:38" x14ac:dyDescent="0.3">
      <c r="A117" s="77"/>
      <c r="AB117" s="79"/>
    </row>
    <row r="118" spans="1:38" x14ac:dyDescent="0.3">
      <c r="A118" s="77" t="s">
        <v>20</v>
      </c>
      <c r="AB118" s="79"/>
    </row>
    <row r="119" spans="1:38" x14ac:dyDescent="0.3">
      <c r="A119" s="77" t="s">
        <v>1188</v>
      </c>
      <c r="B119" s="82">
        <v>3</v>
      </c>
      <c r="C119">
        <v>8</v>
      </c>
      <c r="AB119" s="79"/>
    </row>
    <row r="120" spans="1:38" x14ac:dyDescent="0.3">
      <c r="A120" s="77" t="s">
        <v>1190</v>
      </c>
      <c r="B120" s="82">
        <v>16</v>
      </c>
      <c r="C120">
        <v>20</v>
      </c>
      <c r="AB120" s="79"/>
    </row>
    <row r="121" spans="1:38" x14ac:dyDescent="0.3">
      <c r="A121" s="77" t="s">
        <v>1200</v>
      </c>
      <c r="B121" s="82">
        <v>12</v>
      </c>
      <c r="C121">
        <v>1</v>
      </c>
      <c r="AB121" s="79"/>
    </row>
    <row r="122" spans="1:38" x14ac:dyDescent="0.3">
      <c r="A122" s="77" t="s">
        <v>1201</v>
      </c>
      <c r="B122" s="82">
        <v>15</v>
      </c>
      <c r="C122">
        <v>9</v>
      </c>
      <c r="AB122" s="79"/>
    </row>
    <row r="123" spans="1:38" x14ac:dyDescent="0.3">
      <c r="A123" s="77" t="s">
        <v>1202</v>
      </c>
      <c r="B123" s="82">
        <v>30</v>
      </c>
      <c r="C123">
        <v>35</v>
      </c>
      <c r="AB123" s="79"/>
    </row>
    <row r="124" spans="1:38" x14ac:dyDescent="0.3">
      <c r="A124" s="77" t="s">
        <v>1203</v>
      </c>
      <c r="B124" s="82">
        <v>41</v>
      </c>
      <c r="C124">
        <v>47</v>
      </c>
      <c r="AB124" s="79"/>
    </row>
    <row r="125" spans="1:38" x14ac:dyDescent="0.3">
      <c r="A125" s="77" t="s">
        <v>1204</v>
      </c>
      <c r="B125" s="82">
        <v>57</v>
      </c>
      <c r="C125">
        <v>64</v>
      </c>
      <c r="AB125" s="79"/>
    </row>
    <row r="126" spans="1:38" x14ac:dyDescent="0.3">
      <c r="A126" s="77" t="s">
        <v>1205</v>
      </c>
      <c r="B126" s="82">
        <v>71</v>
      </c>
      <c r="C126">
        <v>82</v>
      </c>
      <c r="AB126" s="79"/>
    </row>
    <row r="127" spans="1:38" x14ac:dyDescent="0.3">
      <c r="A127" s="77" t="s">
        <v>1206</v>
      </c>
      <c r="B127" s="82">
        <v>96</v>
      </c>
      <c r="C127">
        <v>89</v>
      </c>
      <c r="AB127" s="79"/>
    </row>
    <row r="128" spans="1:38" x14ac:dyDescent="0.3">
      <c r="A128" s="77" t="s">
        <v>1207</v>
      </c>
      <c r="B128" s="82">
        <v>55</v>
      </c>
      <c r="C128">
        <v>78</v>
      </c>
      <c r="AB128" s="79"/>
    </row>
    <row r="129" spans="1:38" x14ac:dyDescent="0.3">
      <c r="A129" s="77" t="s">
        <v>1195</v>
      </c>
      <c r="B129" s="82">
        <v>41</v>
      </c>
      <c r="C129">
        <v>36</v>
      </c>
      <c r="AB129" s="79"/>
    </row>
    <row r="130" spans="1:38" x14ac:dyDescent="0.3">
      <c r="A130" s="77" t="s">
        <v>1194</v>
      </c>
      <c r="B130" s="82">
        <v>99</v>
      </c>
      <c r="C130">
        <v>47</v>
      </c>
      <c r="AB130" s="79"/>
    </row>
    <row r="131" spans="1:38" x14ac:dyDescent="0.3">
      <c r="A131" s="77" t="s">
        <v>1197</v>
      </c>
      <c r="B131" s="82">
        <v>93</v>
      </c>
      <c r="C131">
        <v>88</v>
      </c>
      <c r="AB131" s="79"/>
    </row>
    <row r="132" spans="1:38" x14ac:dyDescent="0.3">
      <c r="A132" s="77"/>
      <c r="AB132" s="79"/>
    </row>
    <row r="133" spans="1:38" x14ac:dyDescent="0.3">
      <c r="A133" s="77" t="s">
        <v>1208</v>
      </c>
      <c r="D133" t="s">
        <v>1209</v>
      </c>
      <c r="G133" t="s">
        <v>1210</v>
      </c>
      <c r="AB133" s="79"/>
    </row>
    <row r="134" spans="1:38" x14ac:dyDescent="0.3">
      <c r="A134" s="81">
        <v>1</v>
      </c>
      <c r="B134">
        <v>125</v>
      </c>
      <c r="D134" s="78">
        <v>1</v>
      </c>
      <c r="E134" s="82">
        <v>34</v>
      </c>
      <c r="F134" s="82"/>
      <c r="G134" s="78">
        <v>1</v>
      </c>
      <c r="H134">
        <v>0.25</v>
      </c>
      <c r="AB134" s="79"/>
    </row>
    <row r="135" spans="1:38" x14ac:dyDescent="0.3">
      <c r="A135" s="81">
        <v>2</v>
      </c>
      <c r="B135">
        <v>163</v>
      </c>
      <c r="D135" s="78">
        <v>2</v>
      </c>
      <c r="E135" s="82">
        <v>30</v>
      </c>
      <c r="F135" s="82"/>
      <c r="G135" s="78">
        <v>2</v>
      </c>
      <c r="H135">
        <v>0.6</v>
      </c>
      <c r="AB135" s="79"/>
    </row>
    <row r="136" spans="1:38" x14ac:dyDescent="0.3">
      <c r="A136" s="81">
        <v>3</v>
      </c>
      <c r="B136">
        <v>200</v>
      </c>
      <c r="D136" s="78">
        <v>3</v>
      </c>
      <c r="E136" s="82">
        <v>26</v>
      </c>
      <c r="F136" s="82"/>
      <c r="G136" s="78">
        <v>3</v>
      </c>
      <c r="H136">
        <v>1</v>
      </c>
      <c r="AB136" s="79"/>
    </row>
    <row r="137" spans="1:38" x14ac:dyDescent="0.3">
      <c r="A137" s="81">
        <v>4</v>
      </c>
      <c r="B137">
        <v>238</v>
      </c>
      <c r="D137" s="78">
        <v>4</v>
      </c>
      <c r="E137" s="82">
        <v>27</v>
      </c>
      <c r="F137" s="82"/>
      <c r="G137" s="78">
        <v>4</v>
      </c>
      <c r="H137">
        <v>0.6</v>
      </c>
      <c r="AB137" s="79"/>
    </row>
    <row r="138" spans="1:38" x14ac:dyDescent="0.3">
      <c r="A138" s="81">
        <v>5</v>
      </c>
      <c r="B138">
        <v>275</v>
      </c>
      <c r="D138" s="78">
        <v>5</v>
      </c>
      <c r="E138" s="82">
        <v>29</v>
      </c>
      <c r="F138" s="82"/>
      <c r="G138" s="78">
        <v>5</v>
      </c>
      <c r="H138">
        <v>0.25</v>
      </c>
      <c r="AB138" s="79"/>
    </row>
    <row r="139" spans="1:38" ht="15" thickBot="1" x14ac:dyDescent="0.35">
      <c r="A139" s="87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9"/>
    </row>
    <row r="143" spans="1:38" ht="15" thickBot="1" x14ac:dyDescent="0.35"/>
    <row r="144" spans="1:38" x14ac:dyDescent="0.3">
      <c r="A144" s="73" t="s">
        <v>6</v>
      </c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5"/>
    </row>
    <row r="145" spans="1:38" x14ac:dyDescent="0.3">
      <c r="A145" s="77"/>
      <c r="AL145" s="79"/>
    </row>
    <row r="146" spans="1:38" x14ac:dyDescent="0.3">
      <c r="A146" s="77"/>
      <c r="AL146" s="79"/>
    </row>
    <row r="147" spans="1:38" x14ac:dyDescent="0.3">
      <c r="A147" s="77"/>
      <c r="AL147" s="79"/>
    </row>
    <row r="148" spans="1:38" ht="15.6" x14ac:dyDescent="0.3">
      <c r="A148" s="77"/>
      <c r="B148" s="1" t="s">
        <v>22</v>
      </c>
      <c r="C148" s="1"/>
      <c r="D148" s="1"/>
      <c r="E148" s="1"/>
      <c r="F148" s="1"/>
      <c r="G148" s="1" t="s">
        <v>33</v>
      </c>
      <c r="H148" s="1"/>
      <c r="I148" s="1"/>
      <c r="J148" s="1"/>
      <c r="K148" s="1"/>
      <c r="L148" s="1" t="s">
        <v>23</v>
      </c>
      <c r="M148" s="1"/>
      <c r="N148" s="1"/>
      <c r="O148" s="1"/>
      <c r="P148" s="1"/>
      <c r="Q148" s="1" t="s">
        <v>36</v>
      </c>
      <c r="R148" s="1"/>
      <c r="S148" s="1"/>
      <c r="T148" s="1"/>
      <c r="U148" s="1"/>
      <c r="V148" s="1" t="s">
        <v>37</v>
      </c>
      <c r="W148" s="1"/>
      <c r="X148" s="1"/>
      <c r="Y148" s="1"/>
      <c r="Z148" s="1"/>
      <c r="AA148" s="1" t="s">
        <v>38</v>
      </c>
      <c r="AL148" s="79"/>
    </row>
    <row r="149" spans="1:38" ht="15.6" x14ac:dyDescent="0.3">
      <c r="A149" s="77"/>
      <c r="C149" s="90">
        <f>SUM(AL3:AP3,AS3:AW3,AZ3:BD3,BG3:BK3)</f>
        <v>1</v>
      </c>
      <c r="D149" s="1" t="s">
        <v>21</v>
      </c>
      <c r="E149">
        <v>1</v>
      </c>
      <c r="H149" cm="1">
        <f t="array" ref="H149">SUM(W3:AA3*BV3:BZ3-Q3*BO3:BS3)</f>
        <v>7</v>
      </c>
      <c r="I149" t="s">
        <v>24</v>
      </c>
      <c r="J149">
        <v>0</v>
      </c>
      <c r="M149" cm="1">
        <f t="array" ref="M149">SUM(W3:AA3*BV3:BZ3-T3*BO3:BS3)</f>
        <v>-9</v>
      </c>
      <c r="N149" t="s">
        <v>21</v>
      </c>
      <c r="O149">
        <v>0</v>
      </c>
      <c r="R149" s="1" cm="1">
        <f t="array" aca="1" ref="R149" ca="1">-B134+SUM(INDIRECT(ADDRESS(3,73+ROWS($A$1:A1))):INDIRECT(ADDRESS(102,73+ROWS($A$1:A1)))*$E$3:$E$102)</f>
        <v>0</v>
      </c>
      <c r="S149" s="1" t="s">
        <v>21</v>
      </c>
      <c r="T149" s="1">
        <v>0</v>
      </c>
      <c r="U149" s="1"/>
      <c r="V149" s="1"/>
      <c r="W149" s="1">
        <f ca="1">SUM(INDIRECT(ADDRESS(2+B119,67)):INDIRECT(ADDRESS(2+B119,71)))-SUM(INDIRECT(ADDRESS(2+C119,67)):INDIRECT(ADDRESS(2+C119,71)))</f>
        <v>0</v>
      </c>
      <c r="X149" s="1" t="s">
        <v>25</v>
      </c>
      <c r="Y149" s="1">
        <v>0</v>
      </c>
      <c r="Z149" s="1"/>
      <c r="AA149" s="1"/>
      <c r="AB149" s="90" cm="1">
        <f t="array" aca="1" ref="AB149" ca="1">INDIRECT(ADDRESS(2+$B105,66+COLUMNS($A1:A1)))+INDIRECT(ADDRESS(2+$C105,66+COLUMNS($A1:A1)))</f>
        <v>1</v>
      </c>
      <c r="AC149" s="90" cm="1">
        <f t="array" aca="1" ref="AC149" ca="1">INDIRECT(ADDRESS(2+$B105,66+COLUMNS($A1:B1)))+INDIRECT(ADDRESS(2+$C105,66+COLUMNS($A1:B1)))</f>
        <v>0</v>
      </c>
      <c r="AD149" s="90" cm="1">
        <f t="array" aca="1" ref="AD149" ca="1">INDIRECT(ADDRESS(2+$B105,66+COLUMNS($A1:C1)))+INDIRECT(ADDRESS(2+$C105,66+COLUMNS($A1:C1)))</f>
        <v>0</v>
      </c>
      <c r="AE149" s="90" cm="1">
        <f t="array" aca="1" ref="AE149" ca="1">INDIRECT(ADDRESS(2+$B105,66+COLUMNS($A1:D1)))+INDIRECT(ADDRESS(2+$C105,66+COLUMNS($A1:D1)))</f>
        <v>0</v>
      </c>
      <c r="AF149" s="90" cm="1">
        <f t="array" aca="1" ref="AF149" ca="1">INDIRECT(ADDRESS(2+$B105,66+COLUMNS($A1:E1)))+INDIRECT(ADDRESS(2+$C105,66+COLUMNS($A1:E1)))</f>
        <v>1</v>
      </c>
      <c r="AG149" t="s">
        <v>21</v>
      </c>
      <c r="AH149">
        <v>1</v>
      </c>
      <c r="AI149">
        <v>1</v>
      </c>
      <c r="AJ149">
        <v>1</v>
      </c>
      <c r="AK149">
        <v>1</v>
      </c>
      <c r="AL149" s="79">
        <v>1</v>
      </c>
    </row>
    <row r="150" spans="1:38" ht="15.6" x14ac:dyDescent="0.3">
      <c r="A150" s="77"/>
      <c r="C150" s="90">
        <f t="shared" ref="C150:C213" si="16">SUM(AL4:AP4,AS4:AW4,AZ4:BD4,BG4:BK4)</f>
        <v>0</v>
      </c>
      <c r="D150" s="1" t="s">
        <v>21</v>
      </c>
      <c r="E150">
        <v>1</v>
      </c>
      <c r="H150" cm="1">
        <f t="array" ref="H150">SUM(W4:AA4*BV4:BZ4-Q4*BO4:BS4)</f>
        <v>0</v>
      </c>
      <c r="I150" t="s">
        <v>24</v>
      </c>
      <c r="J150">
        <v>0</v>
      </c>
      <c r="M150" cm="1">
        <f t="array" ref="M150">SUM(W4:AA4*BV4:BZ4-T4*BO4:BS4)</f>
        <v>0</v>
      </c>
      <c r="N150" t="s">
        <v>21</v>
      </c>
      <c r="O150">
        <v>0</v>
      </c>
      <c r="R150" s="1" cm="1">
        <f t="array" aca="1" ref="R150" ca="1">-B135+SUM(INDIRECT(ADDRESS(3,73+ROWS($A$1:A2))):INDIRECT(ADDRESS(102,73+ROWS($A$1:A2)))*$E$3:$E$102)</f>
        <v>0</v>
      </c>
      <c r="S150" t="s">
        <v>21</v>
      </c>
      <c r="T150">
        <v>0</v>
      </c>
      <c r="W150" s="1">
        <f ca="1">SUM(INDIRECT(ADDRESS(2+B120,67)):INDIRECT(ADDRESS(2+B120,71)))-SUM(INDIRECT(ADDRESS(2+C120,67)):INDIRECT(ADDRESS(2+C120,71)))</f>
        <v>0</v>
      </c>
      <c r="X150" t="s">
        <v>25</v>
      </c>
      <c r="Y150">
        <v>0</v>
      </c>
      <c r="AB150" s="90" cm="1">
        <f t="array" aca="1" ref="AB150" ca="1">INDIRECT(ADDRESS(2+$B106,66+COLUMNS($A2:A2)))+INDIRECT(ADDRESS(2+$C106,66+COLUMNS($A2:A2)))</f>
        <v>0</v>
      </c>
      <c r="AC150" s="90" cm="1">
        <f t="array" aca="1" ref="AC150" ca="1">INDIRECT(ADDRESS(2+$B106,66+COLUMNS($A2:B2)))+INDIRECT(ADDRESS(2+$C106,66+COLUMNS($A2:B2)))</f>
        <v>1</v>
      </c>
      <c r="AD150" s="90" cm="1">
        <f t="array" aca="1" ref="AD150" ca="1">INDIRECT(ADDRESS(2+$B106,66+COLUMNS($A2:C2)))+INDIRECT(ADDRESS(2+$C106,66+COLUMNS($A2:C2)))</f>
        <v>0</v>
      </c>
      <c r="AE150" s="90" cm="1">
        <f t="array" aca="1" ref="AE150" ca="1">INDIRECT(ADDRESS(2+$B106,66+COLUMNS($A2:D2)))+INDIRECT(ADDRESS(2+$C106,66+COLUMNS($A2:D2)))</f>
        <v>0</v>
      </c>
      <c r="AF150" s="90" cm="1">
        <f t="array" aca="1" ref="AF150" ca="1">INDIRECT(ADDRESS(2+$B106,66+COLUMNS($A2:E2)))+INDIRECT(ADDRESS(2+$C106,66+COLUMNS($A2:E2)))</f>
        <v>0</v>
      </c>
      <c r="AG150" t="s">
        <v>21</v>
      </c>
      <c r="AH150">
        <v>1</v>
      </c>
      <c r="AI150">
        <v>1</v>
      </c>
      <c r="AJ150">
        <v>1</v>
      </c>
      <c r="AK150">
        <v>1</v>
      </c>
      <c r="AL150" s="79">
        <v>1</v>
      </c>
    </row>
    <row r="151" spans="1:38" ht="15.6" x14ac:dyDescent="0.3">
      <c r="A151" s="77"/>
      <c r="C151" s="90">
        <f t="shared" si="16"/>
        <v>1</v>
      </c>
      <c r="D151" s="1" t="s">
        <v>21</v>
      </c>
      <c r="E151">
        <v>1</v>
      </c>
      <c r="H151" cm="1">
        <f t="array" ref="H151">SUM(W5:AA5*BV5:BZ5-Q5*BO5:BS5)</f>
        <v>3</v>
      </c>
      <c r="I151" t="s">
        <v>24</v>
      </c>
      <c r="J151">
        <v>0</v>
      </c>
      <c r="M151" cm="1">
        <f t="array" ref="M151">SUM(W5:AA5*BV5:BZ5-T5*BO5:BS5)</f>
        <v>-12</v>
      </c>
      <c r="N151" t="s">
        <v>21</v>
      </c>
      <c r="O151">
        <v>0</v>
      </c>
      <c r="R151" s="1" cm="1">
        <f t="array" aca="1" ref="R151" ca="1">-B136+SUM(INDIRECT(ADDRESS(3,73+ROWS($A$1:A3))):INDIRECT(ADDRESS(102,73+ROWS($A$1:A3)))*$E$3:$E$102)</f>
        <v>-1</v>
      </c>
      <c r="S151" t="s">
        <v>21</v>
      </c>
      <c r="T151">
        <v>0</v>
      </c>
      <c r="W151" s="1">
        <f ca="1">SUM(INDIRECT(ADDRESS(2+B121,67)):INDIRECT(ADDRESS(2+B121,71)))-SUM(INDIRECT(ADDRESS(2+C121,67)):INDIRECT(ADDRESS(2+C121,71)))</f>
        <v>0</v>
      </c>
      <c r="X151" t="s">
        <v>25</v>
      </c>
      <c r="Y151">
        <v>0</v>
      </c>
      <c r="AB151" s="90" cm="1">
        <f t="array" aca="1" ref="AB151" ca="1">INDIRECT(ADDRESS(2+$B107,66+COLUMNS($A3:A3)))+INDIRECT(ADDRESS(2+$C107,66+COLUMNS($A3:A3)))</f>
        <v>0</v>
      </c>
      <c r="AC151" s="90" cm="1">
        <f t="array" aca="1" ref="AC151" ca="1">INDIRECT(ADDRESS(2+$B107,66+COLUMNS($A3:B3)))+INDIRECT(ADDRESS(2+$C107,66+COLUMNS($A3:B3)))</f>
        <v>0</v>
      </c>
      <c r="AD151" s="90" cm="1">
        <f t="array" aca="1" ref="AD151" ca="1">INDIRECT(ADDRESS(2+$B107,66+COLUMNS($A3:C3)))+INDIRECT(ADDRESS(2+$C107,66+COLUMNS($A3:C3)))</f>
        <v>0</v>
      </c>
      <c r="AE151" s="90" cm="1">
        <f t="array" aca="1" ref="AE151" ca="1">INDIRECT(ADDRESS(2+$B107,66+COLUMNS($A3:D3)))+INDIRECT(ADDRESS(2+$C107,66+COLUMNS($A3:D3)))</f>
        <v>0</v>
      </c>
      <c r="AF151" s="90" cm="1">
        <f t="array" aca="1" ref="AF151" ca="1">INDIRECT(ADDRESS(2+$B107,66+COLUMNS($A3:E3)))+INDIRECT(ADDRESS(2+$C107,66+COLUMNS($A3:E3)))</f>
        <v>0</v>
      </c>
      <c r="AG151" t="s">
        <v>21</v>
      </c>
      <c r="AH151">
        <v>1</v>
      </c>
      <c r="AI151">
        <v>1</v>
      </c>
      <c r="AJ151">
        <v>1</v>
      </c>
      <c r="AK151">
        <v>1</v>
      </c>
      <c r="AL151" s="79">
        <v>1</v>
      </c>
    </row>
    <row r="152" spans="1:38" ht="15.6" x14ac:dyDescent="0.3">
      <c r="A152" s="77"/>
      <c r="C152" s="90">
        <f t="shared" si="16"/>
        <v>0</v>
      </c>
      <c r="D152" s="1" t="s">
        <v>21</v>
      </c>
      <c r="E152">
        <v>1</v>
      </c>
      <c r="H152" cm="1">
        <f t="array" ref="H152">SUM(W6:AA6*BV6:BZ6-Q6*BO6:BS6)</f>
        <v>0</v>
      </c>
      <c r="I152" t="s">
        <v>24</v>
      </c>
      <c r="J152">
        <v>0</v>
      </c>
      <c r="M152" cm="1">
        <f t="array" ref="M152">SUM(W6:AA6*BV6:BZ6-T6*BO6:BS6)</f>
        <v>0</v>
      </c>
      <c r="N152" t="s">
        <v>21</v>
      </c>
      <c r="O152">
        <v>0</v>
      </c>
      <c r="R152" s="1" cm="1">
        <f t="array" aca="1" ref="R152" ca="1">-B137+SUM(INDIRECT(ADDRESS(3,73+ROWS($A$1:A4))):INDIRECT(ADDRESS(102,73+ROWS($A$1:A4)))*$E$3:$E$102)</f>
        <v>0</v>
      </c>
      <c r="S152" t="s">
        <v>21</v>
      </c>
      <c r="T152">
        <v>0</v>
      </c>
      <c r="W152" s="1">
        <f ca="1">SUM(INDIRECT(ADDRESS(2+B122,67)):INDIRECT(ADDRESS(2+B122,71)))-SUM(INDIRECT(ADDRESS(2+C122,67)):INDIRECT(ADDRESS(2+C122,71)))</f>
        <v>0</v>
      </c>
      <c r="X152" t="s">
        <v>25</v>
      </c>
      <c r="Y152">
        <v>0</v>
      </c>
      <c r="AB152" s="90" cm="1">
        <f t="array" aca="1" ref="AB152" ca="1">INDIRECT(ADDRESS(2+$B108,66+COLUMNS($A4:A4)))+INDIRECT(ADDRESS(2+$C108,66+COLUMNS($A4:A4)))</f>
        <v>1</v>
      </c>
      <c r="AC152" s="90" cm="1">
        <f t="array" aca="1" ref="AC152" ca="1">INDIRECT(ADDRESS(2+$B108,66+COLUMNS($A4:B4)))+INDIRECT(ADDRESS(2+$C108,66+COLUMNS($A4:B4)))</f>
        <v>0</v>
      </c>
      <c r="AD152" s="90" cm="1">
        <f t="array" aca="1" ref="AD152" ca="1">INDIRECT(ADDRESS(2+$B108,66+COLUMNS($A4:C4)))+INDIRECT(ADDRESS(2+$C108,66+COLUMNS($A4:C4)))</f>
        <v>0</v>
      </c>
      <c r="AE152" s="90" cm="1">
        <f t="array" aca="1" ref="AE152" ca="1">INDIRECT(ADDRESS(2+$B108,66+COLUMNS($A4:D4)))+INDIRECT(ADDRESS(2+$C108,66+COLUMNS($A4:D4)))</f>
        <v>1</v>
      </c>
      <c r="AF152" s="90" cm="1">
        <f t="array" aca="1" ref="AF152" ca="1">INDIRECT(ADDRESS(2+$B108,66+COLUMNS($A4:E4)))+INDIRECT(ADDRESS(2+$C108,66+COLUMNS($A4:E4)))</f>
        <v>0</v>
      </c>
      <c r="AG152" t="s">
        <v>21</v>
      </c>
      <c r="AH152">
        <v>1</v>
      </c>
      <c r="AI152">
        <v>1</v>
      </c>
      <c r="AJ152">
        <v>1</v>
      </c>
      <c r="AK152">
        <v>1</v>
      </c>
      <c r="AL152" s="79">
        <v>1</v>
      </c>
    </row>
    <row r="153" spans="1:38" ht="15.6" x14ac:dyDescent="0.3">
      <c r="A153" s="77"/>
      <c r="C153" s="90">
        <f t="shared" si="16"/>
        <v>1</v>
      </c>
      <c r="D153" s="1" t="s">
        <v>21</v>
      </c>
      <c r="E153">
        <v>1</v>
      </c>
      <c r="H153" cm="1">
        <f t="array" ref="H153">SUM(W7:AA7*BV7:BZ7-Q7*BO7:BS7)</f>
        <v>13</v>
      </c>
      <c r="I153" t="s">
        <v>24</v>
      </c>
      <c r="J153">
        <v>0</v>
      </c>
      <c r="M153" cm="1">
        <f t="array" ref="M153">SUM(W7:AA7*BV7:BZ7-T7*BO7:BS7)</f>
        <v>-2</v>
      </c>
      <c r="N153" t="s">
        <v>21</v>
      </c>
      <c r="O153">
        <v>0</v>
      </c>
      <c r="R153" s="1" cm="1">
        <f t="array" aca="1" ref="R153" ca="1">-B138+SUM(INDIRECT(ADDRESS(3,73+ROWS($A$1:A5))):INDIRECT(ADDRESS(102,73+ROWS($A$1:A5)))*$E$3:$E$102)</f>
        <v>0</v>
      </c>
      <c r="S153" t="s">
        <v>21</v>
      </c>
      <c r="T153">
        <v>0</v>
      </c>
      <c r="W153" s="1">
        <f ca="1">SUM(INDIRECT(ADDRESS(2+B123,67)):INDIRECT(ADDRESS(2+B123,71)))-SUM(INDIRECT(ADDRESS(2+C123,67)):INDIRECT(ADDRESS(2+C123,71)))</f>
        <v>0</v>
      </c>
      <c r="X153" t="s">
        <v>25</v>
      </c>
      <c r="Y153">
        <v>0</v>
      </c>
      <c r="AB153" s="90" cm="1">
        <f t="array" aca="1" ref="AB153" ca="1">INDIRECT(ADDRESS(2+$B109,66+COLUMNS($A5:A5)))+INDIRECT(ADDRESS(2+$C109,66+COLUMNS($A5:A5)))</f>
        <v>1</v>
      </c>
      <c r="AC153" s="90" cm="1">
        <f t="array" aca="1" ref="AC153" ca="1">INDIRECT(ADDRESS(2+$B109,66+COLUMNS($A5:B5)))+INDIRECT(ADDRESS(2+$C109,66+COLUMNS($A5:B5)))</f>
        <v>0</v>
      </c>
      <c r="AD153" s="90" cm="1">
        <f t="array" aca="1" ref="AD153" ca="1">INDIRECT(ADDRESS(2+$B109,66+COLUMNS($A5:C5)))+INDIRECT(ADDRESS(2+$C109,66+COLUMNS($A5:C5)))</f>
        <v>0</v>
      </c>
      <c r="AE153" s="90" cm="1">
        <f t="array" aca="1" ref="AE153" ca="1">INDIRECT(ADDRESS(2+$B109,66+COLUMNS($A5:D5)))+INDIRECT(ADDRESS(2+$C109,66+COLUMNS($A5:D5)))</f>
        <v>0</v>
      </c>
      <c r="AF153" s="90" cm="1">
        <f t="array" aca="1" ref="AF153" ca="1">INDIRECT(ADDRESS(2+$B109,66+COLUMNS($A5:E5)))+INDIRECT(ADDRESS(2+$C109,66+COLUMNS($A5:E5)))</f>
        <v>0</v>
      </c>
      <c r="AG153" t="s">
        <v>21</v>
      </c>
      <c r="AH153">
        <v>1</v>
      </c>
      <c r="AI153">
        <v>1</v>
      </c>
      <c r="AJ153">
        <v>1</v>
      </c>
      <c r="AK153">
        <v>1</v>
      </c>
      <c r="AL153" s="79">
        <v>1</v>
      </c>
    </row>
    <row r="154" spans="1:38" ht="15.6" x14ac:dyDescent="0.3">
      <c r="A154" s="77"/>
      <c r="C154" s="90">
        <f t="shared" si="16"/>
        <v>0</v>
      </c>
      <c r="D154" s="1" t="s">
        <v>21</v>
      </c>
      <c r="E154">
        <v>1</v>
      </c>
      <c r="H154" cm="1">
        <f t="array" ref="H154">SUM(W8:AA8*BV8:BZ8-Q8*BO8:BS8)</f>
        <v>0</v>
      </c>
      <c r="I154" t="s">
        <v>24</v>
      </c>
      <c r="J154">
        <v>0</v>
      </c>
      <c r="M154" cm="1">
        <f t="array" ref="M154">SUM(W8:AA8*BV8:BZ8-T8*BO8:BS8)</f>
        <v>0</v>
      </c>
      <c r="N154" t="s">
        <v>21</v>
      </c>
      <c r="O154">
        <v>0</v>
      </c>
      <c r="W154" s="1">
        <f ca="1">SUM(INDIRECT(ADDRESS(2+B124,67)):INDIRECT(ADDRESS(2+B124,71)))-SUM(INDIRECT(ADDRESS(2+C124,67)):INDIRECT(ADDRESS(2+C124,71)))</f>
        <v>0</v>
      </c>
      <c r="X154" t="s">
        <v>25</v>
      </c>
      <c r="Y154">
        <v>0</v>
      </c>
      <c r="AB154" s="90" cm="1">
        <f t="array" aca="1" ref="AB154" ca="1">INDIRECT(ADDRESS(2+$B110,66+COLUMNS($A6:A6)))+INDIRECT(ADDRESS(2+$C110,66+COLUMNS($A6:A6)))</f>
        <v>1</v>
      </c>
      <c r="AC154" s="90" cm="1">
        <f t="array" aca="1" ref="AC154" ca="1">INDIRECT(ADDRESS(2+$B110,66+COLUMNS($A6:B6)))+INDIRECT(ADDRESS(2+$C110,66+COLUMNS($A6:B6)))</f>
        <v>0</v>
      </c>
      <c r="AD154" s="90" cm="1">
        <f t="array" aca="1" ref="AD154" ca="1">INDIRECT(ADDRESS(2+$B110,66+COLUMNS($A6:C6)))+INDIRECT(ADDRESS(2+$C110,66+COLUMNS($A6:C6)))</f>
        <v>0</v>
      </c>
      <c r="AE154" s="90" cm="1">
        <f t="array" aca="1" ref="AE154" ca="1">INDIRECT(ADDRESS(2+$B110,66+COLUMNS($A6:D6)))+INDIRECT(ADDRESS(2+$C110,66+COLUMNS($A6:D6)))</f>
        <v>1</v>
      </c>
      <c r="AF154" s="90" cm="1">
        <f t="array" aca="1" ref="AF154" ca="1">INDIRECT(ADDRESS(2+$B110,66+COLUMNS($A6:E6)))+INDIRECT(ADDRESS(2+$C110,66+COLUMNS($A6:E6)))</f>
        <v>0</v>
      </c>
      <c r="AG154" t="s">
        <v>21</v>
      </c>
      <c r="AH154">
        <v>1</v>
      </c>
      <c r="AI154">
        <v>1</v>
      </c>
      <c r="AJ154">
        <v>1</v>
      </c>
      <c r="AK154">
        <v>1</v>
      </c>
      <c r="AL154" s="79">
        <v>1</v>
      </c>
    </row>
    <row r="155" spans="1:38" ht="15.6" x14ac:dyDescent="0.3">
      <c r="A155" s="77"/>
      <c r="C155" s="90">
        <f t="shared" si="16"/>
        <v>0</v>
      </c>
      <c r="D155" s="1" t="s">
        <v>21</v>
      </c>
      <c r="E155">
        <v>1</v>
      </c>
      <c r="H155" cm="1">
        <f t="array" ref="H155">SUM(W9:AA9*BV9:BZ9-Q9*BO9:BS9)</f>
        <v>0</v>
      </c>
      <c r="I155" t="s">
        <v>24</v>
      </c>
      <c r="J155">
        <v>0</v>
      </c>
      <c r="M155" cm="1">
        <f t="array" ref="M155">SUM(W9:AA9*BV9:BZ9-T9*BO9:BS9)</f>
        <v>0</v>
      </c>
      <c r="N155" t="s">
        <v>21</v>
      </c>
      <c r="O155">
        <v>0</v>
      </c>
      <c r="W155" s="1">
        <f ca="1">SUM(INDIRECT(ADDRESS(2+B125,67)):INDIRECT(ADDRESS(2+B125,71)))-SUM(INDIRECT(ADDRESS(2+C125,67)):INDIRECT(ADDRESS(2+C125,71)))</f>
        <v>0</v>
      </c>
      <c r="X155" t="s">
        <v>25</v>
      </c>
      <c r="Y155">
        <v>0</v>
      </c>
      <c r="AB155" s="90" cm="1">
        <f t="array" aca="1" ref="AB155" ca="1">INDIRECT(ADDRESS(2+$B111,66+COLUMNS($A7:A7)))+INDIRECT(ADDRESS(2+$C111,66+COLUMNS($A7:A7)))</f>
        <v>1</v>
      </c>
      <c r="AC155" s="90" cm="1">
        <f t="array" aca="1" ref="AC155" ca="1">INDIRECT(ADDRESS(2+$B111,66+COLUMNS($A7:B7)))+INDIRECT(ADDRESS(2+$C111,66+COLUMNS($A7:B7)))</f>
        <v>0</v>
      </c>
      <c r="AD155" s="90" cm="1">
        <f t="array" aca="1" ref="AD155" ca="1">INDIRECT(ADDRESS(2+$B111,66+COLUMNS($A7:C7)))+INDIRECT(ADDRESS(2+$C111,66+COLUMNS($A7:C7)))</f>
        <v>0</v>
      </c>
      <c r="AE155" s="90" cm="1">
        <f t="array" aca="1" ref="AE155" ca="1">INDIRECT(ADDRESS(2+$B111,66+COLUMNS($A7:D7)))+INDIRECT(ADDRESS(2+$C111,66+COLUMNS($A7:D7)))</f>
        <v>0</v>
      </c>
      <c r="AF155" s="90" cm="1">
        <f t="array" aca="1" ref="AF155" ca="1">INDIRECT(ADDRESS(2+$B111,66+COLUMNS($A7:E7)))+INDIRECT(ADDRESS(2+$C111,66+COLUMNS($A7:E7)))</f>
        <v>1</v>
      </c>
      <c r="AG155" t="s">
        <v>21</v>
      </c>
      <c r="AH155">
        <v>1</v>
      </c>
      <c r="AI155">
        <v>1</v>
      </c>
      <c r="AJ155">
        <v>1</v>
      </c>
      <c r="AK155">
        <v>1</v>
      </c>
      <c r="AL155" s="79">
        <v>1</v>
      </c>
    </row>
    <row r="156" spans="1:38" ht="15.6" x14ac:dyDescent="0.3">
      <c r="A156" s="77"/>
      <c r="C156" s="90">
        <f t="shared" si="16"/>
        <v>1</v>
      </c>
      <c r="D156" s="1" t="s">
        <v>21</v>
      </c>
      <c r="E156">
        <v>1</v>
      </c>
      <c r="H156" cm="1">
        <f t="array" ref="H156">SUM(W10:AA10*BV10:BZ10-Q10*BO10:BS10)</f>
        <v>0</v>
      </c>
      <c r="I156" t="s">
        <v>24</v>
      </c>
      <c r="J156">
        <v>0</v>
      </c>
      <c r="M156" cm="1">
        <f t="array" ref="M156">SUM(W10:AA10*BV10:BZ10-T10*BO10:BS10)</f>
        <v>-11</v>
      </c>
      <c r="N156" t="s">
        <v>21</v>
      </c>
      <c r="O156">
        <v>0</v>
      </c>
      <c r="W156" s="1">
        <f ca="1">SUM(INDIRECT(ADDRESS(2+B126,67)):INDIRECT(ADDRESS(2+B126,71)))-SUM(INDIRECT(ADDRESS(2+C126,67)):INDIRECT(ADDRESS(2+C126,71)))</f>
        <v>0</v>
      </c>
      <c r="X156" t="s">
        <v>25</v>
      </c>
      <c r="Y156">
        <v>0</v>
      </c>
      <c r="AB156" s="90" cm="1">
        <f t="array" aca="1" ref="AB156" ca="1">INDIRECT(ADDRESS(2+$B112,66+COLUMNS($A8:A8)))+INDIRECT(ADDRESS(2+$C112,66+COLUMNS($A8:A8)))</f>
        <v>1</v>
      </c>
      <c r="AC156" s="90" cm="1">
        <f t="array" aca="1" ref="AC156" ca="1">INDIRECT(ADDRESS(2+$B112,66+COLUMNS($A8:B8)))+INDIRECT(ADDRESS(2+$C112,66+COLUMNS($A8:B8)))</f>
        <v>0</v>
      </c>
      <c r="AD156" s="90" cm="1">
        <f t="array" aca="1" ref="AD156" ca="1">INDIRECT(ADDRESS(2+$B112,66+COLUMNS($A8:C8)))+INDIRECT(ADDRESS(2+$C112,66+COLUMNS($A8:C8)))</f>
        <v>0</v>
      </c>
      <c r="AE156" s="90" cm="1">
        <f t="array" aca="1" ref="AE156" ca="1">INDIRECT(ADDRESS(2+$B112,66+COLUMNS($A8:D8)))+INDIRECT(ADDRESS(2+$C112,66+COLUMNS($A8:D8)))</f>
        <v>0</v>
      </c>
      <c r="AF156" s="90" cm="1">
        <f t="array" aca="1" ref="AF156" ca="1">INDIRECT(ADDRESS(2+$B112,66+COLUMNS($A8:E8)))+INDIRECT(ADDRESS(2+$C112,66+COLUMNS($A8:E8)))</f>
        <v>1</v>
      </c>
      <c r="AG156" t="s">
        <v>21</v>
      </c>
      <c r="AH156">
        <v>1</v>
      </c>
      <c r="AI156">
        <v>1</v>
      </c>
      <c r="AJ156">
        <v>1</v>
      </c>
      <c r="AK156">
        <v>1</v>
      </c>
      <c r="AL156" s="79">
        <v>1</v>
      </c>
    </row>
    <row r="157" spans="1:38" ht="15.6" x14ac:dyDescent="0.3">
      <c r="A157" s="77"/>
      <c r="C157" s="90">
        <f t="shared" si="16"/>
        <v>1</v>
      </c>
      <c r="D157" s="1" t="s">
        <v>21</v>
      </c>
      <c r="E157">
        <v>1</v>
      </c>
      <c r="H157" cm="1">
        <f t="array" ref="H157">SUM(W11:AA11*BV11:BZ11-Q11*BO11:BS11)</f>
        <v>1</v>
      </c>
      <c r="I157" t="s">
        <v>24</v>
      </c>
      <c r="J157">
        <v>0</v>
      </c>
      <c r="M157" cm="1">
        <f t="array" ref="M157">SUM(W11:AA11*BV11:BZ11-T11*BO11:BS11)</f>
        <v>-13</v>
      </c>
      <c r="N157" t="s">
        <v>21</v>
      </c>
      <c r="O157">
        <v>0</v>
      </c>
      <c r="W157" s="1">
        <f ca="1">SUM(INDIRECT(ADDRESS(2+B127,67)):INDIRECT(ADDRESS(2+B127,71)))-SUM(INDIRECT(ADDRESS(2+C127,67)):INDIRECT(ADDRESS(2+C127,71)))</f>
        <v>0</v>
      </c>
      <c r="X157" t="s">
        <v>25</v>
      </c>
      <c r="Y157">
        <v>0</v>
      </c>
      <c r="AB157" s="90" cm="1">
        <f t="array" aca="1" ref="AB157" ca="1">INDIRECT(ADDRESS(2+$B113,66+COLUMNS($A9:A9)))+INDIRECT(ADDRESS(2+$C113,66+COLUMNS($A9:A9)))</f>
        <v>0</v>
      </c>
      <c r="AC157" s="90" cm="1">
        <f t="array" aca="1" ref="AC157" ca="1">INDIRECT(ADDRESS(2+$B113,66+COLUMNS($A9:B9)))+INDIRECT(ADDRESS(2+$C113,66+COLUMNS($A9:B9)))</f>
        <v>0</v>
      </c>
      <c r="AD157" s="90" cm="1">
        <f t="array" aca="1" ref="AD157" ca="1">INDIRECT(ADDRESS(2+$B113,66+COLUMNS($A9:C9)))+INDIRECT(ADDRESS(2+$C113,66+COLUMNS($A9:C9)))</f>
        <v>0</v>
      </c>
      <c r="AE157" s="90" cm="1">
        <f t="array" aca="1" ref="AE157" ca="1">INDIRECT(ADDRESS(2+$B113,66+COLUMNS($A9:D9)))+INDIRECT(ADDRESS(2+$C113,66+COLUMNS($A9:D9)))</f>
        <v>0</v>
      </c>
      <c r="AF157" s="90" cm="1">
        <f t="array" aca="1" ref="AF157" ca="1">INDIRECT(ADDRESS(2+$B113,66+COLUMNS($A9:E9)))+INDIRECT(ADDRESS(2+$C113,66+COLUMNS($A9:E9)))</f>
        <v>0</v>
      </c>
      <c r="AG157" t="s">
        <v>21</v>
      </c>
      <c r="AH157">
        <v>1</v>
      </c>
      <c r="AI157">
        <v>1</v>
      </c>
      <c r="AJ157">
        <v>1</v>
      </c>
      <c r="AK157">
        <v>1</v>
      </c>
      <c r="AL157" s="79">
        <v>1</v>
      </c>
    </row>
    <row r="158" spans="1:38" ht="15.6" x14ac:dyDescent="0.3">
      <c r="A158" s="77"/>
      <c r="C158" s="90">
        <f t="shared" si="16"/>
        <v>0</v>
      </c>
      <c r="D158" s="1" t="s">
        <v>21</v>
      </c>
      <c r="E158">
        <v>1</v>
      </c>
      <c r="H158" cm="1">
        <f t="array" ref="H158">SUM(W12:AA12*BV12:BZ12-Q12*BO12:BS12)</f>
        <v>0</v>
      </c>
      <c r="I158" t="s">
        <v>24</v>
      </c>
      <c r="J158">
        <v>0</v>
      </c>
      <c r="M158" cm="1">
        <f t="array" ref="M158">SUM(W12:AA12*BV12:BZ12-T12*BO12:BS12)</f>
        <v>0</v>
      </c>
      <c r="N158" t="s">
        <v>21</v>
      </c>
      <c r="O158">
        <v>0</v>
      </c>
      <c r="W158" s="1">
        <f ca="1">SUM(INDIRECT(ADDRESS(2+B128,67)):INDIRECT(ADDRESS(2+B128,71)))-SUM(INDIRECT(ADDRESS(2+C128,67)):INDIRECT(ADDRESS(2+C128,71)))</f>
        <v>0</v>
      </c>
      <c r="X158" t="s">
        <v>25</v>
      </c>
      <c r="Y158">
        <v>0</v>
      </c>
      <c r="AB158" s="90" cm="1">
        <f t="array" aca="1" ref="AB158" ca="1">INDIRECT(ADDRESS(2+$B114,66+COLUMNS($A10:A10)))+INDIRECT(ADDRESS(2+$C114,66+COLUMNS($A10:A10)))</f>
        <v>1</v>
      </c>
      <c r="AC158" s="90" cm="1">
        <f t="array" aca="1" ref="AC158" ca="1">INDIRECT(ADDRESS(2+$B114,66+COLUMNS($A10:B10)))+INDIRECT(ADDRESS(2+$C114,66+COLUMNS($A10:B10)))</f>
        <v>0</v>
      </c>
      <c r="AD158" s="90" cm="1">
        <f t="array" aca="1" ref="AD158" ca="1">INDIRECT(ADDRESS(2+$B114,66+COLUMNS($A10:C10)))+INDIRECT(ADDRESS(2+$C114,66+COLUMNS($A10:C10)))</f>
        <v>0</v>
      </c>
      <c r="AE158" s="90" cm="1">
        <f t="array" aca="1" ref="AE158" ca="1">INDIRECT(ADDRESS(2+$B114,66+COLUMNS($A10:D10)))+INDIRECT(ADDRESS(2+$C114,66+COLUMNS($A10:D10)))</f>
        <v>0</v>
      </c>
      <c r="AF158" s="90" cm="1">
        <f t="array" aca="1" ref="AF158" ca="1">INDIRECT(ADDRESS(2+$B114,66+COLUMNS($A10:E10)))+INDIRECT(ADDRESS(2+$C114,66+COLUMNS($A10:E10)))</f>
        <v>1</v>
      </c>
      <c r="AG158" t="s">
        <v>21</v>
      </c>
      <c r="AH158">
        <v>1</v>
      </c>
      <c r="AI158">
        <v>1</v>
      </c>
      <c r="AJ158">
        <v>1</v>
      </c>
      <c r="AK158">
        <v>1</v>
      </c>
      <c r="AL158" s="79">
        <v>1</v>
      </c>
    </row>
    <row r="159" spans="1:38" ht="15.6" x14ac:dyDescent="0.3">
      <c r="A159" s="77"/>
      <c r="C159" s="90">
        <f t="shared" si="16"/>
        <v>0</v>
      </c>
      <c r="D159" s="1" t="s">
        <v>21</v>
      </c>
      <c r="E159">
        <v>1</v>
      </c>
      <c r="H159" cm="1">
        <f t="array" ref="H159">SUM(W13:AA13*BV13:BZ13-Q13*BO13:BS13)</f>
        <v>0</v>
      </c>
      <c r="I159" t="s">
        <v>24</v>
      </c>
      <c r="J159">
        <v>0</v>
      </c>
      <c r="M159" cm="1">
        <f t="array" ref="M159">SUM(W13:AA13*BV13:BZ13-T13*BO13:BS13)</f>
        <v>0</v>
      </c>
      <c r="N159" t="s">
        <v>21</v>
      </c>
      <c r="O159">
        <v>0</v>
      </c>
      <c r="W159" s="1">
        <f ca="1">SUM(INDIRECT(ADDRESS(2+B129,67)):INDIRECT(ADDRESS(2+B129,71)))-SUM(INDIRECT(ADDRESS(2+C129,67)):INDIRECT(ADDRESS(2+C129,71)))</f>
        <v>0</v>
      </c>
      <c r="X159" t="s">
        <v>25</v>
      </c>
      <c r="Y159">
        <v>0</v>
      </c>
      <c r="AB159" s="90" cm="1">
        <f t="array" aca="1" ref="AB159" ca="1">INDIRECT(ADDRESS(2+$B115,66+COLUMNS($A11:A11)))+INDIRECT(ADDRESS(2+$C115,66+COLUMNS($A11:A11)))</f>
        <v>0</v>
      </c>
      <c r="AC159" s="90" cm="1">
        <f t="array" aca="1" ref="AC159" ca="1">INDIRECT(ADDRESS(2+$B115,66+COLUMNS($A11:B11)))+INDIRECT(ADDRESS(2+$C115,66+COLUMNS($A11:B11)))</f>
        <v>0</v>
      </c>
      <c r="AD159" s="90" cm="1">
        <f t="array" aca="1" ref="AD159" ca="1">INDIRECT(ADDRESS(2+$B115,66+COLUMNS($A11:C11)))+INDIRECT(ADDRESS(2+$C115,66+COLUMNS($A11:C11)))</f>
        <v>0</v>
      </c>
      <c r="AE159" s="90" cm="1">
        <f t="array" aca="1" ref="AE159" ca="1">INDIRECT(ADDRESS(2+$B115,66+COLUMNS($A11:D11)))+INDIRECT(ADDRESS(2+$C115,66+COLUMNS($A11:D11)))</f>
        <v>0</v>
      </c>
      <c r="AF159" s="90" cm="1">
        <f t="array" aca="1" ref="AF159" ca="1">INDIRECT(ADDRESS(2+$B115,66+COLUMNS($A11:E11)))+INDIRECT(ADDRESS(2+$C115,66+COLUMNS($A11:E11)))</f>
        <v>0</v>
      </c>
      <c r="AG159" t="s">
        <v>21</v>
      </c>
      <c r="AH159">
        <v>1</v>
      </c>
      <c r="AI159">
        <v>1</v>
      </c>
      <c r="AJ159">
        <v>1</v>
      </c>
      <c r="AK159">
        <v>1</v>
      </c>
      <c r="AL159" s="79">
        <v>1</v>
      </c>
    </row>
    <row r="160" spans="1:38" ht="15.6" x14ac:dyDescent="0.3">
      <c r="A160" s="77"/>
      <c r="C160" s="90">
        <f t="shared" si="16"/>
        <v>1</v>
      </c>
      <c r="D160" s="1" t="s">
        <v>21</v>
      </c>
      <c r="E160">
        <v>1</v>
      </c>
      <c r="H160" cm="1">
        <f t="array" ref="H160">SUM(W14:AA14*BV14:BZ14-Q14*BO14:BS14)</f>
        <v>7</v>
      </c>
      <c r="I160" t="s">
        <v>24</v>
      </c>
      <c r="J160">
        <v>0</v>
      </c>
      <c r="M160" cm="1">
        <f t="array" ref="M160">SUM(W14:AA14*BV14:BZ14-T14*BO14:BS14)</f>
        <v>-10</v>
      </c>
      <c r="N160" t="s">
        <v>21</v>
      </c>
      <c r="O160">
        <v>0</v>
      </c>
      <c r="W160" s="1">
        <f ca="1">SUM(INDIRECT(ADDRESS(2+B130,67)):INDIRECT(ADDRESS(2+B130,71)))-SUM(INDIRECT(ADDRESS(2+C130,67)):INDIRECT(ADDRESS(2+C130,71)))</f>
        <v>0</v>
      </c>
      <c r="X160" t="s">
        <v>25</v>
      </c>
      <c r="Y160">
        <v>0</v>
      </c>
      <c r="AB160" s="90" cm="1">
        <f t="array" aca="1" ref="AB160" ca="1">INDIRECT(ADDRESS(2+$B116,66+COLUMNS($A12:A12)))+INDIRECT(ADDRESS(2+$C116,66+COLUMNS($A12:A12)))</f>
        <v>1</v>
      </c>
      <c r="AC160" s="90" cm="1">
        <f t="array" aca="1" ref="AC160" ca="1">INDIRECT(ADDRESS(2+$B116,66+COLUMNS($A12:B12)))+INDIRECT(ADDRESS(2+$C116,66+COLUMNS($A12:B12)))</f>
        <v>0</v>
      </c>
      <c r="AD160" s="90" cm="1">
        <f t="array" aca="1" ref="AD160" ca="1">INDIRECT(ADDRESS(2+$B116,66+COLUMNS($A12:C12)))+INDIRECT(ADDRESS(2+$C116,66+COLUMNS($A12:C12)))</f>
        <v>0</v>
      </c>
      <c r="AE160" s="90" cm="1">
        <f t="array" aca="1" ref="AE160" ca="1">INDIRECT(ADDRESS(2+$B116,66+COLUMNS($A12:D12)))+INDIRECT(ADDRESS(2+$C116,66+COLUMNS($A12:D12)))</f>
        <v>0</v>
      </c>
      <c r="AF160" s="90" cm="1">
        <f t="array" aca="1" ref="AF160" ca="1">INDIRECT(ADDRESS(2+$B116,66+COLUMNS($A12:E12)))+INDIRECT(ADDRESS(2+$C116,66+COLUMNS($A12:E12)))</f>
        <v>1</v>
      </c>
      <c r="AG160" t="s">
        <v>21</v>
      </c>
      <c r="AH160">
        <v>1</v>
      </c>
      <c r="AI160">
        <v>1</v>
      </c>
      <c r="AJ160">
        <v>1</v>
      </c>
      <c r="AK160">
        <v>1</v>
      </c>
      <c r="AL160" s="79">
        <v>1</v>
      </c>
    </row>
    <row r="161" spans="1:38" ht="15.6" x14ac:dyDescent="0.3">
      <c r="A161" s="77"/>
      <c r="C161" s="90">
        <f t="shared" si="16"/>
        <v>0</v>
      </c>
      <c r="D161" s="1" t="s">
        <v>21</v>
      </c>
      <c r="E161">
        <v>1</v>
      </c>
      <c r="H161" cm="1">
        <f t="array" ref="H161">SUM(W15:AA15*BV15:BZ15-Q15*BO15:BS15)</f>
        <v>0</v>
      </c>
      <c r="I161" t="s">
        <v>24</v>
      </c>
      <c r="J161">
        <v>0</v>
      </c>
      <c r="M161" cm="1">
        <f t="array" ref="M161">SUM(W15:AA15*BV15:BZ15-T15*BO15:BS15)</f>
        <v>0</v>
      </c>
      <c r="N161" t="s">
        <v>21</v>
      </c>
      <c r="O161">
        <v>0</v>
      </c>
      <c r="W161" s="1">
        <f ca="1">SUM(INDIRECT(ADDRESS(2+B131,67)):INDIRECT(ADDRESS(2+B131,71)))-SUM(INDIRECT(ADDRESS(2+C131,67)):INDIRECT(ADDRESS(2+C131,71)))</f>
        <v>0</v>
      </c>
      <c r="X161" t="s">
        <v>25</v>
      </c>
      <c r="Y161">
        <v>0</v>
      </c>
      <c r="AL161" s="79"/>
    </row>
    <row r="162" spans="1:38" ht="15.6" x14ac:dyDescent="0.3">
      <c r="A162" s="77"/>
      <c r="C162" s="90">
        <f t="shared" si="16"/>
        <v>1</v>
      </c>
      <c r="D162" s="1" t="s">
        <v>21</v>
      </c>
      <c r="E162">
        <v>1</v>
      </c>
      <c r="H162" cm="1">
        <f t="array" ref="H162">SUM(W16:AA16*BV16:BZ16-Q16*BO16:BS16)</f>
        <v>12</v>
      </c>
      <c r="I162" t="s">
        <v>24</v>
      </c>
      <c r="J162">
        <v>0</v>
      </c>
      <c r="M162" cm="1">
        <f t="array" ref="M162">SUM(W16:AA16*BV16:BZ16-T16*BO16:BS16)</f>
        <v>0</v>
      </c>
      <c r="N162" t="s">
        <v>21</v>
      </c>
      <c r="O162">
        <v>0</v>
      </c>
      <c r="AL162" s="79"/>
    </row>
    <row r="163" spans="1:38" ht="15.6" x14ac:dyDescent="0.3">
      <c r="A163" s="77"/>
      <c r="C163" s="90">
        <f t="shared" si="16"/>
        <v>1</v>
      </c>
      <c r="D163" s="1" t="s">
        <v>21</v>
      </c>
      <c r="E163">
        <v>1</v>
      </c>
      <c r="H163" cm="1">
        <f t="array" ref="H163">SUM(W17:AA17*BV17:BZ17-Q17*BO17:BS17)</f>
        <v>18</v>
      </c>
      <c r="I163" t="s">
        <v>24</v>
      </c>
      <c r="J163">
        <v>0</v>
      </c>
      <c r="M163" cm="1">
        <f t="array" ref="M163">SUM(W17:AA17*BV17:BZ17-T17*BO17:BS17)</f>
        <v>0</v>
      </c>
      <c r="N163" t="s">
        <v>21</v>
      </c>
      <c r="O163">
        <v>0</v>
      </c>
      <c r="AL163" s="79"/>
    </row>
    <row r="164" spans="1:38" ht="15.6" x14ac:dyDescent="0.3">
      <c r="A164" s="77"/>
      <c r="C164" s="90">
        <f t="shared" si="16"/>
        <v>0</v>
      </c>
      <c r="D164" s="1" t="s">
        <v>21</v>
      </c>
      <c r="E164">
        <v>1</v>
      </c>
      <c r="H164" cm="1">
        <f t="array" ref="H164">SUM(W18:AA18*BV18:BZ18-Q18*BO18:BS18)</f>
        <v>0</v>
      </c>
      <c r="I164" t="s">
        <v>24</v>
      </c>
      <c r="J164">
        <v>0</v>
      </c>
      <c r="M164" cm="1">
        <f t="array" ref="M164">SUM(W18:AA18*BV18:BZ18-T18*BO18:BS18)</f>
        <v>0</v>
      </c>
      <c r="N164" t="s">
        <v>21</v>
      </c>
      <c r="O164">
        <v>0</v>
      </c>
      <c r="AL164" s="79"/>
    </row>
    <row r="165" spans="1:38" ht="15.6" x14ac:dyDescent="0.3">
      <c r="A165" s="77"/>
      <c r="C165" s="90">
        <f t="shared" si="16"/>
        <v>0</v>
      </c>
      <c r="D165" s="1" t="s">
        <v>21</v>
      </c>
      <c r="E165">
        <v>1</v>
      </c>
      <c r="H165" cm="1">
        <f t="array" ref="H165">SUM(W19:AA19*BV19:BZ19-Q19*BO19:BS19)</f>
        <v>0</v>
      </c>
      <c r="I165" t="s">
        <v>24</v>
      </c>
      <c r="J165">
        <v>0</v>
      </c>
      <c r="M165" cm="1">
        <f t="array" ref="M165">SUM(W19:AA19*BV19:BZ19-T19*BO19:BS19)</f>
        <v>0</v>
      </c>
      <c r="N165" t="s">
        <v>21</v>
      </c>
      <c r="O165">
        <v>0</v>
      </c>
      <c r="AL165" s="79"/>
    </row>
    <row r="166" spans="1:38" ht="15.6" x14ac:dyDescent="0.3">
      <c r="A166" s="77"/>
      <c r="C166" s="90">
        <f t="shared" si="16"/>
        <v>0</v>
      </c>
      <c r="D166" s="1" t="s">
        <v>21</v>
      </c>
      <c r="E166">
        <v>1</v>
      </c>
      <c r="H166" cm="1">
        <f t="array" ref="H166">SUM(W20:AA20*BV20:BZ20-Q20*BO20:BS20)</f>
        <v>0</v>
      </c>
      <c r="I166" t="s">
        <v>24</v>
      </c>
      <c r="J166">
        <v>0</v>
      </c>
      <c r="M166" cm="1">
        <f t="array" ref="M166">SUM(W20:AA20*BV20:BZ20-T20*BO20:BS20)</f>
        <v>0</v>
      </c>
      <c r="N166" t="s">
        <v>21</v>
      </c>
      <c r="O166">
        <v>0</v>
      </c>
      <c r="AL166" s="79"/>
    </row>
    <row r="167" spans="1:38" ht="15.6" x14ac:dyDescent="0.3">
      <c r="A167" s="77"/>
      <c r="C167" s="90">
        <f t="shared" si="16"/>
        <v>0</v>
      </c>
      <c r="D167" s="1" t="s">
        <v>21</v>
      </c>
      <c r="E167">
        <v>1</v>
      </c>
      <c r="H167" cm="1">
        <f t="array" ref="H167">SUM(W21:AA21*BV21:BZ21-Q21*BO21:BS21)</f>
        <v>0</v>
      </c>
      <c r="I167" t="s">
        <v>24</v>
      </c>
      <c r="J167">
        <v>0</v>
      </c>
      <c r="M167" cm="1">
        <f t="array" ref="M167">SUM(W21:AA21*BV21:BZ21-T21*BO21:BS21)</f>
        <v>0</v>
      </c>
      <c r="N167" t="s">
        <v>21</v>
      </c>
      <c r="O167">
        <v>0</v>
      </c>
      <c r="AL167" s="79"/>
    </row>
    <row r="168" spans="1:38" ht="15.6" x14ac:dyDescent="0.3">
      <c r="A168" s="77"/>
      <c r="C168" s="90">
        <f t="shared" si="16"/>
        <v>0</v>
      </c>
      <c r="D168" s="1" t="s">
        <v>21</v>
      </c>
      <c r="E168">
        <v>1</v>
      </c>
      <c r="H168" cm="1">
        <f t="array" ref="H168">SUM(W22:AA22*BV22:BZ22-Q22*BO22:BS22)</f>
        <v>0</v>
      </c>
      <c r="I168" t="s">
        <v>24</v>
      </c>
      <c r="J168">
        <v>0</v>
      </c>
      <c r="M168" cm="1">
        <f t="array" ref="M168">SUM(W22:AA22*BV22:BZ22-T22*BO22:BS22)</f>
        <v>0</v>
      </c>
      <c r="N168" t="s">
        <v>21</v>
      </c>
      <c r="O168">
        <v>0</v>
      </c>
      <c r="AL168" s="79"/>
    </row>
    <row r="169" spans="1:38" ht="15.6" x14ac:dyDescent="0.3">
      <c r="A169" s="77"/>
      <c r="C169" s="90">
        <f t="shared" si="16"/>
        <v>1</v>
      </c>
      <c r="D169" s="1" t="s">
        <v>21</v>
      </c>
      <c r="E169">
        <v>1</v>
      </c>
      <c r="H169" cm="1">
        <f t="array" ref="H169">SUM(W23:AA23*BV23:BZ23-Q23*BO23:BS23)</f>
        <v>11</v>
      </c>
      <c r="I169" t="s">
        <v>24</v>
      </c>
      <c r="J169">
        <v>0</v>
      </c>
      <c r="M169" cm="1">
        <f t="array" ref="M169">SUM(W23:AA23*BV23:BZ23-T23*BO23:BS23)</f>
        <v>-9</v>
      </c>
      <c r="N169" t="s">
        <v>21</v>
      </c>
      <c r="O169">
        <v>0</v>
      </c>
      <c r="AL169" s="79"/>
    </row>
    <row r="170" spans="1:38" ht="15.6" x14ac:dyDescent="0.3">
      <c r="A170" s="77"/>
      <c r="C170" s="90">
        <f t="shared" si="16"/>
        <v>0</v>
      </c>
      <c r="D170" s="1" t="s">
        <v>21</v>
      </c>
      <c r="E170">
        <v>1</v>
      </c>
      <c r="H170" cm="1">
        <f t="array" ref="H170">SUM(W24:AA24*BV24:BZ24-Q24*BO24:BS24)</f>
        <v>0</v>
      </c>
      <c r="I170" t="s">
        <v>24</v>
      </c>
      <c r="J170">
        <v>0</v>
      </c>
      <c r="M170" cm="1">
        <f t="array" ref="M170">SUM(W24:AA24*BV24:BZ24-T24*BO24:BS24)</f>
        <v>0</v>
      </c>
      <c r="N170" t="s">
        <v>21</v>
      </c>
      <c r="O170">
        <v>0</v>
      </c>
      <c r="AL170" s="79"/>
    </row>
    <row r="171" spans="1:38" ht="15.6" x14ac:dyDescent="0.3">
      <c r="A171" s="77"/>
      <c r="C171" s="90">
        <f t="shared" si="16"/>
        <v>0</v>
      </c>
      <c r="D171" s="1" t="s">
        <v>21</v>
      </c>
      <c r="E171">
        <v>1</v>
      </c>
      <c r="H171" cm="1">
        <f t="array" ref="H171">SUM(W25:AA25*BV25:BZ25-Q25*BO25:BS25)</f>
        <v>0</v>
      </c>
      <c r="I171" t="s">
        <v>24</v>
      </c>
      <c r="J171">
        <v>0</v>
      </c>
      <c r="M171" cm="1">
        <f t="array" ref="M171">SUM(W25:AA25*BV25:BZ25-T25*BO25:BS25)</f>
        <v>0</v>
      </c>
      <c r="N171" t="s">
        <v>21</v>
      </c>
      <c r="O171">
        <v>0</v>
      </c>
      <c r="AL171" s="79"/>
    </row>
    <row r="172" spans="1:38" ht="15.6" x14ac:dyDescent="0.3">
      <c r="A172" s="77"/>
      <c r="C172" s="90">
        <f t="shared" si="16"/>
        <v>0</v>
      </c>
      <c r="D172" s="1" t="s">
        <v>21</v>
      </c>
      <c r="E172">
        <v>1</v>
      </c>
      <c r="H172" cm="1">
        <f t="array" ref="H172">SUM(W26:AA26*BV26:BZ26-Q26*BO26:BS26)</f>
        <v>0</v>
      </c>
      <c r="I172" t="s">
        <v>24</v>
      </c>
      <c r="J172">
        <v>0</v>
      </c>
      <c r="M172" cm="1">
        <f t="array" ref="M172">SUM(W26:AA26*BV26:BZ26-T26*BO26:BS26)</f>
        <v>0</v>
      </c>
      <c r="N172" t="s">
        <v>21</v>
      </c>
      <c r="O172">
        <v>0</v>
      </c>
      <c r="AL172" s="79"/>
    </row>
    <row r="173" spans="1:38" ht="15.6" x14ac:dyDescent="0.3">
      <c r="A173" s="77"/>
      <c r="C173" s="90">
        <f t="shared" si="16"/>
        <v>1</v>
      </c>
      <c r="D173" s="1" t="s">
        <v>21</v>
      </c>
      <c r="E173">
        <v>1</v>
      </c>
      <c r="H173" cm="1">
        <f t="array" ref="H173">SUM(W27:AA27*BV27:BZ27-Q27*BO27:BS27)</f>
        <v>13</v>
      </c>
      <c r="I173" t="s">
        <v>24</v>
      </c>
      <c r="J173">
        <v>0</v>
      </c>
      <c r="M173" cm="1">
        <f t="array" ref="M173">SUM(W27:AA27*BV27:BZ27-T27*BO27:BS27)</f>
        <v>-9</v>
      </c>
      <c r="N173" t="s">
        <v>21</v>
      </c>
      <c r="O173">
        <v>0</v>
      </c>
      <c r="AL173" s="79"/>
    </row>
    <row r="174" spans="1:38" ht="15.6" x14ac:dyDescent="0.3">
      <c r="A174" s="77"/>
      <c r="C174" s="90">
        <f t="shared" si="16"/>
        <v>1</v>
      </c>
      <c r="D174" s="1" t="s">
        <v>21</v>
      </c>
      <c r="E174">
        <v>1</v>
      </c>
      <c r="H174" cm="1">
        <f t="array" ref="H174">SUM(W28:AA28*BV28:BZ28-Q28*BO28:BS28)</f>
        <v>8</v>
      </c>
      <c r="I174" t="s">
        <v>24</v>
      </c>
      <c r="J174">
        <v>0</v>
      </c>
      <c r="M174" cm="1">
        <f t="array" ref="M174">SUM(W28:AA28*BV28:BZ28-T28*BO28:BS28)</f>
        <v>-11</v>
      </c>
      <c r="N174" t="s">
        <v>21</v>
      </c>
      <c r="O174">
        <v>0</v>
      </c>
      <c r="AL174" s="79"/>
    </row>
    <row r="175" spans="1:38" ht="15.6" x14ac:dyDescent="0.3">
      <c r="A175" s="77"/>
      <c r="C175" s="90">
        <f t="shared" si="16"/>
        <v>0</v>
      </c>
      <c r="D175" s="1" t="s">
        <v>21</v>
      </c>
      <c r="E175">
        <v>1</v>
      </c>
      <c r="H175" cm="1">
        <f t="array" ref="H175">SUM(W29:AA29*BV29:BZ29-Q29*BO29:BS29)</f>
        <v>0</v>
      </c>
      <c r="I175" t="s">
        <v>24</v>
      </c>
      <c r="J175">
        <v>0</v>
      </c>
      <c r="M175" cm="1">
        <f t="array" ref="M175">SUM(W29:AA29*BV29:BZ29-T29*BO29:BS29)</f>
        <v>0</v>
      </c>
      <c r="N175" t="s">
        <v>21</v>
      </c>
      <c r="O175">
        <v>0</v>
      </c>
      <c r="AL175" s="79"/>
    </row>
    <row r="176" spans="1:38" ht="15.6" x14ac:dyDescent="0.3">
      <c r="A176" s="77"/>
      <c r="C176" s="90">
        <f t="shared" si="16"/>
        <v>1</v>
      </c>
      <c r="D176" s="1" t="s">
        <v>21</v>
      </c>
      <c r="E176">
        <v>1</v>
      </c>
      <c r="H176" cm="1">
        <f t="array" ref="H176">SUM(W30:AA30*BV30:BZ30-Q30*BO30:BS30)</f>
        <v>3</v>
      </c>
      <c r="I176" t="s">
        <v>24</v>
      </c>
      <c r="J176">
        <v>0</v>
      </c>
      <c r="M176" cm="1">
        <f t="array" ref="M176">SUM(W30:AA30*BV30:BZ30-T30*BO30:BS30)</f>
        <v>-11</v>
      </c>
      <c r="N176" t="s">
        <v>21</v>
      </c>
      <c r="O176">
        <v>0</v>
      </c>
      <c r="AL176" s="79"/>
    </row>
    <row r="177" spans="1:38" ht="15.6" x14ac:dyDescent="0.3">
      <c r="A177" s="77"/>
      <c r="C177" s="90">
        <f t="shared" si="16"/>
        <v>1</v>
      </c>
      <c r="D177" s="1" t="s">
        <v>21</v>
      </c>
      <c r="E177">
        <v>1</v>
      </c>
      <c r="H177" cm="1">
        <f t="array" ref="H177">SUM(W31:AA31*BV31:BZ31-Q31*BO31:BS31)</f>
        <v>4</v>
      </c>
      <c r="I177" t="s">
        <v>24</v>
      </c>
      <c r="J177">
        <v>0</v>
      </c>
      <c r="M177" cm="1">
        <f t="array" ref="M177">SUM(W31:AA31*BV31:BZ31-T31*BO31:BS31)</f>
        <v>-20</v>
      </c>
      <c r="N177" t="s">
        <v>21</v>
      </c>
      <c r="O177">
        <v>0</v>
      </c>
      <c r="AL177" s="79"/>
    </row>
    <row r="178" spans="1:38" ht="15.6" x14ac:dyDescent="0.3">
      <c r="A178" s="77"/>
      <c r="C178" s="90">
        <f t="shared" si="16"/>
        <v>1</v>
      </c>
      <c r="D178" s="1" t="s">
        <v>21</v>
      </c>
      <c r="E178">
        <v>1</v>
      </c>
      <c r="H178" cm="1">
        <f t="array" ref="H178">SUM(W32:AA32*BV32:BZ32-Q32*BO32:BS32)</f>
        <v>3</v>
      </c>
      <c r="I178" t="s">
        <v>24</v>
      </c>
      <c r="J178">
        <v>0</v>
      </c>
      <c r="M178" cm="1">
        <f t="array" ref="M178">SUM(W32:AA32*BV32:BZ32-T32*BO32:BS32)</f>
        <v>-13</v>
      </c>
      <c r="N178" t="s">
        <v>21</v>
      </c>
      <c r="O178">
        <v>0</v>
      </c>
      <c r="AL178" s="79"/>
    </row>
    <row r="179" spans="1:38" ht="15.6" x14ac:dyDescent="0.3">
      <c r="A179" s="77"/>
      <c r="C179" s="90">
        <f t="shared" si="16"/>
        <v>0</v>
      </c>
      <c r="D179" s="1" t="s">
        <v>21</v>
      </c>
      <c r="E179">
        <v>1</v>
      </c>
      <c r="H179" cm="1">
        <f t="array" ref="H179">SUM(W33:AA33*BV33:BZ33-Q33*BO33:BS33)</f>
        <v>0</v>
      </c>
      <c r="I179" t="s">
        <v>24</v>
      </c>
      <c r="J179">
        <v>0</v>
      </c>
      <c r="M179" cm="1">
        <f t="array" ref="M179">SUM(W33:AA33*BV33:BZ33-T33*BO33:BS33)</f>
        <v>0</v>
      </c>
      <c r="N179" t="s">
        <v>21</v>
      </c>
      <c r="O179">
        <v>0</v>
      </c>
      <c r="AL179" s="79"/>
    </row>
    <row r="180" spans="1:38" ht="15.6" x14ac:dyDescent="0.3">
      <c r="A180" s="77"/>
      <c r="C180" s="90">
        <f t="shared" si="16"/>
        <v>0</v>
      </c>
      <c r="D180" s="1" t="s">
        <v>21</v>
      </c>
      <c r="E180">
        <v>1</v>
      </c>
      <c r="H180" cm="1">
        <f t="array" ref="H180">SUM(W34:AA34*BV34:BZ34-Q34*BO34:BS34)</f>
        <v>0</v>
      </c>
      <c r="I180" t="s">
        <v>24</v>
      </c>
      <c r="J180">
        <v>0</v>
      </c>
      <c r="M180" cm="1">
        <f t="array" ref="M180">SUM(W34:AA34*BV34:BZ34-T34*BO34:BS34)</f>
        <v>0</v>
      </c>
      <c r="N180" t="s">
        <v>21</v>
      </c>
      <c r="O180">
        <v>0</v>
      </c>
      <c r="AL180" s="79"/>
    </row>
    <row r="181" spans="1:38" ht="15.6" x14ac:dyDescent="0.3">
      <c r="A181" s="77"/>
      <c r="C181" s="90">
        <f t="shared" si="16"/>
        <v>1</v>
      </c>
      <c r="D181" s="1" t="s">
        <v>21</v>
      </c>
      <c r="E181">
        <v>1</v>
      </c>
      <c r="H181" cm="1">
        <f t="array" ref="H181">SUM(W35:AA35*BV35:BZ35-Q35*BO35:BS35)</f>
        <v>5</v>
      </c>
      <c r="I181" t="s">
        <v>24</v>
      </c>
      <c r="J181">
        <v>0</v>
      </c>
      <c r="M181" cm="1">
        <f t="array" ref="M181">SUM(W35:AA35*BV35:BZ35-T35*BO35:BS35)</f>
        <v>-14</v>
      </c>
      <c r="N181" t="s">
        <v>21</v>
      </c>
      <c r="O181">
        <v>0</v>
      </c>
      <c r="AL181" s="79"/>
    </row>
    <row r="182" spans="1:38" ht="15.6" x14ac:dyDescent="0.3">
      <c r="A182" s="77"/>
      <c r="C182" s="90">
        <f t="shared" si="16"/>
        <v>0</v>
      </c>
      <c r="D182" s="1" t="s">
        <v>21</v>
      </c>
      <c r="E182">
        <v>1</v>
      </c>
      <c r="H182" cm="1">
        <f t="array" ref="H182">SUM(W36:AA36*BV36:BZ36-Q36*BO36:BS36)</f>
        <v>0</v>
      </c>
      <c r="I182" t="s">
        <v>24</v>
      </c>
      <c r="J182">
        <v>0</v>
      </c>
      <c r="M182" cm="1">
        <f t="array" ref="M182">SUM(W36:AA36*BV36:BZ36-T36*BO36:BS36)</f>
        <v>0</v>
      </c>
      <c r="N182" t="s">
        <v>21</v>
      </c>
      <c r="O182">
        <v>0</v>
      </c>
      <c r="AL182" s="79"/>
    </row>
    <row r="183" spans="1:38" ht="15.6" x14ac:dyDescent="0.3">
      <c r="A183" s="77"/>
      <c r="C183" s="90">
        <f t="shared" si="16"/>
        <v>1</v>
      </c>
      <c r="D183" s="1" t="s">
        <v>21</v>
      </c>
      <c r="E183">
        <v>1</v>
      </c>
      <c r="H183" cm="1">
        <f t="array" ref="H183">SUM(W37:AA37*BV37:BZ37-Q37*BO37:BS37)</f>
        <v>1</v>
      </c>
      <c r="I183" t="s">
        <v>24</v>
      </c>
      <c r="J183">
        <v>0</v>
      </c>
      <c r="M183" cm="1">
        <f t="array" ref="M183">SUM(W37:AA37*BV37:BZ37-T37*BO37:BS37)</f>
        <v>-19</v>
      </c>
      <c r="N183" t="s">
        <v>21</v>
      </c>
      <c r="O183">
        <v>0</v>
      </c>
      <c r="AL183" s="79"/>
    </row>
    <row r="184" spans="1:38" ht="15.6" x14ac:dyDescent="0.3">
      <c r="A184" s="77"/>
      <c r="C184" s="90">
        <f t="shared" si="16"/>
        <v>1</v>
      </c>
      <c r="D184" s="1" t="s">
        <v>21</v>
      </c>
      <c r="E184">
        <v>1</v>
      </c>
      <c r="H184" cm="1">
        <f t="array" ref="H184">SUM(W38:AA38*BV38:BZ38-Q38*BO38:BS38)</f>
        <v>2</v>
      </c>
      <c r="I184" t="s">
        <v>24</v>
      </c>
      <c r="J184">
        <v>0</v>
      </c>
      <c r="M184" cm="1">
        <f t="array" ref="M184">SUM(W38:AA38*BV38:BZ38-T38*BO38:BS38)</f>
        <v>-14</v>
      </c>
      <c r="N184" t="s">
        <v>21</v>
      </c>
      <c r="O184">
        <v>0</v>
      </c>
      <c r="AL184" s="79"/>
    </row>
    <row r="185" spans="1:38" ht="15.6" x14ac:dyDescent="0.3">
      <c r="A185" s="77"/>
      <c r="C185" s="90">
        <f t="shared" si="16"/>
        <v>0</v>
      </c>
      <c r="D185" s="1" t="s">
        <v>21</v>
      </c>
      <c r="E185">
        <v>1</v>
      </c>
      <c r="H185" cm="1">
        <f t="array" ref="H185">SUM(W39:AA39*BV39:BZ39-Q39*BO39:BS39)</f>
        <v>0</v>
      </c>
      <c r="I185" t="s">
        <v>24</v>
      </c>
      <c r="J185">
        <v>0</v>
      </c>
      <c r="M185" cm="1">
        <f t="array" ref="M185">SUM(W39:AA39*BV39:BZ39-T39*BO39:BS39)</f>
        <v>0</v>
      </c>
      <c r="N185" t="s">
        <v>21</v>
      </c>
      <c r="O185">
        <v>0</v>
      </c>
      <c r="AL185" s="79"/>
    </row>
    <row r="186" spans="1:38" ht="15.6" x14ac:dyDescent="0.3">
      <c r="A186" s="77"/>
      <c r="C186" s="90">
        <f t="shared" si="16"/>
        <v>0</v>
      </c>
      <c r="D186" s="1" t="s">
        <v>21</v>
      </c>
      <c r="E186">
        <v>1</v>
      </c>
      <c r="H186" cm="1">
        <f t="array" ref="H186">SUM(W40:AA40*BV40:BZ40-Q40*BO40:BS40)</f>
        <v>0</v>
      </c>
      <c r="I186" t="s">
        <v>24</v>
      </c>
      <c r="J186">
        <v>0</v>
      </c>
      <c r="M186" cm="1">
        <f t="array" ref="M186">SUM(W40:AA40*BV40:BZ40-T40*BO40:BS40)</f>
        <v>0</v>
      </c>
      <c r="N186" t="s">
        <v>21</v>
      </c>
      <c r="O186">
        <v>0</v>
      </c>
      <c r="AL186" s="79"/>
    </row>
    <row r="187" spans="1:38" ht="15.6" x14ac:dyDescent="0.3">
      <c r="A187" s="77"/>
      <c r="C187" s="90">
        <f t="shared" si="16"/>
        <v>1</v>
      </c>
      <c r="D187" s="1" t="s">
        <v>21</v>
      </c>
      <c r="E187">
        <v>1</v>
      </c>
      <c r="H187" cm="1">
        <f t="array" ref="H187">SUM(W41:AA41*BV41:BZ41-Q41*BO41:BS41)</f>
        <v>7</v>
      </c>
      <c r="I187" t="s">
        <v>24</v>
      </c>
      <c r="J187">
        <v>0</v>
      </c>
      <c r="M187" cm="1">
        <f t="array" ref="M187">SUM(W41:AA41*BV41:BZ41-T41*BO41:BS41)</f>
        <v>-4</v>
      </c>
      <c r="N187" t="s">
        <v>21</v>
      </c>
      <c r="O187">
        <v>0</v>
      </c>
      <c r="AL187" s="79"/>
    </row>
    <row r="188" spans="1:38" ht="15.6" x14ac:dyDescent="0.3">
      <c r="A188" s="77"/>
      <c r="C188" s="90">
        <f t="shared" si="16"/>
        <v>1</v>
      </c>
      <c r="D188" s="1" t="s">
        <v>21</v>
      </c>
      <c r="E188">
        <v>1</v>
      </c>
      <c r="H188" cm="1">
        <f t="array" ref="H188">SUM(W42:AA42*BV42:BZ42-Q42*BO42:BS42)</f>
        <v>13</v>
      </c>
      <c r="I188" t="s">
        <v>24</v>
      </c>
      <c r="J188">
        <v>0</v>
      </c>
      <c r="M188" cm="1">
        <f t="array" ref="M188">SUM(W42:AA42*BV42:BZ42-T42*BO42:BS42)</f>
        <v>-3</v>
      </c>
      <c r="N188" t="s">
        <v>21</v>
      </c>
      <c r="O188">
        <v>0</v>
      </c>
      <c r="AL188" s="79"/>
    </row>
    <row r="189" spans="1:38" ht="15.6" x14ac:dyDescent="0.3">
      <c r="A189" s="77"/>
      <c r="C189" s="90">
        <f t="shared" si="16"/>
        <v>1</v>
      </c>
      <c r="D189" s="1" t="s">
        <v>21</v>
      </c>
      <c r="E189">
        <v>1</v>
      </c>
      <c r="H189" cm="1">
        <f t="array" ref="H189">SUM(W43:AA43*BV43:BZ43-Q43*BO43:BS43)</f>
        <v>2</v>
      </c>
      <c r="I189" t="s">
        <v>24</v>
      </c>
      <c r="J189">
        <v>0</v>
      </c>
      <c r="M189" cm="1">
        <f t="array" ref="M189">SUM(W43:AA43*BV43:BZ43-T43*BO43:BS43)</f>
        <v>-11</v>
      </c>
      <c r="N189" t="s">
        <v>21</v>
      </c>
      <c r="O189">
        <v>0</v>
      </c>
      <c r="AL189" s="79"/>
    </row>
    <row r="190" spans="1:38" ht="15.6" x14ac:dyDescent="0.3">
      <c r="A190" s="77"/>
      <c r="C190" s="90">
        <f t="shared" si="16"/>
        <v>1</v>
      </c>
      <c r="D190" s="1" t="s">
        <v>21</v>
      </c>
      <c r="E190">
        <v>1</v>
      </c>
      <c r="H190" cm="1">
        <f t="array" ref="H190">SUM(W44:AA44*BV44:BZ44-Q44*BO44:BS44)</f>
        <v>10</v>
      </c>
      <c r="I190" t="s">
        <v>24</v>
      </c>
      <c r="J190">
        <v>0</v>
      </c>
      <c r="M190" cm="1">
        <f t="array" ref="M190">SUM(W44:AA44*BV44:BZ44-T44*BO44:BS44)</f>
        <v>-10</v>
      </c>
      <c r="N190" t="s">
        <v>21</v>
      </c>
      <c r="O190">
        <v>0</v>
      </c>
      <c r="AL190" s="79"/>
    </row>
    <row r="191" spans="1:38" ht="15.6" x14ac:dyDescent="0.3">
      <c r="A191" s="77"/>
      <c r="C191" s="90">
        <f t="shared" si="16"/>
        <v>1</v>
      </c>
      <c r="D191" s="1" t="s">
        <v>21</v>
      </c>
      <c r="E191">
        <v>1</v>
      </c>
      <c r="H191" cm="1">
        <f t="array" ref="H191">SUM(W45:AA45*BV45:BZ45-Q45*BO45:BS45)</f>
        <v>15</v>
      </c>
      <c r="I191" t="s">
        <v>24</v>
      </c>
      <c r="J191">
        <v>0</v>
      </c>
      <c r="M191" cm="1">
        <f t="array" ref="M191">SUM(W45:AA45*BV45:BZ45-T45*BO45:BS45)</f>
        <v>-8</v>
      </c>
      <c r="N191" t="s">
        <v>21</v>
      </c>
      <c r="O191">
        <v>0</v>
      </c>
      <c r="AL191" s="79"/>
    </row>
    <row r="192" spans="1:38" ht="15.6" x14ac:dyDescent="0.3">
      <c r="A192" s="77"/>
      <c r="C192" s="90">
        <f t="shared" si="16"/>
        <v>1</v>
      </c>
      <c r="D192" s="1" t="s">
        <v>21</v>
      </c>
      <c r="E192">
        <v>1</v>
      </c>
      <c r="H192" cm="1">
        <f t="array" ref="H192">SUM(W46:AA46*BV46:BZ46-Q46*BO46:BS46)</f>
        <v>7</v>
      </c>
      <c r="I192" t="s">
        <v>24</v>
      </c>
      <c r="J192">
        <v>0</v>
      </c>
      <c r="M192" cm="1">
        <f t="array" ref="M192">SUM(W46:AA46*BV46:BZ46-T46*BO46:BS46)</f>
        <v>-8</v>
      </c>
      <c r="N192" t="s">
        <v>21</v>
      </c>
      <c r="O192">
        <v>0</v>
      </c>
      <c r="AL192" s="79"/>
    </row>
    <row r="193" spans="1:38" ht="15.6" x14ac:dyDescent="0.3">
      <c r="A193" s="77"/>
      <c r="C193" s="90">
        <f t="shared" si="16"/>
        <v>1</v>
      </c>
      <c r="D193" s="1" t="s">
        <v>21</v>
      </c>
      <c r="E193">
        <v>1</v>
      </c>
      <c r="H193" cm="1">
        <f t="array" ref="H193">SUM(W47:AA47*BV47:BZ47-Q47*BO47:BS47)</f>
        <v>14</v>
      </c>
      <c r="I193" t="s">
        <v>24</v>
      </c>
      <c r="J193">
        <v>0</v>
      </c>
      <c r="M193" cm="1">
        <f t="array" ref="M193">SUM(W47:AA47*BV47:BZ47-T47*BO47:BS47)</f>
        <v>-2</v>
      </c>
      <c r="N193" t="s">
        <v>21</v>
      </c>
      <c r="O193">
        <v>0</v>
      </c>
      <c r="AL193" s="79"/>
    </row>
    <row r="194" spans="1:38" ht="15.6" x14ac:dyDescent="0.3">
      <c r="A194" s="77"/>
      <c r="C194" s="90">
        <f t="shared" si="16"/>
        <v>0</v>
      </c>
      <c r="D194" s="1" t="s">
        <v>21</v>
      </c>
      <c r="E194">
        <v>1</v>
      </c>
      <c r="H194" cm="1">
        <f t="array" ref="H194">SUM(W48:AA48*BV48:BZ48-Q48*BO48:BS48)</f>
        <v>0</v>
      </c>
      <c r="I194" t="s">
        <v>24</v>
      </c>
      <c r="J194">
        <v>0</v>
      </c>
      <c r="M194" cm="1">
        <f t="array" ref="M194">SUM(W48:AA48*BV48:BZ48-T48*BO48:BS48)</f>
        <v>0</v>
      </c>
      <c r="N194" t="s">
        <v>21</v>
      </c>
      <c r="O194">
        <v>0</v>
      </c>
      <c r="AL194" s="79"/>
    </row>
    <row r="195" spans="1:38" ht="15.6" x14ac:dyDescent="0.3">
      <c r="A195" s="77"/>
      <c r="C195" s="90">
        <f t="shared" si="16"/>
        <v>1</v>
      </c>
      <c r="D195" s="1" t="s">
        <v>21</v>
      </c>
      <c r="E195">
        <v>1</v>
      </c>
      <c r="H195" cm="1">
        <f t="array" ref="H195">SUM(W49:AA49*BV49:BZ49-Q49*BO49:BS49)</f>
        <v>10</v>
      </c>
      <c r="I195" t="s">
        <v>24</v>
      </c>
      <c r="J195">
        <v>0</v>
      </c>
      <c r="M195" cm="1">
        <f t="array" ref="M195">SUM(W49:AA49*BV49:BZ49-T49*BO49:BS49)</f>
        <v>-10</v>
      </c>
      <c r="N195" t="s">
        <v>21</v>
      </c>
      <c r="O195">
        <v>0</v>
      </c>
      <c r="AL195" s="79"/>
    </row>
    <row r="196" spans="1:38" ht="15.6" x14ac:dyDescent="0.3">
      <c r="A196" s="77"/>
      <c r="C196" s="90">
        <f t="shared" si="16"/>
        <v>1</v>
      </c>
      <c r="D196" s="1" t="s">
        <v>21</v>
      </c>
      <c r="E196">
        <v>1</v>
      </c>
      <c r="H196" cm="1">
        <f t="array" ref="H196">SUM(W50:AA50*BV50:BZ50-Q50*BO50:BS50)</f>
        <v>8</v>
      </c>
      <c r="I196" t="s">
        <v>24</v>
      </c>
      <c r="J196">
        <v>0</v>
      </c>
      <c r="M196" cm="1">
        <f t="array" ref="M196">SUM(W50:AA50*BV50:BZ50-T50*BO50:BS50)</f>
        <v>-10</v>
      </c>
      <c r="N196" t="s">
        <v>21</v>
      </c>
      <c r="O196">
        <v>0</v>
      </c>
      <c r="AL196" s="79"/>
    </row>
    <row r="197" spans="1:38" ht="15.6" x14ac:dyDescent="0.3">
      <c r="A197" s="77"/>
      <c r="C197" s="90">
        <f t="shared" si="16"/>
        <v>0</v>
      </c>
      <c r="D197" s="1" t="s">
        <v>21</v>
      </c>
      <c r="E197">
        <v>1</v>
      </c>
      <c r="H197" cm="1">
        <f t="array" ref="H197">SUM(W51:AA51*BV51:BZ51-Q51*BO51:BS51)</f>
        <v>0</v>
      </c>
      <c r="I197" t="s">
        <v>24</v>
      </c>
      <c r="J197">
        <v>0</v>
      </c>
      <c r="M197" cm="1">
        <f t="array" ref="M197">SUM(W51:AA51*BV51:BZ51-T51*BO51:BS51)</f>
        <v>0</v>
      </c>
      <c r="N197" t="s">
        <v>21</v>
      </c>
      <c r="O197">
        <v>0</v>
      </c>
      <c r="AL197" s="79"/>
    </row>
    <row r="198" spans="1:38" ht="15.6" x14ac:dyDescent="0.3">
      <c r="A198" s="77"/>
      <c r="C198" s="90">
        <f t="shared" si="16"/>
        <v>1</v>
      </c>
      <c r="D198" s="1" t="s">
        <v>21</v>
      </c>
      <c r="E198">
        <v>1</v>
      </c>
      <c r="H198" cm="1">
        <f t="array" ref="H198">SUM(W52:AA52*BV52:BZ52-Q52*BO52:BS52)</f>
        <v>10</v>
      </c>
      <c r="I198" t="s">
        <v>24</v>
      </c>
      <c r="J198">
        <v>0</v>
      </c>
      <c r="M198" cm="1">
        <f t="array" ref="M198">SUM(W52:AA52*BV52:BZ52-T52*BO52:BS52)</f>
        <v>-8</v>
      </c>
      <c r="N198" t="s">
        <v>21</v>
      </c>
      <c r="O198">
        <v>0</v>
      </c>
      <c r="AL198" s="79"/>
    </row>
    <row r="199" spans="1:38" ht="15.6" x14ac:dyDescent="0.3">
      <c r="A199" s="77"/>
      <c r="C199" s="90">
        <f t="shared" si="16"/>
        <v>0</v>
      </c>
      <c r="D199" s="1" t="s">
        <v>21</v>
      </c>
      <c r="E199">
        <v>1</v>
      </c>
      <c r="H199" cm="1">
        <f t="array" ref="H199">SUM(W53:AA53*BV53:BZ53-Q53*BO53:BS53)</f>
        <v>0</v>
      </c>
      <c r="I199" t="s">
        <v>24</v>
      </c>
      <c r="J199">
        <v>0</v>
      </c>
      <c r="M199" cm="1">
        <f t="array" ref="M199">SUM(W53:AA53*BV53:BZ53-T53*BO53:BS53)</f>
        <v>0</v>
      </c>
      <c r="N199" t="s">
        <v>21</v>
      </c>
      <c r="O199">
        <v>0</v>
      </c>
      <c r="AL199" s="79"/>
    </row>
    <row r="200" spans="1:38" ht="15.6" x14ac:dyDescent="0.3">
      <c r="A200" s="77"/>
      <c r="C200" s="90">
        <f t="shared" si="16"/>
        <v>0</v>
      </c>
      <c r="D200" s="1" t="s">
        <v>21</v>
      </c>
      <c r="E200">
        <v>1</v>
      </c>
      <c r="H200" cm="1">
        <f t="array" ref="H200">SUM(W54:AA54*BV54:BZ54-Q54*BO54:BS54)</f>
        <v>0</v>
      </c>
      <c r="I200" t="s">
        <v>24</v>
      </c>
      <c r="J200">
        <v>0</v>
      </c>
      <c r="M200" cm="1">
        <f t="array" ref="M200">SUM(W54:AA54*BV54:BZ54-T54*BO54:BS54)</f>
        <v>0</v>
      </c>
      <c r="N200" t="s">
        <v>21</v>
      </c>
      <c r="O200">
        <v>0</v>
      </c>
      <c r="AL200" s="79"/>
    </row>
    <row r="201" spans="1:38" ht="15.6" x14ac:dyDescent="0.3">
      <c r="A201" s="77"/>
      <c r="C201" s="90">
        <f t="shared" si="16"/>
        <v>1</v>
      </c>
      <c r="D201" s="1" t="s">
        <v>21</v>
      </c>
      <c r="E201">
        <v>1</v>
      </c>
      <c r="H201" cm="1">
        <f t="array" ref="H201">SUM(W55:AA55*BV55:BZ55-Q55*BO55:BS55)</f>
        <v>0</v>
      </c>
      <c r="I201" t="s">
        <v>24</v>
      </c>
      <c r="J201">
        <v>0</v>
      </c>
      <c r="M201" cm="1">
        <f t="array" ref="M201">SUM(W55:AA55*BV55:BZ55-T55*BO55:BS55)</f>
        <v>-18</v>
      </c>
      <c r="N201" t="s">
        <v>21</v>
      </c>
      <c r="O201">
        <v>0</v>
      </c>
      <c r="AL201" s="79"/>
    </row>
    <row r="202" spans="1:38" ht="15.6" x14ac:dyDescent="0.3">
      <c r="A202" s="77"/>
      <c r="C202" s="90">
        <f t="shared" si="16"/>
        <v>1</v>
      </c>
      <c r="D202" s="1" t="s">
        <v>21</v>
      </c>
      <c r="E202">
        <v>1</v>
      </c>
      <c r="H202" cm="1">
        <f t="array" ref="H202">SUM(W56:AA56*BV56:BZ56-Q56*BO56:BS56)</f>
        <v>8</v>
      </c>
      <c r="I202" t="s">
        <v>24</v>
      </c>
      <c r="J202">
        <v>0</v>
      </c>
      <c r="M202" cm="1">
        <f t="array" ref="M202">SUM(W56:AA56*BV56:BZ56-T56*BO56:BS56)</f>
        <v>-12</v>
      </c>
      <c r="N202" t="s">
        <v>21</v>
      </c>
      <c r="O202">
        <v>0</v>
      </c>
      <c r="AL202" s="79"/>
    </row>
    <row r="203" spans="1:38" ht="15.6" x14ac:dyDescent="0.3">
      <c r="A203" s="77"/>
      <c r="C203" s="90">
        <f t="shared" si="16"/>
        <v>0</v>
      </c>
      <c r="D203" s="1" t="s">
        <v>21</v>
      </c>
      <c r="E203">
        <v>1</v>
      </c>
      <c r="H203" cm="1">
        <f t="array" ref="H203">SUM(W57:AA57*BV57:BZ57-Q57*BO57:BS57)</f>
        <v>0</v>
      </c>
      <c r="I203" t="s">
        <v>24</v>
      </c>
      <c r="J203">
        <v>0</v>
      </c>
      <c r="M203" cm="1">
        <f t="array" ref="M203">SUM(W57:AA57*BV57:BZ57-T57*BO57:BS57)</f>
        <v>0</v>
      </c>
      <c r="N203" t="s">
        <v>21</v>
      </c>
      <c r="O203">
        <v>0</v>
      </c>
      <c r="AL203" s="79"/>
    </row>
    <row r="204" spans="1:38" ht="15.6" x14ac:dyDescent="0.3">
      <c r="A204" s="77"/>
      <c r="C204" s="90">
        <f t="shared" si="16"/>
        <v>1</v>
      </c>
      <c r="D204" s="1" t="s">
        <v>21</v>
      </c>
      <c r="E204">
        <v>1</v>
      </c>
      <c r="H204" cm="1">
        <f t="array" ref="H204">SUM(W58:AA58*BV58:BZ58-Q58*BO58:BS58)</f>
        <v>12</v>
      </c>
      <c r="I204" t="s">
        <v>24</v>
      </c>
      <c r="J204">
        <v>0</v>
      </c>
      <c r="M204" cm="1">
        <f t="array" ref="M204">SUM(W58:AA58*BV58:BZ58-T58*BO58:BS58)</f>
        <v>-6</v>
      </c>
      <c r="N204" t="s">
        <v>21</v>
      </c>
      <c r="O204">
        <v>0</v>
      </c>
      <c r="AL204" s="79"/>
    </row>
    <row r="205" spans="1:38" ht="15.6" x14ac:dyDescent="0.3">
      <c r="A205" s="77"/>
      <c r="C205" s="90">
        <f t="shared" si="16"/>
        <v>0</v>
      </c>
      <c r="D205" s="1" t="s">
        <v>21</v>
      </c>
      <c r="E205">
        <v>1</v>
      </c>
      <c r="H205" cm="1">
        <f t="array" ref="H205">SUM(W59:AA59*BV59:BZ59-Q59*BO59:BS59)</f>
        <v>0</v>
      </c>
      <c r="I205" t="s">
        <v>24</v>
      </c>
      <c r="J205">
        <v>0</v>
      </c>
      <c r="M205" cm="1">
        <f t="array" ref="M205">SUM(W59:AA59*BV59:BZ59-T59*BO59:BS59)</f>
        <v>0</v>
      </c>
      <c r="N205" t="s">
        <v>21</v>
      </c>
      <c r="O205">
        <v>0</v>
      </c>
      <c r="AL205" s="79"/>
    </row>
    <row r="206" spans="1:38" ht="15.6" x14ac:dyDescent="0.3">
      <c r="A206" s="77"/>
      <c r="C206" s="90">
        <f t="shared" si="16"/>
        <v>0</v>
      </c>
      <c r="D206" s="1" t="s">
        <v>21</v>
      </c>
      <c r="E206">
        <v>1</v>
      </c>
      <c r="H206" cm="1">
        <f t="array" ref="H206">SUM(W60:AA60*BV60:BZ60-Q60*BO60:BS60)</f>
        <v>0</v>
      </c>
      <c r="I206" t="s">
        <v>24</v>
      </c>
      <c r="J206">
        <v>0</v>
      </c>
      <c r="M206" cm="1">
        <f t="array" ref="M206">SUM(W60:AA60*BV60:BZ60-T60*BO60:BS60)</f>
        <v>0</v>
      </c>
      <c r="N206" t="s">
        <v>21</v>
      </c>
      <c r="O206">
        <v>0</v>
      </c>
      <c r="AL206" s="79"/>
    </row>
    <row r="207" spans="1:38" ht="15.6" x14ac:dyDescent="0.3">
      <c r="A207" s="77"/>
      <c r="C207" s="90">
        <f t="shared" si="16"/>
        <v>1</v>
      </c>
      <c r="D207" s="1" t="s">
        <v>21</v>
      </c>
      <c r="E207">
        <v>1</v>
      </c>
      <c r="H207" cm="1">
        <f t="array" ref="H207">SUM(W61:AA61*BV61:BZ61-Q61*BO61:BS61)</f>
        <v>14</v>
      </c>
      <c r="I207" t="s">
        <v>24</v>
      </c>
      <c r="J207">
        <v>0</v>
      </c>
      <c r="M207" cm="1">
        <f t="array" ref="M207">SUM(W61:AA61*BV61:BZ61-T61*BO61:BS61)</f>
        <v>-7</v>
      </c>
      <c r="N207" t="s">
        <v>21</v>
      </c>
      <c r="O207">
        <v>0</v>
      </c>
      <c r="AL207" s="79"/>
    </row>
    <row r="208" spans="1:38" ht="15.6" x14ac:dyDescent="0.3">
      <c r="A208" s="77"/>
      <c r="C208" s="90">
        <f t="shared" si="16"/>
        <v>1</v>
      </c>
      <c r="D208" s="1" t="s">
        <v>21</v>
      </c>
      <c r="E208">
        <v>1</v>
      </c>
      <c r="H208" cm="1">
        <f t="array" ref="H208">SUM(W62:AA62*BV62:BZ62-Q62*BO62:BS62)</f>
        <v>7</v>
      </c>
      <c r="I208" t="s">
        <v>24</v>
      </c>
      <c r="J208">
        <v>0</v>
      </c>
      <c r="M208" cm="1">
        <f t="array" ref="M208">SUM(W62:AA62*BV62:BZ62-T62*BO62:BS62)</f>
        <v>-12</v>
      </c>
      <c r="N208" t="s">
        <v>21</v>
      </c>
      <c r="O208">
        <v>0</v>
      </c>
      <c r="AL208" s="79"/>
    </row>
    <row r="209" spans="1:38" ht="15.6" x14ac:dyDescent="0.3">
      <c r="A209" s="77"/>
      <c r="C209" s="90">
        <f t="shared" si="16"/>
        <v>1</v>
      </c>
      <c r="D209" s="1" t="s">
        <v>21</v>
      </c>
      <c r="E209">
        <v>1</v>
      </c>
      <c r="H209" cm="1">
        <f t="array" ref="H209">SUM(W63:AA63*BV63:BZ63-Q63*BO63:BS63)</f>
        <v>2</v>
      </c>
      <c r="I209" t="s">
        <v>24</v>
      </c>
      <c r="J209">
        <v>0</v>
      </c>
      <c r="M209" cm="1">
        <f t="array" ref="M209">SUM(W63:AA63*BV63:BZ63-T63*BO63:BS63)</f>
        <v>-10</v>
      </c>
      <c r="N209" t="s">
        <v>21</v>
      </c>
      <c r="O209">
        <v>0</v>
      </c>
      <c r="AL209" s="79"/>
    </row>
    <row r="210" spans="1:38" ht="15.6" x14ac:dyDescent="0.3">
      <c r="A210" s="77"/>
      <c r="C210" s="90">
        <f t="shared" si="16"/>
        <v>1</v>
      </c>
      <c r="D210" s="1" t="s">
        <v>21</v>
      </c>
      <c r="E210">
        <v>1</v>
      </c>
      <c r="H210" cm="1">
        <f t="array" ref="H210">SUM(W64:AA64*BV64:BZ64-Q64*BO64:BS64)</f>
        <v>10</v>
      </c>
      <c r="I210" t="s">
        <v>24</v>
      </c>
      <c r="J210">
        <v>0</v>
      </c>
      <c r="M210" cm="1">
        <f t="array" ref="M210">SUM(W64:AA64*BV64:BZ64-T64*BO64:BS64)</f>
        <v>-13</v>
      </c>
      <c r="N210" t="s">
        <v>21</v>
      </c>
      <c r="O210">
        <v>0</v>
      </c>
      <c r="AL210" s="79"/>
    </row>
    <row r="211" spans="1:38" ht="15.6" x14ac:dyDescent="0.3">
      <c r="A211" s="77"/>
      <c r="C211" s="90">
        <f t="shared" si="16"/>
        <v>1</v>
      </c>
      <c r="D211" s="1" t="s">
        <v>21</v>
      </c>
      <c r="E211">
        <v>1</v>
      </c>
      <c r="H211" cm="1">
        <f t="array" ref="H211">SUM(W65:AA65*BV65:BZ65-Q65*BO65:BS65)</f>
        <v>3</v>
      </c>
      <c r="I211" t="s">
        <v>24</v>
      </c>
      <c r="J211">
        <v>0</v>
      </c>
      <c r="M211" cm="1">
        <f t="array" ref="M211">SUM(W65:AA65*BV65:BZ65-T65*BO65:BS65)</f>
        <v>-15</v>
      </c>
      <c r="N211" t="s">
        <v>21</v>
      </c>
      <c r="O211">
        <v>0</v>
      </c>
      <c r="AL211" s="79"/>
    </row>
    <row r="212" spans="1:38" ht="15.6" x14ac:dyDescent="0.3">
      <c r="A212" s="77"/>
      <c r="C212" s="90">
        <f t="shared" si="16"/>
        <v>0</v>
      </c>
      <c r="D212" s="1" t="s">
        <v>21</v>
      </c>
      <c r="E212">
        <v>1</v>
      </c>
      <c r="H212" cm="1">
        <f t="array" ref="H212">SUM(W66:AA66*BV66:BZ66-Q66*BO66:BS66)</f>
        <v>0</v>
      </c>
      <c r="I212" t="s">
        <v>24</v>
      </c>
      <c r="J212">
        <v>0</v>
      </c>
      <c r="M212" cm="1">
        <f t="array" ref="M212">SUM(W66:AA66*BV66:BZ66-T66*BO66:BS66)</f>
        <v>0</v>
      </c>
      <c r="N212" t="s">
        <v>21</v>
      </c>
      <c r="O212">
        <v>0</v>
      </c>
      <c r="AL212" s="79"/>
    </row>
    <row r="213" spans="1:38" ht="15.6" x14ac:dyDescent="0.3">
      <c r="A213" s="77"/>
      <c r="C213" s="90">
        <f t="shared" si="16"/>
        <v>0</v>
      </c>
      <c r="D213" s="1" t="s">
        <v>21</v>
      </c>
      <c r="E213">
        <v>1</v>
      </c>
      <c r="H213" cm="1">
        <f t="array" ref="H213">SUM(W67:AA67*BV67:BZ67-Q67*BO67:BS67)</f>
        <v>0</v>
      </c>
      <c r="I213" t="s">
        <v>24</v>
      </c>
      <c r="J213">
        <v>0</v>
      </c>
      <c r="M213" cm="1">
        <f t="array" ref="M213">SUM(W67:AA67*BV67:BZ67-T67*BO67:BS67)</f>
        <v>0</v>
      </c>
      <c r="N213" t="s">
        <v>21</v>
      </c>
      <c r="O213">
        <v>0</v>
      </c>
      <c r="AL213" s="79"/>
    </row>
    <row r="214" spans="1:38" ht="15.6" x14ac:dyDescent="0.3">
      <c r="A214" s="77"/>
      <c r="C214" s="90">
        <f t="shared" ref="C214:C248" si="17">SUM(AL68:AP68,AS68:AW68,AZ68:BD68,BG68:BK68)</f>
        <v>0</v>
      </c>
      <c r="D214" s="1" t="s">
        <v>21</v>
      </c>
      <c r="E214">
        <v>1</v>
      </c>
      <c r="H214" cm="1">
        <f t="array" ref="H214">SUM(W68:AA68*BV68:BZ68-Q68*BO68:BS68)</f>
        <v>0</v>
      </c>
      <c r="I214" t="s">
        <v>24</v>
      </c>
      <c r="J214">
        <v>0</v>
      </c>
      <c r="M214" cm="1">
        <f t="array" ref="M214">SUM(W68:AA68*BV68:BZ68-T68*BO68:BS68)</f>
        <v>0</v>
      </c>
      <c r="N214" t="s">
        <v>21</v>
      </c>
      <c r="O214">
        <v>0</v>
      </c>
      <c r="AL214" s="79"/>
    </row>
    <row r="215" spans="1:38" ht="15.6" x14ac:dyDescent="0.3">
      <c r="A215" s="77"/>
      <c r="C215" s="90">
        <f t="shared" si="17"/>
        <v>0</v>
      </c>
      <c r="D215" s="1" t="s">
        <v>21</v>
      </c>
      <c r="E215">
        <v>1</v>
      </c>
      <c r="H215" cm="1">
        <f t="array" ref="H215">SUM(W69:AA69*BV69:BZ69-Q69*BO69:BS69)</f>
        <v>0</v>
      </c>
      <c r="I215" t="s">
        <v>24</v>
      </c>
      <c r="J215">
        <v>0</v>
      </c>
      <c r="M215" cm="1">
        <f t="array" ref="M215">SUM(W69:AA69*BV69:BZ69-T69*BO69:BS69)</f>
        <v>0</v>
      </c>
      <c r="N215" t="s">
        <v>21</v>
      </c>
      <c r="O215">
        <v>0</v>
      </c>
      <c r="AL215" s="79"/>
    </row>
    <row r="216" spans="1:38" ht="15.6" x14ac:dyDescent="0.3">
      <c r="A216" s="77"/>
      <c r="C216" s="90">
        <f t="shared" si="17"/>
        <v>0</v>
      </c>
      <c r="D216" s="1" t="s">
        <v>21</v>
      </c>
      <c r="E216">
        <v>1</v>
      </c>
      <c r="H216" cm="1">
        <f t="array" ref="H216">SUM(W70:AA70*BV70:BZ70-Q70*BO70:BS70)</f>
        <v>0</v>
      </c>
      <c r="I216" t="s">
        <v>24</v>
      </c>
      <c r="J216">
        <v>0</v>
      </c>
      <c r="M216" cm="1">
        <f t="array" ref="M216">SUM(W70:AA70*BV70:BZ70-T70*BO70:BS70)</f>
        <v>0</v>
      </c>
      <c r="N216" t="s">
        <v>21</v>
      </c>
      <c r="O216">
        <v>0</v>
      </c>
      <c r="AL216" s="79"/>
    </row>
    <row r="217" spans="1:38" ht="15.6" x14ac:dyDescent="0.3">
      <c r="A217" s="77"/>
      <c r="C217" s="90">
        <f t="shared" si="17"/>
        <v>0</v>
      </c>
      <c r="D217" s="1" t="s">
        <v>21</v>
      </c>
      <c r="E217">
        <v>1</v>
      </c>
      <c r="H217" cm="1">
        <f t="array" ref="H217">SUM(W71:AA71*BV71:BZ71-Q71*BO71:BS71)</f>
        <v>0</v>
      </c>
      <c r="I217" t="s">
        <v>24</v>
      </c>
      <c r="J217">
        <v>0</v>
      </c>
      <c r="M217" cm="1">
        <f t="array" ref="M217">SUM(W71:AA71*BV71:BZ71-T71*BO71:BS71)</f>
        <v>0</v>
      </c>
      <c r="N217" t="s">
        <v>21</v>
      </c>
      <c r="O217">
        <v>0</v>
      </c>
      <c r="AL217" s="79"/>
    </row>
    <row r="218" spans="1:38" ht="15.6" x14ac:dyDescent="0.3">
      <c r="A218" s="77"/>
      <c r="C218" s="90">
        <f t="shared" si="17"/>
        <v>0</v>
      </c>
      <c r="D218" s="1" t="s">
        <v>21</v>
      </c>
      <c r="E218">
        <v>1</v>
      </c>
      <c r="H218" cm="1">
        <f t="array" ref="H218">SUM(W72:AA72*BV72:BZ72-Q72*BO72:BS72)</f>
        <v>0</v>
      </c>
      <c r="I218" t="s">
        <v>24</v>
      </c>
      <c r="J218">
        <v>0</v>
      </c>
      <c r="M218" cm="1">
        <f t="array" ref="M218">SUM(W72:AA72*BV72:BZ72-T72*BO72:BS72)</f>
        <v>0</v>
      </c>
      <c r="N218" t="s">
        <v>21</v>
      </c>
      <c r="O218">
        <v>0</v>
      </c>
      <c r="AL218" s="79"/>
    </row>
    <row r="219" spans="1:38" ht="15.6" x14ac:dyDescent="0.3">
      <c r="A219" s="77"/>
      <c r="C219" s="90">
        <f t="shared" si="17"/>
        <v>0</v>
      </c>
      <c r="D219" s="1" t="s">
        <v>21</v>
      </c>
      <c r="E219">
        <v>1</v>
      </c>
      <c r="H219" cm="1">
        <f t="array" ref="H219">SUM(W73:AA73*BV73:BZ73-Q73*BO73:BS73)</f>
        <v>0</v>
      </c>
      <c r="I219" t="s">
        <v>24</v>
      </c>
      <c r="J219">
        <v>0</v>
      </c>
      <c r="M219" cm="1">
        <f t="array" ref="M219">SUM(W73:AA73*BV73:BZ73-T73*BO73:BS73)</f>
        <v>0</v>
      </c>
      <c r="N219" t="s">
        <v>21</v>
      </c>
      <c r="O219">
        <v>0</v>
      </c>
      <c r="AL219" s="79"/>
    </row>
    <row r="220" spans="1:38" ht="15.6" x14ac:dyDescent="0.3">
      <c r="A220" s="77"/>
      <c r="C220" s="90">
        <f t="shared" si="17"/>
        <v>0</v>
      </c>
      <c r="D220" s="1" t="s">
        <v>21</v>
      </c>
      <c r="E220">
        <v>1</v>
      </c>
      <c r="H220" cm="1">
        <f t="array" ref="H220">SUM(W74:AA74*BV74:BZ74-Q74*BO74:BS74)</f>
        <v>0</v>
      </c>
      <c r="I220" t="s">
        <v>24</v>
      </c>
      <c r="J220">
        <v>0</v>
      </c>
      <c r="M220" cm="1">
        <f t="array" ref="M220">SUM(W74:AA74*BV74:BZ74-T74*BO74:BS74)</f>
        <v>0</v>
      </c>
      <c r="N220" t="s">
        <v>21</v>
      </c>
      <c r="O220">
        <v>0</v>
      </c>
      <c r="AL220" s="79"/>
    </row>
    <row r="221" spans="1:38" ht="15.6" x14ac:dyDescent="0.3">
      <c r="A221" s="77"/>
      <c r="C221" s="90">
        <f t="shared" si="17"/>
        <v>1</v>
      </c>
      <c r="D221" s="1" t="s">
        <v>21</v>
      </c>
      <c r="E221">
        <v>1</v>
      </c>
      <c r="H221" cm="1">
        <f t="array" ref="H221">SUM(W75:AA75*BV75:BZ75-Q75*BO75:BS75)</f>
        <v>8</v>
      </c>
      <c r="I221" t="s">
        <v>24</v>
      </c>
      <c r="J221">
        <v>0</v>
      </c>
      <c r="M221" cm="1">
        <f t="array" ref="M221">SUM(W75:AA75*BV75:BZ75-T75*BO75:BS75)</f>
        <v>-12</v>
      </c>
      <c r="N221" t="s">
        <v>21</v>
      </c>
      <c r="O221">
        <v>0</v>
      </c>
      <c r="AL221" s="79"/>
    </row>
    <row r="222" spans="1:38" ht="15.6" x14ac:dyDescent="0.3">
      <c r="A222" s="77"/>
      <c r="C222" s="90">
        <f t="shared" si="17"/>
        <v>1</v>
      </c>
      <c r="D222" s="1" t="s">
        <v>21</v>
      </c>
      <c r="E222">
        <v>1</v>
      </c>
      <c r="H222" cm="1">
        <f t="array" ref="H222">SUM(W76:AA76*BV76:BZ76-Q76*BO76:BS76)</f>
        <v>10</v>
      </c>
      <c r="I222" t="s">
        <v>24</v>
      </c>
      <c r="J222">
        <v>0</v>
      </c>
      <c r="M222" cm="1">
        <f t="array" ref="M222">SUM(W76:AA76*BV76:BZ76-T76*BO76:BS76)</f>
        <v>-8</v>
      </c>
      <c r="N222" t="s">
        <v>21</v>
      </c>
      <c r="O222">
        <v>0</v>
      </c>
      <c r="AL222" s="79"/>
    </row>
    <row r="223" spans="1:38" ht="15.6" x14ac:dyDescent="0.3">
      <c r="A223" s="77"/>
      <c r="C223" s="90">
        <f t="shared" si="17"/>
        <v>0</v>
      </c>
      <c r="D223" s="1" t="s">
        <v>21</v>
      </c>
      <c r="E223">
        <v>1</v>
      </c>
      <c r="H223" cm="1">
        <f t="array" ref="H223">SUM(W77:AA77*BV77:BZ77-Q77*BO77:BS77)</f>
        <v>0</v>
      </c>
      <c r="I223" t="s">
        <v>24</v>
      </c>
      <c r="J223">
        <v>0</v>
      </c>
      <c r="M223" cm="1">
        <f t="array" ref="M223">SUM(W77:AA77*BV77:BZ77-T77*BO77:BS77)</f>
        <v>0</v>
      </c>
      <c r="N223" t="s">
        <v>21</v>
      </c>
      <c r="O223">
        <v>0</v>
      </c>
      <c r="AL223" s="79"/>
    </row>
    <row r="224" spans="1:38" ht="15.6" x14ac:dyDescent="0.3">
      <c r="A224" s="77"/>
      <c r="C224" s="90">
        <f t="shared" si="17"/>
        <v>0</v>
      </c>
      <c r="D224" s="1" t="s">
        <v>21</v>
      </c>
      <c r="E224">
        <v>1</v>
      </c>
      <c r="H224" cm="1">
        <f t="array" ref="H224">SUM(W78:AA78*BV78:BZ78-Q78*BO78:BS78)</f>
        <v>0</v>
      </c>
      <c r="I224" t="s">
        <v>24</v>
      </c>
      <c r="J224">
        <v>0</v>
      </c>
      <c r="M224" cm="1">
        <f t="array" ref="M224">SUM(W78:AA78*BV78:BZ78-T78*BO78:BS78)</f>
        <v>0</v>
      </c>
      <c r="N224" t="s">
        <v>21</v>
      </c>
      <c r="O224">
        <v>0</v>
      </c>
      <c r="AL224" s="79"/>
    </row>
    <row r="225" spans="1:38" ht="15.6" x14ac:dyDescent="0.3">
      <c r="A225" s="77"/>
      <c r="C225" s="90">
        <f t="shared" si="17"/>
        <v>0</v>
      </c>
      <c r="D225" s="1" t="s">
        <v>21</v>
      </c>
      <c r="E225">
        <v>1</v>
      </c>
      <c r="H225" cm="1">
        <f t="array" ref="H225">SUM(W79:AA79*BV79:BZ79-Q79*BO79:BS79)</f>
        <v>0</v>
      </c>
      <c r="I225" t="s">
        <v>24</v>
      </c>
      <c r="J225">
        <v>0</v>
      </c>
      <c r="M225" cm="1">
        <f t="array" ref="M225">SUM(W79:AA79*BV79:BZ79-T79*BO79:BS79)</f>
        <v>0</v>
      </c>
      <c r="N225" t="s">
        <v>21</v>
      </c>
      <c r="O225">
        <v>0</v>
      </c>
      <c r="AL225" s="79"/>
    </row>
    <row r="226" spans="1:38" ht="15.6" x14ac:dyDescent="0.3">
      <c r="A226" s="77"/>
      <c r="C226" s="90">
        <f t="shared" si="17"/>
        <v>0</v>
      </c>
      <c r="D226" s="1" t="s">
        <v>21</v>
      </c>
      <c r="E226">
        <v>1</v>
      </c>
      <c r="H226" cm="1">
        <f t="array" ref="H226">SUM(W80:AA80*BV80:BZ80-Q80*BO80:BS80)</f>
        <v>0</v>
      </c>
      <c r="I226" t="s">
        <v>24</v>
      </c>
      <c r="J226">
        <v>0</v>
      </c>
      <c r="M226" cm="1">
        <f t="array" ref="M226">SUM(W80:AA80*BV80:BZ80-T80*BO80:BS80)</f>
        <v>0</v>
      </c>
      <c r="N226" t="s">
        <v>21</v>
      </c>
      <c r="O226">
        <v>0</v>
      </c>
      <c r="AL226" s="79"/>
    </row>
    <row r="227" spans="1:38" ht="15.6" x14ac:dyDescent="0.3">
      <c r="A227" s="77"/>
      <c r="C227" s="90">
        <f t="shared" si="17"/>
        <v>0</v>
      </c>
      <c r="D227" s="1" t="s">
        <v>21</v>
      </c>
      <c r="E227">
        <v>1</v>
      </c>
      <c r="H227" cm="1">
        <f t="array" ref="H227">SUM(W81:AA81*BV81:BZ81-Q81*BO81:BS81)</f>
        <v>0</v>
      </c>
      <c r="I227" t="s">
        <v>24</v>
      </c>
      <c r="J227">
        <v>0</v>
      </c>
      <c r="M227" cm="1">
        <f t="array" ref="M227">SUM(W81:AA81*BV81:BZ81-T81*BO81:BS81)</f>
        <v>0</v>
      </c>
      <c r="N227" t="s">
        <v>21</v>
      </c>
      <c r="O227">
        <v>0</v>
      </c>
      <c r="AL227" s="79"/>
    </row>
    <row r="228" spans="1:38" ht="15.6" x14ac:dyDescent="0.3">
      <c r="A228" s="77"/>
      <c r="C228" s="90">
        <f t="shared" si="17"/>
        <v>0</v>
      </c>
      <c r="D228" s="1" t="s">
        <v>21</v>
      </c>
      <c r="E228">
        <v>1</v>
      </c>
      <c r="H228" cm="1">
        <f t="array" ref="H228">SUM(W82:AA82*BV82:BZ82-Q82*BO82:BS82)</f>
        <v>0</v>
      </c>
      <c r="I228" t="s">
        <v>24</v>
      </c>
      <c r="J228">
        <v>0</v>
      </c>
      <c r="M228" cm="1">
        <f t="array" ref="M228">SUM(W82:AA82*BV82:BZ82-T82*BO82:BS82)</f>
        <v>0</v>
      </c>
      <c r="N228" t="s">
        <v>21</v>
      </c>
      <c r="O228">
        <v>0</v>
      </c>
      <c r="AL228" s="79"/>
    </row>
    <row r="229" spans="1:38" ht="15.6" x14ac:dyDescent="0.3">
      <c r="A229" s="77"/>
      <c r="C229" s="90">
        <f t="shared" si="17"/>
        <v>1</v>
      </c>
      <c r="D229" s="1" t="s">
        <v>21</v>
      </c>
      <c r="E229">
        <v>1</v>
      </c>
      <c r="H229" cm="1">
        <f t="array" ref="H229">SUM(W83:AA83*BV83:BZ83-Q83*BO83:BS83)</f>
        <v>7</v>
      </c>
      <c r="I229" t="s">
        <v>24</v>
      </c>
      <c r="J229">
        <v>0</v>
      </c>
      <c r="M229" cm="1">
        <f t="array" ref="M229">SUM(W83:AA83*BV83:BZ83-T83*BO83:BS83)</f>
        <v>-15</v>
      </c>
      <c r="N229" t="s">
        <v>21</v>
      </c>
      <c r="O229">
        <v>0</v>
      </c>
      <c r="AL229" s="79"/>
    </row>
    <row r="230" spans="1:38" ht="15.6" x14ac:dyDescent="0.3">
      <c r="A230" s="77"/>
      <c r="C230" s="90">
        <f t="shared" si="17"/>
        <v>0</v>
      </c>
      <c r="D230" s="1" t="s">
        <v>21</v>
      </c>
      <c r="E230">
        <v>1</v>
      </c>
      <c r="H230" cm="1">
        <f t="array" ref="H230">SUM(W84:AA84*BV84:BZ84-Q84*BO84:BS84)</f>
        <v>0</v>
      </c>
      <c r="I230" t="s">
        <v>24</v>
      </c>
      <c r="J230">
        <v>0</v>
      </c>
      <c r="M230" cm="1">
        <f t="array" ref="M230">SUM(W84:AA84*BV84:BZ84-T84*BO84:BS84)</f>
        <v>0</v>
      </c>
      <c r="N230" t="s">
        <v>21</v>
      </c>
      <c r="O230">
        <v>0</v>
      </c>
      <c r="AL230" s="79"/>
    </row>
    <row r="231" spans="1:38" ht="15.6" x14ac:dyDescent="0.3">
      <c r="A231" s="77"/>
      <c r="C231" s="90">
        <f t="shared" si="17"/>
        <v>1</v>
      </c>
      <c r="D231" s="1" t="s">
        <v>21</v>
      </c>
      <c r="E231">
        <v>1</v>
      </c>
      <c r="H231" cm="1">
        <f t="array" ref="H231">SUM(W85:AA85*BV85:BZ85-Q85*BO85:BS85)</f>
        <v>13</v>
      </c>
      <c r="I231" t="s">
        <v>24</v>
      </c>
      <c r="J231">
        <v>0</v>
      </c>
      <c r="M231" cm="1">
        <f t="array" ref="M231">SUM(W85:AA85*BV85:BZ85-T85*BO85:BS85)</f>
        <v>-4</v>
      </c>
      <c r="N231" t="s">
        <v>21</v>
      </c>
      <c r="O231">
        <v>0</v>
      </c>
      <c r="AL231" s="79"/>
    </row>
    <row r="232" spans="1:38" ht="15.6" x14ac:dyDescent="0.3">
      <c r="A232" s="77"/>
      <c r="C232" s="90">
        <f t="shared" si="17"/>
        <v>1</v>
      </c>
      <c r="D232" s="1" t="s">
        <v>21</v>
      </c>
      <c r="E232">
        <v>1</v>
      </c>
      <c r="H232" cm="1">
        <f t="array" ref="H232">SUM(W86:AA86*BV86:BZ86-Q86*BO86:BS86)</f>
        <v>11</v>
      </c>
      <c r="I232" t="s">
        <v>24</v>
      </c>
      <c r="J232">
        <v>0</v>
      </c>
      <c r="M232" cm="1">
        <f t="array" ref="M232">SUM(W86:AA86*BV86:BZ86-T86*BO86:BS86)</f>
        <v>0</v>
      </c>
      <c r="N232" t="s">
        <v>21</v>
      </c>
      <c r="O232">
        <v>0</v>
      </c>
      <c r="AL232" s="79"/>
    </row>
    <row r="233" spans="1:38" ht="15.6" x14ac:dyDescent="0.3">
      <c r="A233" s="77"/>
      <c r="C233" s="90">
        <f t="shared" si="17"/>
        <v>0</v>
      </c>
      <c r="D233" s="1" t="s">
        <v>21</v>
      </c>
      <c r="E233">
        <v>1</v>
      </c>
      <c r="H233" cm="1">
        <f t="array" ref="H233">SUM(W87:AA87*BV87:BZ87-Q87*BO87:BS87)</f>
        <v>0</v>
      </c>
      <c r="I233" t="s">
        <v>24</v>
      </c>
      <c r="J233">
        <v>0</v>
      </c>
      <c r="M233" cm="1">
        <f t="array" ref="M233">SUM(W87:AA87*BV87:BZ87-T87*BO87:BS87)</f>
        <v>0</v>
      </c>
      <c r="N233" t="s">
        <v>21</v>
      </c>
      <c r="O233">
        <v>0</v>
      </c>
      <c r="AL233" s="79"/>
    </row>
    <row r="234" spans="1:38" ht="15.6" x14ac:dyDescent="0.3">
      <c r="A234" s="77"/>
      <c r="C234" s="90">
        <f t="shared" si="17"/>
        <v>0</v>
      </c>
      <c r="D234" s="1" t="s">
        <v>21</v>
      </c>
      <c r="E234">
        <v>1</v>
      </c>
      <c r="H234" cm="1">
        <f t="array" ref="H234">SUM(W88:AA88*BV88:BZ88-Q88*BO88:BS88)</f>
        <v>0</v>
      </c>
      <c r="I234" t="s">
        <v>24</v>
      </c>
      <c r="J234">
        <v>0</v>
      </c>
      <c r="M234" cm="1">
        <f t="array" ref="M234">SUM(W88:AA88*BV88:BZ88-T88*BO88:BS88)</f>
        <v>0</v>
      </c>
      <c r="N234" t="s">
        <v>21</v>
      </c>
      <c r="O234">
        <v>0</v>
      </c>
      <c r="AL234" s="79"/>
    </row>
    <row r="235" spans="1:38" ht="15.6" x14ac:dyDescent="0.3">
      <c r="A235" s="77"/>
      <c r="C235" s="90">
        <f t="shared" si="17"/>
        <v>0</v>
      </c>
      <c r="D235" s="1" t="s">
        <v>21</v>
      </c>
      <c r="E235">
        <v>1</v>
      </c>
      <c r="H235" cm="1">
        <f t="array" ref="H235">SUM(W89:AA89*BV89:BZ89-Q89*BO89:BS89)</f>
        <v>0</v>
      </c>
      <c r="I235" t="s">
        <v>24</v>
      </c>
      <c r="J235">
        <v>0</v>
      </c>
      <c r="M235" cm="1">
        <f t="array" ref="M235">SUM(W89:AA89*BV89:BZ89-T89*BO89:BS89)</f>
        <v>0</v>
      </c>
      <c r="N235" t="s">
        <v>21</v>
      </c>
      <c r="O235">
        <v>0</v>
      </c>
      <c r="AL235" s="79"/>
    </row>
    <row r="236" spans="1:38" ht="15.6" x14ac:dyDescent="0.3">
      <c r="A236" s="77"/>
      <c r="C236" s="90">
        <f t="shared" si="17"/>
        <v>1</v>
      </c>
      <c r="D236" s="1" t="s">
        <v>21</v>
      </c>
      <c r="E236">
        <v>1</v>
      </c>
      <c r="H236" cm="1">
        <f t="array" ref="H236">SUM(W90:AA90*BV90:BZ90-Q90*BO90:BS90)</f>
        <v>5</v>
      </c>
      <c r="I236" t="s">
        <v>24</v>
      </c>
      <c r="J236">
        <v>0</v>
      </c>
      <c r="M236" cm="1">
        <f t="array" ref="M236">SUM(W90:AA90*BV90:BZ90-T90*BO90:BS90)</f>
        <v>-7</v>
      </c>
      <c r="N236" t="s">
        <v>21</v>
      </c>
      <c r="O236">
        <v>0</v>
      </c>
      <c r="AL236" s="79"/>
    </row>
    <row r="237" spans="1:38" ht="15.6" x14ac:dyDescent="0.3">
      <c r="A237" s="77"/>
      <c r="C237" s="90">
        <f t="shared" si="17"/>
        <v>0</v>
      </c>
      <c r="D237" s="1" t="s">
        <v>21</v>
      </c>
      <c r="E237">
        <v>1</v>
      </c>
      <c r="H237" cm="1">
        <f t="array" ref="H237">SUM(W91:AA91*BV91:BZ91-Q91*BO91:BS91)</f>
        <v>0</v>
      </c>
      <c r="I237" t="s">
        <v>24</v>
      </c>
      <c r="J237">
        <v>0</v>
      </c>
      <c r="M237" cm="1">
        <f t="array" ref="M237">SUM(W91:AA91*BV91:BZ91-T91*BO91:BS91)</f>
        <v>0</v>
      </c>
      <c r="N237" t="s">
        <v>21</v>
      </c>
      <c r="O237">
        <v>0</v>
      </c>
      <c r="AL237" s="79"/>
    </row>
    <row r="238" spans="1:38" ht="15.6" x14ac:dyDescent="0.3">
      <c r="A238" s="77"/>
      <c r="C238" s="90">
        <f t="shared" si="17"/>
        <v>0</v>
      </c>
      <c r="D238" s="1" t="s">
        <v>21</v>
      </c>
      <c r="E238">
        <v>1</v>
      </c>
      <c r="H238" cm="1">
        <f t="array" ref="H238">SUM(W92:AA92*BV92:BZ92-Q92*BO92:BS92)</f>
        <v>0</v>
      </c>
      <c r="I238" t="s">
        <v>24</v>
      </c>
      <c r="J238">
        <v>0</v>
      </c>
      <c r="M238" cm="1">
        <f t="array" ref="M238">SUM(W92:AA92*BV92:BZ92-T92*BO92:BS92)</f>
        <v>0</v>
      </c>
      <c r="N238" t="s">
        <v>21</v>
      </c>
      <c r="O238">
        <v>0</v>
      </c>
      <c r="AL238" s="79"/>
    </row>
    <row r="239" spans="1:38" ht="15.6" x14ac:dyDescent="0.3">
      <c r="A239" s="77"/>
      <c r="C239" s="90">
        <f t="shared" si="17"/>
        <v>0</v>
      </c>
      <c r="D239" s="1" t="s">
        <v>21</v>
      </c>
      <c r="E239">
        <v>1</v>
      </c>
      <c r="H239" cm="1">
        <f t="array" ref="H239">SUM(W93:AA93*BV93:BZ93-Q93*BO93:BS93)</f>
        <v>0</v>
      </c>
      <c r="I239" t="s">
        <v>24</v>
      </c>
      <c r="J239">
        <v>0</v>
      </c>
      <c r="M239" cm="1">
        <f t="array" ref="M239">SUM(W93:AA93*BV93:BZ93-T93*BO93:BS93)</f>
        <v>0</v>
      </c>
      <c r="N239" t="s">
        <v>21</v>
      </c>
      <c r="O239">
        <v>0</v>
      </c>
      <c r="AL239" s="79"/>
    </row>
    <row r="240" spans="1:38" ht="15.6" x14ac:dyDescent="0.3">
      <c r="A240" s="77"/>
      <c r="C240" s="90">
        <f t="shared" si="17"/>
        <v>1</v>
      </c>
      <c r="D240" s="1" t="s">
        <v>21</v>
      </c>
      <c r="E240">
        <v>1</v>
      </c>
      <c r="H240" cm="1">
        <f t="array" ref="H240">SUM(W94:AA94*BV94:BZ94-Q94*BO94:BS94)</f>
        <v>7</v>
      </c>
      <c r="I240" t="s">
        <v>24</v>
      </c>
      <c r="J240">
        <v>0</v>
      </c>
      <c r="M240" cm="1">
        <f t="array" ref="M240">SUM(W94:AA94*BV94:BZ94-T94*BO94:BS94)</f>
        <v>-6</v>
      </c>
      <c r="N240" t="s">
        <v>21</v>
      </c>
      <c r="O240">
        <v>0</v>
      </c>
      <c r="AL240" s="79"/>
    </row>
    <row r="241" spans="1:38" ht="15.6" x14ac:dyDescent="0.3">
      <c r="A241" s="77"/>
      <c r="C241" s="90">
        <f t="shared" si="17"/>
        <v>1</v>
      </c>
      <c r="D241" s="1" t="s">
        <v>21</v>
      </c>
      <c r="E241">
        <v>1</v>
      </c>
      <c r="H241" cm="1">
        <f t="array" ref="H241">SUM(W95:AA95*BV95:BZ95-Q95*BO95:BS95)</f>
        <v>1</v>
      </c>
      <c r="I241" t="s">
        <v>24</v>
      </c>
      <c r="J241">
        <v>0</v>
      </c>
      <c r="M241" cm="1">
        <f t="array" ref="M241">SUM(W95:AA95*BV95:BZ95-T95*BO95:BS95)</f>
        <v>-19</v>
      </c>
      <c r="N241" t="s">
        <v>21</v>
      </c>
      <c r="O241">
        <v>0</v>
      </c>
      <c r="AL241" s="79"/>
    </row>
    <row r="242" spans="1:38" ht="15.6" x14ac:dyDescent="0.3">
      <c r="A242" s="77"/>
      <c r="C242" s="90">
        <f t="shared" si="17"/>
        <v>1</v>
      </c>
      <c r="D242" s="1" t="s">
        <v>21</v>
      </c>
      <c r="E242">
        <v>1</v>
      </c>
      <c r="H242" cm="1">
        <f t="array" ref="H242">SUM(W96:AA96*BV96:BZ96-Q96*BO96:BS96)</f>
        <v>11</v>
      </c>
      <c r="I242" t="s">
        <v>24</v>
      </c>
      <c r="J242">
        <v>0</v>
      </c>
      <c r="M242" cm="1">
        <f t="array" ref="M242">SUM(W96:AA96*BV96:BZ96-T96*BO96:BS96)</f>
        <v>-4</v>
      </c>
      <c r="N242" t="s">
        <v>21</v>
      </c>
      <c r="O242">
        <v>0</v>
      </c>
      <c r="AL242" s="79"/>
    </row>
    <row r="243" spans="1:38" ht="15.6" x14ac:dyDescent="0.3">
      <c r="A243" s="77"/>
      <c r="C243" s="90">
        <f t="shared" si="17"/>
        <v>0</v>
      </c>
      <c r="D243" s="1" t="s">
        <v>21</v>
      </c>
      <c r="E243">
        <v>1</v>
      </c>
      <c r="H243" cm="1">
        <f t="array" ref="H243">SUM(W97:AA97*BV97:BZ97-Q97*BO97:BS97)</f>
        <v>0</v>
      </c>
      <c r="I243" t="s">
        <v>24</v>
      </c>
      <c r="J243">
        <v>0</v>
      </c>
      <c r="M243" cm="1">
        <f t="array" ref="M243">SUM(W97:AA97*BV97:BZ97-T97*BO97:BS97)</f>
        <v>0</v>
      </c>
      <c r="N243" t="s">
        <v>21</v>
      </c>
      <c r="O243">
        <v>0</v>
      </c>
      <c r="AL243" s="79"/>
    </row>
    <row r="244" spans="1:38" ht="15.6" x14ac:dyDescent="0.3">
      <c r="A244" s="77"/>
      <c r="C244" s="90">
        <f t="shared" si="17"/>
        <v>0</v>
      </c>
      <c r="D244" s="1" t="s">
        <v>21</v>
      </c>
      <c r="E244">
        <v>1</v>
      </c>
      <c r="H244" cm="1">
        <f t="array" ref="H244">SUM(W98:AA98*BV98:BZ98-Q98*BO98:BS98)</f>
        <v>0</v>
      </c>
      <c r="I244" t="s">
        <v>24</v>
      </c>
      <c r="J244">
        <v>0</v>
      </c>
      <c r="M244" cm="1">
        <f t="array" ref="M244">SUM(W98:AA98*BV98:BZ98-T98*BO98:BS98)</f>
        <v>0</v>
      </c>
      <c r="N244" t="s">
        <v>21</v>
      </c>
      <c r="O244">
        <v>0</v>
      </c>
      <c r="AL244" s="79"/>
    </row>
    <row r="245" spans="1:38" ht="15.6" x14ac:dyDescent="0.3">
      <c r="A245" s="77"/>
      <c r="C245" s="90">
        <f t="shared" si="17"/>
        <v>1</v>
      </c>
      <c r="D245" s="1" t="s">
        <v>21</v>
      </c>
      <c r="E245">
        <v>1</v>
      </c>
      <c r="H245" cm="1">
        <f t="array" ref="H245">SUM(W99:AA99*BV99:BZ99-Q99*BO99:BS99)</f>
        <v>0</v>
      </c>
      <c r="I245" t="s">
        <v>24</v>
      </c>
      <c r="J245">
        <v>0</v>
      </c>
      <c r="M245" cm="1">
        <f t="array" ref="M245">SUM(W99:AA99*BV99:BZ99-T99*BO99:BS99)</f>
        <v>-12</v>
      </c>
      <c r="N245" t="s">
        <v>21</v>
      </c>
      <c r="O245">
        <v>0</v>
      </c>
      <c r="AL245" s="79"/>
    </row>
    <row r="246" spans="1:38" ht="15.6" x14ac:dyDescent="0.3">
      <c r="A246" s="77"/>
      <c r="C246" s="90">
        <f t="shared" si="17"/>
        <v>0</v>
      </c>
      <c r="D246" s="1" t="s">
        <v>21</v>
      </c>
      <c r="E246">
        <v>1</v>
      </c>
      <c r="H246" cm="1">
        <f t="array" ref="H246">SUM(W100:AA100*BV100:BZ100-Q100*BO100:BS100)</f>
        <v>0</v>
      </c>
      <c r="I246" t="s">
        <v>24</v>
      </c>
      <c r="J246">
        <v>0</v>
      </c>
      <c r="M246" cm="1">
        <f t="array" ref="M246">SUM(W100:AA100*BV100:BZ100-T100*BO100:BS100)</f>
        <v>0</v>
      </c>
      <c r="N246" t="s">
        <v>21</v>
      </c>
      <c r="O246">
        <v>0</v>
      </c>
      <c r="AL246" s="79"/>
    </row>
    <row r="247" spans="1:38" ht="15.6" x14ac:dyDescent="0.3">
      <c r="A247" s="77"/>
      <c r="C247" s="90">
        <f t="shared" si="17"/>
        <v>1</v>
      </c>
      <c r="D247" s="1" t="s">
        <v>21</v>
      </c>
      <c r="E247">
        <v>1</v>
      </c>
      <c r="H247" cm="1">
        <f t="array" ref="H247">SUM(W101:AA101*BV101:BZ101-Q101*BO101:BS101)</f>
        <v>2</v>
      </c>
      <c r="I247" t="s">
        <v>24</v>
      </c>
      <c r="J247">
        <v>0</v>
      </c>
      <c r="M247" cm="1">
        <f t="array" ref="M247">SUM(W101:AA101*BV101:BZ101-T101*BO101:BS101)</f>
        <v>-21</v>
      </c>
      <c r="N247" t="s">
        <v>21</v>
      </c>
      <c r="O247">
        <v>0</v>
      </c>
      <c r="AL247" s="79"/>
    </row>
    <row r="248" spans="1:38" ht="15.6" x14ac:dyDescent="0.3">
      <c r="A248" s="77"/>
      <c r="C248" s="90">
        <f t="shared" si="17"/>
        <v>0</v>
      </c>
      <c r="D248" s="1" t="s">
        <v>21</v>
      </c>
      <c r="E248">
        <v>1</v>
      </c>
      <c r="H248" cm="1">
        <f t="array" ref="H248">SUM(W102:AA102*BV102:BZ102-Q102*BO102:BS102)</f>
        <v>0</v>
      </c>
      <c r="I248" t="s">
        <v>24</v>
      </c>
      <c r="J248">
        <v>0</v>
      </c>
      <c r="M248" cm="1">
        <f t="array" ref="M248">SUM(W102:AA102*BV102:BZ102-T102*BO102:BS102)</f>
        <v>0</v>
      </c>
      <c r="N248" t="s">
        <v>21</v>
      </c>
      <c r="O248">
        <v>0</v>
      </c>
      <c r="AL248" s="79"/>
    </row>
    <row r="249" spans="1:38" x14ac:dyDescent="0.3">
      <c r="A249" s="77"/>
      <c r="AL249" s="79"/>
    </row>
    <row r="250" spans="1:38" x14ac:dyDescent="0.3">
      <c r="A250" s="77"/>
      <c r="AL250" s="79"/>
    </row>
    <row r="251" spans="1:38" ht="15" thickBot="1" x14ac:dyDescent="0.35">
      <c r="A251" s="87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7635-F614-4DF6-8E32-66721DB7E6FB}">
  <dimension ref="A1:CD120"/>
  <sheetViews>
    <sheetView topLeftCell="A55" zoomScale="70" zoomScaleNormal="70" workbookViewId="0">
      <selection activeCell="R71" sqref="R71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2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2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2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2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2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>
        <v>6</v>
      </c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16">
        <v>6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16">
        <v>6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16">
        <v>6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I5" s="16">
        <v>6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16">
        <v>6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16">
        <v>6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  <c r="CD5" s="19">
        <v>6</v>
      </c>
    </row>
    <row r="6" spans="2:82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>
        <f t="shared" ref="AF6:AF30" si="0">$F$38/$I6-MOD($F$38/$I6,1)</f>
        <v>3</v>
      </c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I6" s="16">
        <v>0</v>
      </c>
      <c r="BJ6" s="22">
        <v>1</v>
      </c>
      <c r="BK6" s="16">
        <f>AI6+AP6+AW6+BD6</f>
        <v>0</v>
      </c>
      <c r="BL6" s="16">
        <f t="shared" ref="BL6:BP21" si="1">AJ6+AQ6+AX6+BE6</f>
        <v>0</v>
      </c>
      <c r="BM6" s="16">
        <f t="shared" si="1"/>
        <v>0</v>
      </c>
      <c r="BN6" s="16">
        <f t="shared" si="1"/>
        <v>1</v>
      </c>
      <c r="BO6" s="16">
        <f>AM6+AT6+BA6+BH6</f>
        <v>0</v>
      </c>
      <c r="BP6" s="16">
        <f>AN6+AU6+BB6+BI6</f>
        <v>0</v>
      </c>
      <c r="BQ6" s="23">
        <v>1</v>
      </c>
      <c r="BR6" s="16">
        <f>AI6+AP6*2+AW6*3+BD6*4</f>
        <v>0</v>
      </c>
      <c r="BS6" s="16">
        <f t="shared" ref="BS6:BW21" si="2">AJ6+AQ6*2+AX6*3+BE6*4</f>
        <v>0</v>
      </c>
      <c r="BT6" s="16">
        <f t="shared" si="2"/>
        <v>0</v>
      </c>
      <c r="BU6" s="16">
        <f t="shared" si="2"/>
        <v>1</v>
      </c>
      <c r="BV6" s="16">
        <f>AM6+AT6*2+BA6*3+BH6*4</f>
        <v>0</v>
      </c>
      <c r="BW6" s="16">
        <f>AN6+AU6*2+BB6*3+BI6*4</f>
        <v>0</v>
      </c>
      <c r="BX6" s="23">
        <v>1</v>
      </c>
      <c r="BY6" s="16">
        <f>AI6+AP6*POWER(2,$O6)+AW6*POWER(3,$O6)+BD6*POWER(4,$O6)</f>
        <v>0</v>
      </c>
      <c r="BZ6" s="16">
        <f t="shared" ref="BZ6:CD21" si="3">AJ6+AQ6*POWER(2,$O6)+AX6*POWER(3,$O6)+BE6*POWER(4,$O6)</f>
        <v>0</v>
      </c>
      <c r="CA6" s="16">
        <f t="shared" si="3"/>
        <v>0</v>
      </c>
      <c r="CB6" s="16">
        <f t="shared" si="3"/>
        <v>1</v>
      </c>
      <c r="CC6" s="19">
        <f t="shared" si="3"/>
        <v>0</v>
      </c>
      <c r="CD6" s="19">
        <f t="shared" si="3"/>
        <v>0</v>
      </c>
    </row>
    <row r="7" spans="2:82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4">$F$33/$I7-MOD($F$33/$I7,1)</f>
        <v>5</v>
      </c>
      <c r="AB7" s="16">
        <f t="shared" ref="AB7:AB30" si="5">$F$34/$I7-MOD($F$34/$I7,1)</f>
        <v>5</v>
      </c>
      <c r="AC7" s="16">
        <f t="shared" ref="AC7:AC30" si="6">$F$35/$I7-MOD($F$35/$I7,1)</f>
        <v>4</v>
      </c>
      <c r="AD7" s="16">
        <f t="shared" ref="AD7:AD29" si="7">$F$36/$I7-MOD($F$36/$I7,1)</f>
        <v>4</v>
      </c>
      <c r="AE7" s="16">
        <f t="shared" ref="AE7:AE30" si="8">$F$37/$I7-MOD($F$37/$I7,1)</f>
        <v>4</v>
      </c>
      <c r="AF7" s="9">
        <f t="shared" si="0"/>
        <v>4</v>
      </c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I7" s="16">
        <v>0</v>
      </c>
      <c r="BJ7" s="22">
        <v>2</v>
      </c>
      <c r="BK7" s="16">
        <f t="shared" ref="BK7:BP30" si="9">AI7+AP7+AW7+BD7</f>
        <v>0</v>
      </c>
      <c r="BL7" s="16">
        <f t="shared" si="1"/>
        <v>0</v>
      </c>
      <c r="BM7" s="16">
        <f t="shared" si="1"/>
        <v>0</v>
      </c>
      <c r="BN7" s="16">
        <f t="shared" si="1"/>
        <v>0</v>
      </c>
      <c r="BO7" s="16">
        <f t="shared" si="1"/>
        <v>1</v>
      </c>
      <c r="BP7" s="16">
        <f t="shared" si="1"/>
        <v>0</v>
      </c>
      <c r="BQ7" s="23">
        <v>2</v>
      </c>
      <c r="BR7" s="16">
        <f t="shared" ref="BR7:BW30" si="10">AI7+AP7*2+AW7*3+BD7*4</f>
        <v>0</v>
      </c>
      <c r="BS7" s="16">
        <f t="shared" si="2"/>
        <v>0</v>
      </c>
      <c r="BT7" s="16">
        <f t="shared" si="2"/>
        <v>0</v>
      </c>
      <c r="BU7" s="16">
        <f t="shared" si="2"/>
        <v>0</v>
      </c>
      <c r="BV7" s="16">
        <f t="shared" si="2"/>
        <v>1</v>
      </c>
      <c r="BW7" s="16">
        <f t="shared" si="2"/>
        <v>0</v>
      </c>
      <c r="BX7" s="23">
        <v>2</v>
      </c>
      <c r="BY7" s="16">
        <f t="shared" ref="BY7:CD30" si="11">AI7+AP7*POWER(2,$O7)+AW7*POWER(3,$O7)+BD7*POWER(4,$O7)</f>
        <v>0</v>
      </c>
      <c r="BZ7" s="16">
        <f t="shared" si="3"/>
        <v>0</v>
      </c>
      <c r="CA7" s="16">
        <f>AK7+AR7*POWER(2,$O7)+AY7*POWER(3,$O7)+BF7*POWER(4,$O7)</f>
        <v>0</v>
      </c>
      <c r="CB7" s="16">
        <f t="shared" si="3"/>
        <v>0</v>
      </c>
      <c r="CC7" s="19">
        <f t="shared" si="3"/>
        <v>1</v>
      </c>
      <c r="CD7" s="19">
        <f t="shared" si="3"/>
        <v>0</v>
      </c>
    </row>
    <row r="8" spans="2:82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4"/>
        <v>3</v>
      </c>
      <c r="AB8" s="16">
        <f t="shared" si="5"/>
        <v>3</v>
      </c>
      <c r="AC8" s="16">
        <f t="shared" si="6"/>
        <v>2</v>
      </c>
      <c r="AD8" s="16">
        <f t="shared" si="7"/>
        <v>2</v>
      </c>
      <c r="AE8" s="16">
        <f t="shared" si="8"/>
        <v>2</v>
      </c>
      <c r="AF8" s="9">
        <f t="shared" si="0"/>
        <v>2</v>
      </c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I8" s="16">
        <v>0</v>
      </c>
      <c r="BJ8" s="22">
        <v>3</v>
      </c>
      <c r="BK8" s="16">
        <f>AI8+AP8+AW8+BD8</f>
        <v>0</v>
      </c>
      <c r="BL8" s="16">
        <f t="shared" si="1"/>
        <v>0</v>
      </c>
      <c r="BM8" s="16">
        <f t="shared" si="1"/>
        <v>1</v>
      </c>
      <c r="BN8" s="16">
        <f t="shared" si="1"/>
        <v>0</v>
      </c>
      <c r="BO8" s="16">
        <f t="shared" si="1"/>
        <v>0</v>
      </c>
      <c r="BP8" s="16">
        <f t="shared" si="1"/>
        <v>0</v>
      </c>
      <c r="BQ8" s="23">
        <v>3</v>
      </c>
      <c r="BR8" s="16">
        <f t="shared" si="10"/>
        <v>0</v>
      </c>
      <c r="BS8" s="16">
        <f t="shared" si="2"/>
        <v>0</v>
      </c>
      <c r="BT8" s="16">
        <f t="shared" si="2"/>
        <v>1</v>
      </c>
      <c r="BU8" s="16">
        <f t="shared" si="2"/>
        <v>0</v>
      </c>
      <c r="BV8" s="16">
        <f t="shared" si="2"/>
        <v>0</v>
      </c>
      <c r="BW8" s="16">
        <f t="shared" si="2"/>
        <v>0</v>
      </c>
      <c r="BX8" s="23">
        <v>3</v>
      </c>
      <c r="BY8" s="16">
        <f t="shared" si="11"/>
        <v>0</v>
      </c>
      <c r="BZ8" s="16">
        <f t="shared" si="3"/>
        <v>0</v>
      </c>
      <c r="CA8" s="16">
        <f t="shared" si="3"/>
        <v>1</v>
      </c>
      <c r="CB8" s="16">
        <f t="shared" si="3"/>
        <v>0</v>
      </c>
      <c r="CC8" s="19">
        <f t="shared" si="3"/>
        <v>0</v>
      </c>
      <c r="CD8" s="19">
        <f>AN8+AU8*POWER(2,$O8)+BB8*POWER(3,$O8)+BI8*POWER(4,$O8)</f>
        <v>0</v>
      </c>
    </row>
    <row r="9" spans="2:82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4"/>
        <v>4</v>
      </c>
      <c r="AB9" s="16">
        <f t="shared" si="5"/>
        <v>4</v>
      </c>
      <c r="AC9" s="16">
        <f t="shared" si="6"/>
        <v>3</v>
      </c>
      <c r="AD9" s="16">
        <f t="shared" si="7"/>
        <v>3</v>
      </c>
      <c r="AE9" s="16">
        <f t="shared" si="8"/>
        <v>4</v>
      </c>
      <c r="AF9" s="9">
        <f t="shared" si="0"/>
        <v>3</v>
      </c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I9" s="16">
        <v>0</v>
      </c>
      <c r="BJ9" s="22">
        <v>4</v>
      </c>
      <c r="BK9" s="16">
        <f t="shared" si="9"/>
        <v>0</v>
      </c>
      <c r="BL9" s="16">
        <f t="shared" si="1"/>
        <v>0</v>
      </c>
      <c r="BM9" s="16">
        <f t="shared" si="1"/>
        <v>1</v>
      </c>
      <c r="BN9" s="16">
        <f t="shared" si="1"/>
        <v>0</v>
      </c>
      <c r="BO9" s="16">
        <f t="shared" si="1"/>
        <v>0</v>
      </c>
      <c r="BP9" s="16">
        <f t="shared" si="1"/>
        <v>0</v>
      </c>
      <c r="BQ9" s="23">
        <v>4</v>
      </c>
      <c r="BR9" s="16">
        <f t="shared" si="10"/>
        <v>0</v>
      </c>
      <c r="BS9" s="16">
        <f t="shared" si="2"/>
        <v>0</v>
      </c>
      <c r="BT9" s="16">
        <f t="shared" si="2"/>
        <v>1</v>
      </c>
      <c r="BU9" s="16">
        <f t="shared" si="2"/>
        <v>0</v>
      </c>
      <c r="BV9" s="16">
        <f t="shared" si="2"/>
        <v>0</v>
      </c>
      <c r="BW9" s="16">
        <f t="shared" si="2"/>
        <v>0</v>
      </c>
      <c r="BX9" s="23">
        <v>4</v>
      </c>
      <c r="BY9" s="16">
        <f t="shared" si="11"/>
        <v>0</v>
      </c>
      <c r="BZ9" s="16">
        <f t="shared" si="3"/>
        <v>0</v>
      </c>
      <c r="CA9" s="16">
        <f t="shared" si="3"/>
        <v>1</v>
      </c>
      <c r="CB9" s="16">
        <f t="shared" si="3"/>
        <v>0</v>
      </c>
      <c r="CC9" s="19">
        <f t="shared" si="3"/>
        <v>0</v>
      </c>
      <c r="CD9" s="19">
        <f t="shared" si="3"/>
        <v>0</v>
      </c>
    </row>
    <row r="10" spans="2:82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4"/>
        <v>3</v>
      </c>
      <c r="AB10" s="16">
        <f t="shared" si="5"/>
        <v>3</v>
      </c>
      <c r="AC10" s="16">
        <f t="shared" si="6"/>
        <v>2</v>
      </c>
      <c r="AD10" s="16">
        <f t="shared" si="7"/>
        <v>3</v>
      </c>
      <c r="AE10" s="16">
        <f t="shared" si="8"/>
        <v>3</v>
      </c>
      <c r="AF10" s="9">
        <f t="shared" si="0"/>
        <v>2</v>
      </c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I10" s="16">
        <v>0</v>
      </c>
      <c r="BJ10" s="22">
        <v>5</v>
      </c>
      <c r="BK10" s="16">
        <f t="shared" si="9"/>
        <v>0</v>
      </c>
      <c r="BL10" s="16">
        <f t="shared" si="1"/>
        <v>0</v>
      </c>
      <c r="BM10" s="16">
        <f t="shared" si="1"/>
        <v>1</v>
      </c>
      <c r="BN10" s="16">
        <f t="shared" si="1"/>
        <v>0</v>
      </c>
      <c r="BO10" s="16">
        <f t="shared" si="1"/>
        <v>0</v>
      </c>
      <c r="BP10" s="16">
        <f t="shared" si="1"/>
        <v>0</v>
      </c>
      <c r="BQ10" s="23">
        <v>5</v>
      </c>
      <c r="BR10" s="16">
        <f t="shared" si="10"/>
        <v>0</v>
      </c>
      <c r="BS10" s="16">
        <f t="shared" si="2"/>
        <v>0</v>
      </c>
      <c r="BT10" s="16">
        <f t="shared" si="2"/>
        <v>4</v>
      </c>
      <c r="BU10" s="16">
        <f t="shared" si="2"/>
        <v>0</v>
      </c>
      <c r="BV10" s="16">
        <f t="shared" si="2"/>
        <v>0</v>
      </c>
      <c r="BW10" s="16">
        <f t="shared" si="2"/>
        <v>0</v>
      </c>
      <c r="BX10" s="23">
        <v>5</v>
      </c>
      <c r="BY10" s="16">
        <f t="shared" si="11"/>
        <v>0</v>
      </c>
      <c r="BZ10" s="16">
        <f t="shared" si="3"/>
        <v>0</v>
      </c>
      <c r="CA10" s="16">
        <f t="shared" si="3"/>
        <v>3.4822022531844965</v>
      </c>
      <c r="CB10" s="16">
        <f t="shared" si="3"/>
        <v>0</v>
      </c>
      <c r="CC10" s="19">
        <f t="shared" si="3"/>
        <v>0</v>
      </c>
      <c r="CD10" s="19">
        <f t="shared" si="3"/>
        <v>0</v>
      </c>
    </row>
    <row r="11" spans="2:82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4"/>
        <v>4</v>
      </c>
      <c r="AB11" s="16">
        <f t="shared" si="5"/>
        <v>3</v>
      </c>
      <c r="AC11" s="16">
        <f t="shared" si="6"/>
        <v>3</v>
      </c>
      <c r="AD11" s="16">
        <f t="shared" si="7"/>
        <v>3</v>
      </c>
      <c r="AE11" s="16">
        <f t="shared" si="8"/>
        <v>3</v>
      </c>
      <c r="AF11" s="9">
        <f t="shared" si="0"/>
        <v>3</v>
      </c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I11" s="16">
        <v>0</v>
      </c>
      <c r="BJ11" s="22">
        <v>6</v>
      </c>
      <c r="BK11" s="16">
        <f t="shared" si="9"/>
        <v>0</v>
      </c>
      <c r="BL11" s="16">
        <f t="shared" si="1"/>
        <v>0</v>
      </c>
      <c r="BM11" s="16">
        <f t="shared" si="1"/>
        <v>0</v>
      </c>
      <c r="BN11" s="16">
        <f t="shared" si="1"/>
        <v>0</v>
      </c>
      <c r="BO11" s="16">
        <f t="shared" si="1"/>
        <v>1</v>
      </c>
      <c r="BP11" s="16">
        <f t="shared" si="1"/>
        <v>0</v>
      </c>
      <c r="BQ11" s="23">
        <v>6</v>
      </c>
      <c r="BR11" s="16">
        <f t="shared" si="10"/>
        <v>0</v>
      </c>
      <c r="BS11" s="16">
        <f t="shared" si="2"/>
        <v>0</v>
      </c>
      <c r="BT11" s="16">
        <f t="shared" si="2"/>
        <v>0</v>
      </c>
      <c r="BU11" s="16">
        <f t="shared" si="2"/>
        <v>0</v>
      </c>
      <c r="BV11" s="16">
        <f t="shared" si="2"/>
        <v>1</v>
      </c>
      <c r="BW11" s="16">
        <f t="shared" si="2"/>
        <v>0</v>
      </c>
      <c r="BX11" s="23">
        <v>6</v>
      </c>
      <c r="BY11" s="16">
        <f t="shared" si="11"/>
        <v>0</v>
      </c>
      <c r="BZ11" s="16">
        <f t="shared" si="3"/>
        <v>0</v>
      </c>
      <c r="CA11" s="16">
        <f t="shared" si="3"/>
        <v>0</v>
      </c>
      <c r="CB11" s="16">
        <f t="shared" si="3"/>
        <v>0</v>
      </c>
      <c r="CC11" s="19">
        <f t="shared" si="3"/>
        <v>1</v>
      </c>
      <c r="CD11" s="19">
        <f t="shared" si="3"/>
        <v>0</v>
      </c>
    </row>
    <row r="12" spans="2:82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4"/>
        <v>5</v>
      </c>
      <c r="AB12" s="16">
        <f t="shared" si="5"/>
        <v>5</v>
      </c>
      <c r="AC12" s="16">
        <f t="shared" si="6"/>
        <v>4</v>
      </c>
      <c r="AD12" s="16">
        <f t="shared" si="7"/>
        <v>4</v>
      </c>
      <c r="AE12" s="16">
        <f t="shared" si="8"/>
        <v>4</v>
      </c>
      <c r="AF12" s="9">
        <f t="shared" si="0"/>
        <v>4</v>
      </c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I12" s="16">
        <v>0</v>
      </c>
      <c r="BJ12" s="22">
        <v>7</v>
      </c>
      <c r="BK12" s="16">
        <f t="shared" si="9"/>
        <v>0</v>
      </c>
      <c r="BL12" s="16">
        <f t="shared" si="1"/>
        <v>0</v>
      </c>
      <c r="BM12" s="16">
        <f t="shared" si="1"/>
        <v>0</v>
      </c>
      <c r="BN12" s="16">
        <f t="shared" si="1"/>
        <v>0</v>
      </c>
      <c r="BO12" s="16">
        <f t="shared" si="1"/>
        <v>0</v>
      </c>
      <c r="BP12" s="16">
        <f t="shared" si="1"/>
        <v>0</v>
      </c>
      <c r="BQ12" s="23">
        <v>7</v>
      </c>
      <c r="BR12" s="16">
        <f t="shared" si="10"/>
        <v>0</v>
      </c>
      <c r="BS12" s="16">
        <f t="shared" si="2"/>
        <v>0</v>
      </c>
      <c r="BT12" s="16">
        <f t="shared" si="2"/>
        <v>0</v>
      </c>
      <c r="BU12" s="16">
        <f t="shared" si="2"/>
        <v>0</v>
      </c>
      <c r="BV12" s="16">
        <f t="shared" si="2"/>
        <v>0</v>
      </c>
      <c r="BW12" s="16">
        <f t="shared" si="2"/>
        <v>0</v>
      </c>
      <c r="BX12" s="23">
        <v>7</v>
      </c>
      <c r="BY12" s="16">
        <f t="shared" si="11"/>
        <v>0</v>
      </c>
      <c r="BZ12" s="16">
        <f t="shared" si="3"/>
        <v>0</v>
      </c>
      <c r="CA12" s="16">
        <f t="shared" si="3"/>
        <v>0</v>
      </c>
      <c r="CB12" s="16">
        <f t="shared" si="3"/>
        <v>0</v>
      </c>
      <c r="CC12" s="19">
        <f t="shared" si="3"/>
        <v>0</v>
      </c>
      <c r="CD12" s="19">
        <f t="shared" si="3"/>
        <v>0</v>
      </c>
    </row>
    <row r="13" spans="2:82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4"/>
        <v>3</v>
      </c>
      <c r="AB13" s="16">
        <f t="shared" si="5"/>
        <v>3</v>
      </c>
      <c r="AC13" s="16">
        <f t="shared" si="6"/>
        <v>2</v>
      </c>
      <c r="AD13" s="16">
        <f t="shared" si="7"/>
        <v>3</v>
      </c>
      <c r="AE13" s="16">
        <f t="shared" si="8"/>
        <v>3</v>
      </c>
      <c r="AF13" s="9">
        <f t="shared" si="0"/>
        <v>2</v>
      </c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I13" s="16">
        <v>0</v>
      </c>
      <c r="BJ13" s="22">
        <v>8</v>
      </c>
      <c r="BK13" s="16">
        <f t="shared" si="9"/>
        <v>1</v>
      </c>
      <c r="BL13" s="16">
        <f t="shared" si="1"/>
        <v>0</v>
      </c>
      <c r="BM13" s="16">
        <f t="shared" si="1"/>
        <v>0</v>
      </c>
      <c r="BN13" s="16">
        <f t="shared" si="1"/>
        <v>0</v>
      </c>
      <c r="BO13" s="16">
        <f t="shared" si="1"/>
        <v>0</v>
      </c>
      <c r="BP13" s="16">
        <f t="shared" si="1"/>
        <v>0</v>
      </c>
      <c r="BQ13" s="23">
        <v>8</v>
      </c>
      <c r="BR13" s="16">
        <f t="shared" si="10"/>
        <v>1</v>
      </c>
      <c r="BS13" s="16">
        <f t="shared" si="2"/>
        <v>0</v>
      </c>
      <c r="BT13" s="16">
        <f t="shared" si="2"/>
        <v>0</v>
      </c>
      <c r="BU13" s="16">
        <f t="shared" si="2"/>
        <v>0</v>
      </c>
      <c r="BV13" s="16">
        <f t="shared" si="2"/>
        <v>0</v>
      </c>
      <c r="BW13" s="16">
        <f t="shared" si="2"/>
        <v>0</v>
      </c>
      <c r="BX13" s="23">
        <v>8</v>
      </c>
      <c r="BY13" s="16">
        <f t="shared" si="11"/>
        <v>1</v>
      </c>
      <c r="BZ13" s="16">
        <f t="shared" si="3"/>
        <v>0</v>
      </c>
      <c r="CA13" s="16">
        <f t="shared" si="3"/>
        <v>0</v>
      </c>
      <c r="CB13" s="16">
        <f t="shared" si="3"/>
        <v>0</v>
      </c>
      <c r="CC13" s="19">
        <f t="shared" si="3"/>
        <v>0</v>
      </c>
      <c r="CD13" s="19">
        <f t="shared" si="3"/>
        <v>0</v>
      </c>
    </row>
    <row r="14" spans="2:82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4"/>
        <v>3</v>
      </c>
      <c r="AB14" s="16">
        <f t="shared" si="5"/>
        <v>3</v>
      </c>
      <c r="AC14" s="16">
        <f t="shared" si="6"/>
        <v>2</v>
      </c>
      <c r="AD14" s="16">
        <f t="shared" si="7"/>
        <v>3</v>
      </c>
      <c r="AE14" s="16">
        <f t="shared" si="8"/>
        <v>3</v>
      </c>
      <c r="AF14" s="9">
        <f t="shared" si="0"/>
        <v>2</v>
      </c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I14" s="16">
        <v>0</v>
      </c>
      <c r="BJ14" s="22">
        <v>9</v>
      </c>
      <c r="BK14" s="16">
        <f t="shared" si="9"/>
        <v>0</v>
      </c>
      <c r="BL14" s="16">
        <f t="shared" si="1"/>
        <v>0</v>
      </c>
      <c r="BM14" s="16">
        <f t="shared" si="1"/>
        <v>0</v>
      </c>
      <c r="BN14" s="16">
        <f t="shared" si="1"/>
        <v>1</v>
      </c>
      <c r="BO14" s="16">
        <f t="shared" si="1"/>
        <v>0</v>
      </c>
      <c r="BP14" s="16">
        <f t="shared" si="1"/>
        <v>0</v>
      </c>
      <c r="BQ14" s="23">
        <v>9</v>
      </c>
      <c r="BR14" s="16">
        <f t="shared" si="10"/>
        <v>0</v>
      </c>
      <c r="BS14" s="16">
        <f t="shared" si="2"/>
        <v>0</v>
      </c>
      <c r="BT14" s="16">
        <f t="shared" si="2"/>
        <v>0</v>
      </c>
      <c r="BU14" s="16">
        <f t="shared" si="2"/>
        <v>3</v>
      </c>
      <c r="BV14" s="16">
        <f t="shared" si="2"/>
        <v>0</v>
      </c>
      <c r="BW14" s="16">
        <f t="shared" si="2"/>
        <v>0</v>
      </c>
      <c r="BX14" s="23">
        <v>9</v>
      </c>
      <c r="BY14" s="16">
        <f t="shared" si="11"/>
        <v>0</v>
      </c>
      <c r="BZ14" s="16">
        <f t="shared" si="3"/>
        <v>0</v>
      </c>
      <c r="CA14" s="16">
        <f t="shared" si="3"/>
        <v>0</v>
      </c>
      <c r="CB14" s="16">
        <f t="shared" si="3"/>
        <v>2.4082246852806923</v>
      </c>
      <c r="CC14" s="19">
        <f t="shared" si="3"/>
        <v>0</v>
      </c>
      <c r="CD14" s="19">
        <f t="shared" si="3"/>
        <v>0</v>
      </c>
    </row>
    <row r="15" spans="2:82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4"/>
        <v>3</v>
      </c>
      <c r="AB15" s="16">
        <f t="shared" si="5"/>
        <v>3</v>
      </c>
      <c r="AC15" s="16">
        <f t="shared" si="6"/>
        <v>2</v>
      </c>
      <c r="AD15" s="16">
        <f t="shared" si="7"/>
        <v>3</v>
      </c>
      <c r="AE15" s="16">
        <f t="shared" si="8"/>
        <v>3</v>
      </c>
      <c r="AF15" s="9">
        <f t="shared" si="0"/>
        <v>2</v>
      </c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I15" s="16">
        <v>1</v>
      </c>
      <c r="BJ15" s="22">
        <v>10</v>
      </c>
      <c r="BK15" s="16">
        <f t="shared" si="9"/>
        <v>0</v>
      </c>
      <c r="BL15" s="16">
        <f t="shared" si="1"/>
        <v>0</v>
      </c>
      <c r="BM15" s="16">
        <f t="shared" si="1"/>
        <v>0</v>
      </c>
      <c r="BN15" s="16">
        <f t="shared" si="1"/>
        <v>0</v>
      </c>
      <c r="BO15" s="16">
        <f t="shared" si="1"/>
        <v>0</v>
      </c>
      <c r="BP15" s="16">
        <f t="shared" si="1"/>
        <v>1</v>
      </c>
      <c r="BQ15" s="23">
        <v>10</v>
      </c>
      <c r="BR15" s="16">
        <f t="shared" si="10"/>
        <v>0</v>
      </c>
      <c r="BS15" s="16">
        <f t="shared" si="2"/>
        <v>0</v>
      </c>
      <c r="BT15" s="16">
        <f t="shared" si="2"/>
        <v>0</v>
      </c>
      <c r="BU15" s="16">
        <f t="shared" si="2"/>
        <v>0</v>
      </c>
      <c r="BV15" s="16">
        <f t="shared" si="2"/>
        <v>0</v>
      </c>
      <c r="BW15" s="16">
        <f t="shared" si="2"/>
        <v>4</v>
      </c>
      <c r="BX15" s="23">
        <v>10</v>
      </c>
      <c r="BY15" s="16">
        <f t="shared" si="11"/>
        <v>0</v>
      </c>
      <c r="BZ15" s="16">
        <f t="shared" si="3"/>
        <v>0</v>
      </c>
      <c r="CA15" s="16">
        <f t="shared" si="3"/>
        <v>0</v>
      </c>
      <c r="CB15" s="16">
        <f t="shared" si="3"/>
        <v>0</v>
      </c>
      <c r="CC15" s="19">
        <f t="shared" si="3"/>
        <v>0</v>
      </c>
      <c r="CD15" s="19">
        <f t="shared" si="3"/>
        <v>3.031433133020796</v>
      </c>
    </row>
    <row r="16" spans="2:82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4"/>
        <v>6</v>
      </c>
      <c r="AB16" s="16">
        <f t="shared" si="5"/>
        <v>6</v>
      </c>
      <c r="AC16" s="16">
        <f t="shared" si="6"/>
        <v>5</v>
      </c>
      <c r="AD16" s="16">
        <f t="shared" si="7"/>
        <v>5</v>
      </c>
      <c r="AE16" s="16">
        <f t="shared" si="8"/>
        <v>5</v>
      </c>
      <c r="AF16" s="9">
        <f t="shared" si="0"/>
        <v>5</v>
      </c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I16" s="16">
        <v>0</v>
      </c>
      <c r="BJ16" s="22">
        <v>11</v>
      </c>
      <c r="BK16" s="16">
        <f t="shared" si="9"/>
        <v>0</v>
      </c>
      <c r="BL16" s="16">
        <f t="shared" si="1"/>
        <v>0</v>
      </c>
      <c r="BM16" s="16">
        <f t="shared" si="1"/>
        <v>0</v>
      </c>
      <c r="BN16" s="16">
        <f t="shared" si="1"/>
        <v>0</v>
      </c>
      <c r="BO16" s="16">
        <f t="shared" si="1"/>
        <v>0</v>
      </c>
      <c r="BP16" s="16">
        <f t="shared" si="1"/>
        <v>0</v>
      </c>
      <c r="BQ16" s="23">
        <v>11</v>
      </c>
      <c r="BR16" s="16">
        <f t="shared" si="10"/>
        <v>0</v>
      </c>
      <c r="BS16" s="16">
        <f t="shared" si="2"/>
        <v>0</v>
      </c>
      <c r="BT16" s="16">
        <f t="shared" si="2"/>
        <v>0</v>
      </c>
      <c r="BU16" s="16">
        <f t="shared" si="2"/>
        <v>0</v>
      </c>
      <c r="BV16" s="16">
        <f t="shared" si="2"/>
        <v>0</v>
      </c>
      <c r="BW16" s="16">
        <f t="shared" si="2"/>
        <v>0</v>
      </c>
      <c r="BX16" s="23">
        <v>11</v>
      </c>
      <c r="BY16" s="16">
        <f t="shared" si="11"/>
        <v>0</v>
      </c>
      <c r="BZ16" s="16">
        <f t="shared" si="3"/>
        <v>0</v>
      </c>
      <c r="CA16" s="16">
        <f t="shared" si="3"/>
        <v>0</v>
      </c>
      <c r="CB16" s="16">
        <f t="shared" si="3"/>
        <v>0</v>
      </c>
      <c r="CC16" s="19">
        <f t="shared" si="3"/>
        <v>0</v>
      </c>
      <c r="CD16" s="19">
        <f t="shared" si="3"/>
        <v>0</v>
      </c>
    </row>
    <row r="17" spans="2:82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4"/>
        <v>5</v>
      </c>
      <c r="AB17" s="16">
        <f t="shared" si="5"/>
        <v>5</v>
      </c>
      <c r="AC17" s="16">
        <f t="shared" si="6"/>
        <v>4</v>
      </c>
      <c r="AD17" s="16">
        <f t="shared" si="7"/>
        <v>4</v>
      </c>
      <c r="AE17" s="16">
        <f t="shared" si="8"/>
        <v>4</v>
      </c>
      <c r="AF17" s="9">
        <f t="shared" si="0"/>
        <v>4</v>
      </c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I17" s="16">
        <v>0</v>
      </c>
      <c r="BJ17" s="22">
        <v>12</v>
      </c>
      <c r="BK17" s="16">
        <f t="shared" si="9"/>
        <v>0</v>
      </c>
      <c r="BL17" s="16">
        <f t="shared" si="1"/>
        <v>0</v>
      </c>
      <c r="BM17" s="16">
        <f t="shared" si="1"/>
        <v>0</v>
      </c>
      <c r="BN17" s="16">
        <f t="shared" si="1"/>
        <v>1</v>
      </c>
      <c r="BO17" s="16">
        <f t="shared" si="1"/>
        <v>0</v>
      </c>
      <c r="BP17" s="16">
        <f t="shared" si="1"/>
        <v>0</v>
      </c>
      <c r="BQ17" s="23">
        <v>12</v>
      </c>
      <c r="BR17" s="16">
        <f t="shared" si="10"/>
        <v>0</v>
      </c>
      <c r="BS17" s="16">
        <f t="shared" si="2"/>
        <v>0</v>
      </c>
      <c r="BT17" s="16">
        <f t="shared" si="2"/>
        <v>0</v>
      </c>
      <c r="BU17" s="16">
        <f t="shared" si="2"/>
        <v>4</v>
      </c>
      <c r="BV17" s="16">
        <f t="shared" si="2"/>
        <v>0</v>
      </c>
      <c r="BW17" s="16">
        <f t="shared" si="2"/>
        <v>0</v>
      </c>
      <c r="BX17" s="23">
        <v>12</v>
      </c>
      <c r="BY17" s="16">
        <f t="shared" si="11"/>
        <v>0</v>
      </c>
      <c r="BZ17" s="16">
        <f t="shared" si="3"/>
        <v>0</v>
      </c>
      <c r="CA17" s="16">
        <f t="shared" si="3"/>
        <v>0</v>
      </c>
      <c r="CB17" s="16">
        <f t="shared" si="3"/>
        <v>3.031433133020796</v>
      </c>
      <c r="CC17" s="19">
        <f t="shared" si="3"/>
        <v>0</v>
      </c>
      <c r="CD17" s="19">
        <f t="shared" si="3"/>
        <v>0</v>
      </c>
    </row>
    <row r="18" spans="2:82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4"/>
        <v>5</v>
      </c>
      <c r="AB18" s="16">
        <f t="shared" si="5"/>
        <v>5</v>
      </c>
      <c r="AC18" s="16">
        <f t="shared" si="6"/>
        <v>4</v>
      </c>
      <c r="AD18" s="16">
        <f t="shared" si="7"/>
        <v>4</v>
      </c>
      <c r="AE18" s="16">
        <f t="shared" si="8"/>
        <v>4</v>
      </c>
      <c r="AF18" s="9">
        <f t="shared" si="0"/>
        <v>4</v>
      </c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I18" s="16">
        <v>0</v>
      </c>
      <c r="BJ18" s="22">
        <v>13</v>
      </c>
      <c r="BK18" s="16">
        <f t="shared" si="9"/>
        <v>0</v>
      </c>
      <c r="BL18" s="16">
        <f t="shared" si="1"/>
        <v>0</v>
      </c>
      <c r="BM18" s="16">
        <f t="shared" si="1"/>
        <v>0</v>
      </c>
      <c r="BN18" s="16">
        <f t="shared" si="1"/>
        <v>0</v>
      </c>
      <c r="BO18" s="16">
        <f t="shared" si="1"/>
        <v>0</v>
      </c>
      <c r="BP18" s="16">
        <f t="shared" si="1"/>
        <v>0</v>
      </c>
      <c r="BQ18" s="23">
        <v>13</v>
      </c>
      <c r="BR18" s="16">
        <f t="shared" si="10"/>
        <v>0</v>
      </c>
      <c r="BS18" s="16">
        <f t="shared" si="2"/>
        <v>0</v>
      </c>
      <c r="BT18" s="16">
        <f t="shared" si="2"/>
        <v>0</v>
      </c>
      <c r="BU18" s="16">
        <f t="shared" si="2"/>
        <v>0</v>
      </c>
      <c r="BV18" s="16">
        <f t="shared" si="2"/>
        <v>0</v>
      </c>
      <c r="BW18" s="16">
        <f t="shared" si="2"/>
        <v>0</v>
      </c>
      <c r="BX18" s="23">
        <v>13</v>
      </c>
      <c r="BY18" s="16">
        <f t="shared" si="11"/>
        <v>0</v>
      </c>
      <c r="BZ18" s="16">
        <f t="shared" si="3"/>
        <v>0</v>
      </c>
      <c r="CA18" s="16">
        <f t="shared" si="3"/>
        <v>0</v>
      </c>
      <c r="CB18" s="16">
        <f t="shared" si="3"/>
        <v>0</v>
      </c>
      <c r="CC18" s="19">
        <f t="shared" si="3"/>
        <v>0</v>
      </c>
      <c r="CD18" s="19">
        <f t="shared" si="3"/>
        <v>0</v>
      </c>
    </row>
    <row r="19" spans="2:82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4"/>
        <v>3</v>
      </c>
      <c r="AB19" s="16">
        <f t="shared" si="5"/>
        <v>3</v>
      </c>
      <c r="AC19" s="16">
        <f t="shared" si="6"/>
        <v>2</v>
      </c>
      <c r="AD19" s="16">
        <f t="shared" si="7"/>
        <v>3</v>
      </c>
      <c r="AE19" s="16">
        <f t="shared" si="8"/>
        <v>3</v>
      </c>
      <c r="AF19" s="9">
        <f t="shared" si="0"/>
        <v>2</v>
      </c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I19" s="16">
        <v>0</v>
      </c>
      <c r="BJ19" s="22">
        <v>14</v>
      </c>
      <c r="BK19" s="16">
        <f t="shared" si="9"/>
        <v>0</v>
      </c>
      <c r="BL19" s="16">
        <f t="shared" si="1"/>
        <v>0</v>
      </c>
      <c r="BM19" s="16">
        <f t="shared" si="1"/>
        <v>1</v>
      </c>
      <c r="BN19" s="16">
        <f t="shared" si="1"/>
        <v>0</v>
      </c>
      <c r="BO19" s="16">
        <f t="shared" si="1"/>
        <v>0</v>
      </c>
      <c r="BP19" s="16">
        <f t="shared" si="1"/>
        <v>0</v>
      </c>
      <c r="BQ19" s="23">
        <v>14</v>
      </c>
      <c r="BR19" s="16">
        <f t="shared" si="10"/>
        <v>0</v>
      </c>
      <c r="BS19" s="16">
        <f t="shared" si="2"/>
        <v>0</v>
      </c>
      <c r="BT19" s="16">
        <f t="shared" si="2"/>
        <v>4</v>
      </c>
      <c r="BU19" s="16">
        <f t="shared" si="2"/>
        <v>0</v>
      </c>
      <c r="BV19" s="16">
        <f t="shared" si="2"/>
        <v>0</v>
      </c>
      <c r="BW19" s="16">
        <f t="shared" si="2"/>
        <v>0</v>
      </c>
      <c r="BX19" s="23">
        <v>14</v>
      </c>
      <c r="BY19" s="16">
        <f t="shared" si="11"/>
        <v>0</v>
      </c>
      <c r="BZ19" s="16">
        <f t="shared" si="3"/>
        <v>0</v>
      </c>
      <c r="CA19" s="16">
        <f t="shared" si="3"/>
        <v>3.031433133020796</v>
      </c>
      <c r="CB19" s="16">
        <f t="shared" si="3"/>
        <v>0</v>
      </c>
      <c r="CC19" s="19">
        <f t="shared" si="3"/>
        <v>0</v>
      </c>
      <c r="CD19" s="19">
        <f t="shared" si="3"/>
        <v>0</v>
      </c>
    </row>
    <row r="20" spans="2:82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4"/>
        <v>4</v>
      </c>
      <c r="AB20" s="16">
        <f t="shared" si="5"/>
        <v>3</v>
      </c>
      <c r="AC20" s="16">
        <f t="shared" si="6"/>
        <v>3</v>
      </c>
      <c r="AD20" s="16">
        <f t="shared" si="7"/>
        <v>3</v>
      </c>
      <c r="AE20" s="16">
        <f t="shared" si="8"/>
        <v>3</v>
      </c>
      <c r="AF20" s="9">
        <f t="shared" si="0"/>
        <v>3</v>
      </c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I20" s="16">
        <v>0</v>
      </c>
      <c r="BJ20" s="22">
        <v>15</v>
      </c>
      <c r="BK20" s="16">
        <f t="shared" si="9"/>
        <v>0</v>
      </c>
      <c r="BL20" s="16">
        <f t="shared" si="1"/>
        <v>0</v>
      </c>
      <c r="BM20" s="16">
        <f t="shared" si="1"/>
        <v>0</v>
      </c>
      <c r="BN20" s="16">
        <f t="shared" si="1"/>
        <v>1</v>
      </c>
      <c r="BO20" s="16">
        <f t="shared" si="1"/>
        <v>0</v>
      </c>
      <c r="BP20" s="16">
        <f t="shared" si="1"/>
        <v>0</v>
      </c>
      <c r="BQ20" s="23">
        <v>15</v>
      </c>
      <c r="BR20" s="16">
        <f t="shared" si="10"/>
        <v>0</v>
      </c>
      <c r="BS20" s="16">
        <f t="shared" si="2"/>
        <v>0</v>
      </c>
      <c r="BT20" s="16">
        <f t="shared" si="2"/>
        <v>0</v>
      </c>
      <c r="BU20" s="16">
        <f t="shared" si="2"/>
        <v>4</v>
      </c>
      <c r="BV20" s="16">
        <f t="shared" si="2"/>
        <v>0</v>
      </c>
      <c r="BW20" s="16">
        <f t="shared" si="2"/>
        <v>0</v>
      </c>
      <c r="BX20" s="23">
        <v>15</v>
      </c>
      <c r="BY20" s="16">
        <f t="shared" si="11"/>
        <v>0</v>
      </c>
      <c r="BZ20" s="16">
        <f t="shared" si="3"/>
        <v>0</v>
      </c>
      <c r="CA20" s="16">
        <f t="shared" si="3"/>
        <v>0</v>
      </c>
      <c r="CB20" s="16">
        <f t="shared" si="3"/>
        <v>3.031433133020796</v>
      </c>
      <c r="CC20" s="19">
        <f t="shared" si="3"/>
        <v>0</v>
      </c>
      <c r="CD20" s="19">
        <f t="shared" si="3"/>
        <v>0</v>
      </c>
    </row>
    <row r="21" spans="2:82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4"/>
        <v>6</v>
      </c>
      <c r="AB21" s="16">
        <f t="shared" si="5"/>
        <v>6</v>
      </c>
      <c r="AC21" s="16">
        <f t="shared" si="6"/>
        <v>5</v>
      </c>
      <c r="AD21" s="16">
        <f t="shared" si="7"/>
        <v>5</v>
      </c>
      <c r="AE21" s="16">
        <f t="shared" si="8"/>
        <v>5</v>
      </c>
      <c r="AF21" s="9">
        <f t="shared" si="0"/>
        <v>5</v>
      </c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I21" s="16">
        <v>0</v>
      </c>
      <c r="BJ21" s="22">
        <v>16</v>
      </c>
      <c r="BK21" s="16">
        <f t="shared" si="9"/>
        <v>0</v>
      </c>
      <c r="BL21" s="16">
        <f t="shared" si="1"/>
        <v>0</v>
      </c>
      <c r="BM21" s="16">
        <f t="shared" si="1"/>
        <v>0</v>
      </c>
      <c r="BN21" s="16">
        <f t="shared" si="1"/>
        <v>0</v>
      </c>
      <c r="BO21" s="16">
        <f t="shared" si="1"/>
        <v>0</v>
      </c>
      <c r="BP21" s="16">
        <f t="shared" si="1"/>
        <v>0</v>
      </c>
      <c r="BQ21" s="23">
        <v>16</v>
      </c>
      <c r="BR21" s="16">
        <f t="shared" si="10"/>
        <v>0</v>
      </c>
      <c r="BS21" s="16">
        <f t="shared" si="2"/>
        <v>0</v>
      </c>
      <c r="BT21" s="16">
        <f t="shared" si="2"/>
        <v>0</v>
      </c>
      <c r="BU21" s="16">
        <f t="shared" si="2"/>
        <v>0</v>
      </c>
      <c r="BV21" s="16">
        <f t="shared" si="2"/>
        <v>0</v>
      </c>
      <c r="BW21" s="16">
        <f t="shared" si="2"/>
        <v>0</v>
      </c>
      <c r="BX21" s="23">
        <v>16</v>
      </c>
      <c r="BY21" s="16">
        <f t="shared" si="11"/>
        <v>0</v>
      </c>
      <c r="BZ21" s="16">
        <f t="shared" si="3"/>
        <v>0</v>
      </c>
      <c r="CA21" s="16">
        <f t="shared" si="3"/>
        <v>0</v>
      </c>
      <c r="CB21" s="16">
        <f t="shared" si="3"/>
        <v>0</v>
      </c>
      <c r="CC21" s="19">
        <f t="shared" si="3"/>
        <v>0</v>
      </c>
      <c r="CD21" s="19">
        <f t="shared" si="3"/>
        <v>0</v>
      </c>
    </row>
    <row r="22" spans="2:82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4"/>
        <v>5</v>
      </c>
      <c r="AB22" s="16">
        <f t="shared" si="5"/>
        <v>5</v>
      </c>
      <c r="AC22" s="16">
        <f t="shared" si="6"/>
        <v>4</v>
      </c>
      <c r="AD22" s="16">
        <f t="shared" si="7"/>
        <v>4</v>
      </c>
      <c r="AE22" s="16">
        <f t="shared" si="8"/>
        <v>4</v>
      </c>
      <c r="AF22" s="9">
        <f t="shared" si="0"/>
        <v>4</v>
      </c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I22" s="16">
        <v>0</v>
      </c>
      <c r="BJ22" s="22">
        <v>17</v>
      </c>
      <c r="BK22" s="16">
        <f t="shared" si="9"/>
        <v>0</v>
      </c>
      <c r="BL22" s="16">
        <f t="shared" si="9"/>
        <v>0</v>
      </c>
      <c r="BM22" s="16">
        <f t="shared" si="9"/>
        <v>0</v>
      </c>
      <c r="BN22" s="16">
        <f t="shared" si="9"/>
        <v>0</v>
      </c>
      <c r="BO22" s="16">
        <f t="shared" si="9"/>
        <v>0</v>
      </c>
      <c r="BP22" s="16">
        <f t="shared" si="9"/>
        <v>0</v>
      </c>
      <c r="BQ22" s="23">
        <v>17</v>
      </c>
      <c r="BR22" s="16">
        <f t="shared" si="10"/>
        <v>0</v>
      </c>
      <c r="BS22" s="16">
        <f t="shared" si="10"/>
        <v>0</v>
      </c>
      <c r="BT22" s="16">
        <f t="shared" si="10"/>
        <v>0</v>
      </c>
      <c r="BU22" s="16">
        <f t="shared" si="10"/>
        <v>0</v>
      </c>
      <c r="BV22" s="16">
        <f t="shared" si="10"/>
        <v>0</v>
      </c>
      <c r="BW22" s="16">
        <f t="shared" si="10"/>
        <v>0</v>
      </c>
      <c r="BX22" s="23">
        <v>17</v>
      </c>
      <c r="BY22" s="16">
        <f t="shared" si="11"/>
        <v>0</v>
      </c>
      <c r="BZ22" s="16">
        <f t="shared" si="11"/>
        <v>0</v>
      </c>
      <c r="CA22" s="16">
        <f t="shared" si="11"/>
        <v>0</v>
      </c>
      <c r="CB22" s="16">
        <f t="shared" si="11"/>
        <v>0</v>
      </c>
      <c r="CC22" s="19">
        <f t="shared" si="11"/>
        <v>0</v>
      </c>
      <c r="CD22" s="19">
        <f t="shared" si="11"/>
        <v>0</v>
      </c>
    </row>
    <row r="23" spans="2:82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4"/>
        <v>4</v>
      </c>
      <c r="AB23" s="16">
        <f t="shared" si="5"/>
        <v>3</v>
      </c>
      <c r="AC23" s="16">
        <f t="shared" si="6"/>
        <v>3</v>
      </c>
      <c r="AD23" s="16">
        <f t="shared" si="7"/>
        <v>3</v>
      </c>
      <c r="AE23" s="16">
        <f t="shared" si="8"/>
        <v>3</v>
      </c>
      <c r="AF23" s="9">
        <f t="shared" si="0"/>
        <v>3</v>
      </c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I23" s="16">
        <v>0</v>
      </c>
      <c r="BJ23" s="22">
        <v>18</v>
      </c>
      <c r="BK23" s="16">
        <f t="shared" si="9"/>
        <v>0</v>
      </c>
      <c r="BL23" s="16">
        <f t="shared" si="9"/>
        <v>0</v>
      </c>
      <c r="BM23" s="16">
        <f t="shared" si="9"/>
        <v>0</v>
      </c>
      <c r="BN23" s="16">
        <f t="shared" si="9"/>
        <v>0</v>
      </c>
      <c r="BO23" s="16">
        <f t="shared" si="9"/>
        <v>0</v>
      </c>
      <c r="BP23" s="16">
        <f t="shared" si="9"/>
        <v>0</v>
      </c>
      <c r="BQ23" s="23">
        <v>18</v>
      </c>
      <c r="BR23" s="16">
        <f t="shared" si="10"/>
        <v>0</v>
      </c>
      <c r="BS23" s="16">
        <f t="shared" si="10"/>
        <v>0</v>
      </c>
      <c r="BT23" s="16">
        <f t="shared" si="10"/>
        <v>0</v>
      </c>
      <c r="BU23" s="16">
        <f t="shared" si="10"/>
        <v>0</v>
      </c>
      <c r="BV23" s="16">
        <f t="shared" si="10"/>
        <v>0</v>
      </c>
      <c r="BW23" s="16">
        <f t="shared" si="10"/>
        <v>0</v>
      </c>
      <c r="BX23" s="23">
        <v>18</v>
      </c>
      <c r="BY23" s="16">
        <f t="shared" si="11"/>
        <v>0</v>
      </c>
      <c r="BZ23" s="16">
        <f t="shared" si="11"/>
        <v>0</v>
      </c>
      <c r="CA23" s="16">
        <f t="shared" si="11"/>
        <v>0</v>
      </c>
      <c r="CB23" s="16">
        <f t="shared" si="11"/>
        <v>0</v>
      </c>
      <c r="CC23" s="19">
        <f t="shared" si="11"/>
        <v>0</v>
      </c>
      <c r="CD23" s="19">
        <f t="shared" si="11"/>
        <v>0</v>
      </c>
    </row>
    <row r="24" spans="2:82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4"/>
        <v>3</v>
      </c>
      <c r="AB24" s="16">
        <f t="shared" si="5"/>
        <v>3</v>
      </c>
      <c r="AC24" s="16">
        <f t="shared" si="6"/>
        <v>2</v>
      </c>
      <c r="AD24" s="16">
        <f t="shared" si="7"/>
        <v>3</v>
      </c>
      <c r="AE24" s="16">
        <f t="shared" si="8"/>
        <v>3</v>
      </c>
      <c r="AF24" s="9">
        <f t="shared" si="0"/>
        <v>2</v>
      </c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I24" s="16">
        <v>0</v>
      </c>
      <c r="BJ24" s="22">
        <v>19</v>
      </c>
      <c r="BK24" s="16">
        <f t="shared" si="9"/>
        <v>0</v>
      </c>
      <c r="BL24" s="16">
        <f t="shared" si="9"/>
        <v>0</v>
      </c>
      <c r="BM24" s="16">
        <f t="shared" si="9"/>
        <v>0</v>
      </c>
      <c r="BN24" s="16">
        <f t="shared" si="9"/>
        <v>0</v>
      </c>
      <c r="BO24" s="16">
        <f t="shared" si="9"/>
        <v>0</v>
      </c>
      <c r="BP24" s="16">
        <f t="shared" si="9"/>
        <v>0</v>
      </c>
      <c r="BQ24" s="23">
        <v>19</v>
      </c>
      <c r="BR24" s="16">
        <f t="shared" si="10"/>
        <v>0</v>
      </c>
      <c r="BS24" s="16">
        <f t="shared" si="10"/>
        <v>0</v>
      </c>
      <c r="BT24" s="16">
        <f t="shared" si="10"/>
        <v>0</v>
      </c>
      <c r="BU24" s="16">
        <f t="shared" si="10"/>
        <v>0</v>
      </c>
      <c r="BV24" s="16">
        <f t="shared" si="10"/>
        <v>0</v>
      </c>
      <c r="BW24" s="16">
        <f t="shared" si="10"/>
        <v>0</v>
      </c>
      <c r="BX24" s="23">
        <v>19</v>
      </c>
      <c r="BY24" s="16">
        <f t="shared" si="11"/>
        <v>0</v>
      </c>
      <c r="BZ24" s="16">
        <f t="shared" si="11"/>
        <v>0</v>
      </c>
      <c r="CA24" s="16">
        <f t="shared" si="11"/>
        <v>0</v>
      </c>
      <c r="CB24" s="16">
        <f t="shared" si="11"/>
        <v>0</v>
      </c>
      <c r="CC24" s="19">
        <f t="shared" si="11"/>
        <v>0</v>
      </c>
      <c r="CD24" s="19">
        <f t="shared" si="11"/>
        <v>0</v>
      </c>
    </row>
    <row r="25" spans="2:82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4"/>
        <v>5</v>
      </c>
      <c r="AB25" s="16">
        <f t="shared" si="5"/>
        <v>5</v>
      </c>
      <c r="AC25" s="16">
        <f t="shared" si="6"/>
        <v>4</v>
      </c>
      <c r="AD25" s="16">
        <f t="shared" si="7"/>
        <v>4</v>
      </c>
      <c r="AE25" s="16">
        <f t="shared" si="8"/>
        <v>4</v>
      </c>
      <c r="AF25" s="9">
        <f t="shared" si="0"/>
        <v>4</v>
      </c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I25" s="16">
        <v>0</v>
      </c>
      <c r="BJ25" s="22">
        <v>20</v>
      </c>
      <c r="BK25" s="16">
        <f t="shared" si="9"/>
        <v>0</v>
      </c>
      <c r="BL25" s="16">
        <f t="shared" si="9"/>
        <v>0</v>
      </c>
      <c r="BM25" s="16">
        <f t="shared" si="9"/>
        <v>0</v>
      </c>
      <c r="BN25" s="16">
        <f t="shared" si="9"/>
        <v>0</v>
      </c>
      <c r="BO25" s="16">
        <f t="shared" si="9"/>
        <v>0</v>
      </c>
      <c r="BP25" s="16">
        <f t="shared" si="9"/>
        <v>0</v>
      </c>
      <c r="BQ25" s="23">
        <v>20</v>
      </c>
      <c r="BR25" s="16">
        <f t="shared" si="10"/>
        <v>0</v>
      </c>
      <c r="BS25" s="16">
        <f t="shared" si="10"/>
        <v>0</v>
      </c>
      <c r="BT25" s="16">
        <f t="shared" si="10"/>
        <v>0</v>
      </c>
      <c r="BU25" s="16">
        <f t="shared" si="10"/>
        <v>0</v>
      </c>
      <c r="BV25" s="16">
        <f t="shared" si="10"/>
        <v>0</v>
      </c>
      <c r="BW25" s="16">
        <f t="shared" si="10"/>
        <v>0</v>
      </c>
      <c r="BX25" s="23">
        <v>20</v>
      </c>
      <c r="BY25" s="16">
        <f t="shared" si="11"/>
        <v>0</v>
      </c>
      <c r="BZ25" s="16">
        <f t="shared" si="11"/>
        <v>0</v>
      </c>
      <c r="CA25" s="16">
        <f t="shared" si="11"/>
        <v>0</v>
      </c>
      <c r="CB25" s="16">
        <f t="shared" si="11"/>
        <v>0</v>
      </c>
      <c r="CC25" s="19">
        <f t="shared" si="11"/>
        <v>0</v>
      </c>
      <c r="CD25" s="19">
        <f t="shared" si="11"/>
        <v>0</v>
      </c>
    </row>
    <row r="26" spans="2:82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4"/>
        <v>4</v>
      </c>
      <c r="AB26" s="16">
        <f t="shared" si="5"/>
        <v>3</v>
      </c>
      <c r="AC26" s="16">
        <f t="shared" si="6"/>
        <v>3</v>
      </c>
      <c r="AD26" s="16">
        <f t="shared" si="7"/>
        <v>3</v>
      </c>
      <c r="AE26" s="16">
        <f t="shared" si="8"/>
        <v>3</v>
      </c>
      <c r="AF26" s="9">
        <f t="shared" si="0"/>
        <v>3</v>
      </c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1</v>
      </c>
      <c r="BI26" s="16">
        <v>0</v>
      </c>
      <c r="BJ26" s="22">
        <v>21</v>
      </c>
      <c r="BK26" s="16">
        <f t="shared" si="9"/>
        <v>0</v>
      </c>
      <c r="BL26" s="16">
        <f t="shared" si="9"/>
        <v>0</v>
      </c>
      <c r="BM26" s="16">
        <f t="shared" si="9"/>
        <v>0</v>
      </c>
      <c r="BN26" s="16">
        <f t="shared" si="9"/>
        <v>0</v>
      </c>
      <c r="BO26" s="16">
        <f t="shared" si="9"/>
        <v>1</v>
      </c>
      <c r="BP26" s="16">
        <f t="shared" si="9"/>
        <v>0</v>
      </c>
      <c r="BQ26" s="23">
        <v>21</v>
      </c>
      <c r="BR26" s="16">
        <f t="shared" si="10"/>
        <v>0</v>
      </c>
      <c r="BS26" s="16">
        <f t="shared" si="10"/>
        <v>0</v>
      </c>
      <c r="BT26" s="16">
        <f t="shared" si="10"/>
        <v>0</v>
      </c>
      <c r="BU26" s="16">
        <f t="shared" si="10"/>
        <v>0</v>
      </c>
      <c r="BV26" s="16">
        <f t="shared" si="10"/>
        <v>4</v>
      </c>
      <c r="BW26" s="16">
        <f t="shared" si="10"/>
        <v>0</v>
      </c>
      <c r="BX26" s="23">
        <v>21</v>
      </c>
      <c r="BY26" s="16">
        <f t="shared" si="11"/>
        <v>0</v>
      </c>
      <c r="BZ26" s="16">
        <f t="shared" si="11"/>
        <v>0</v>
      </c>
      <c r="CA26" s="16">
        <f t="shared" si="11"/>
        <v>0</v>
      </c>
      <c r="CB26" s="16">
        <f t="shared" si="11"/>
        <v>0</v>
      </c>
      <c r="CC26" s="19">
        <f t="shared" si="11"/>
        <v>2.2973967099940702</v>
      </c>
      <c r="CD26" s="19">
        <f t="shared" si="11"/>
        <v>0</v>
      </c>
    </row>
    <row r="27" spans="2:82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4"/>
        <v>3</v>
      </c>
      <c r="AB27" s="16">
        <f t="shared" si="5"/>
        <v>3</v>
      </c>
      <c r="AC27" s="16">
        <f t="shared" si="6"/>
        <v>2</v>
      </c>
      <c r="AD27" s="16">
        <f t="shared" si="7"/>
        <v>3</v>
      </c>
      <c r="AE27" s="16">
        <f t="shared" si="8"/>
        <v>3</v>
      </c>
      <c r="AF27" s="9">
        <f t="shared" si="0"/>
        <v>2</v>
      </c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16">
        <v>0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I27" s="16">
        <v>0</v>
      </c>
      <c r="BJ27" s="22">
        <v>22</v>
      </c>
      <c r="BK27" s="16">
        <f t="shared" si="9"/>
        <v>0</v>
      </c>
      <c r="BL27" s="16">
        <f t="shared" si="9"/>
        <v>0</v>
      </c>
      <c r="BM27" s="16">
        <f t="shared" si="9"/>
        <v>0</v>
      </c>
      <c r="BN27" s="16">
        <f t="shared" si="9"/>
        <v>0</v>
      </c>
      <c r="BO27" s="16">
        <f t="shared" si="9"/>
        <v>1</v>
      </c>
      <c r="BP27" s="16">
        <f t="shared" si="9"/>
        <v>0</v>
      </c>
      <c r="BQ27" s="23">
        <v>22</v>
      </c>
      <c r="BR27" s="16">
        <f t="shared" si="10"/>
        <v>0</v>
      </c>
      <c r="BS27" s="16">
        <f t="shared" si="10"/>
        <v>0</v>
      </c>
      <c r="BT27" s="16">
        <f t="shared" si="10"/>
        <v>0</v>
      </c>
      <c r="BU27" s="16">
        <f t="shared" si="10"/>
        <v>0</v>
      </c>
      <c r="BV27" s="16">
        <f t="shared" si="10"/>
        <v>1</v>
      </c>
      <c r="BW27" s="16">
        <f t="shared" si="10"/>
        <v>0</v>
      </c>
      <c r="BX27" s="23">
        <v>22</v>
      </c>
      <c r="BY27" s="16">
        <f t="shared" si="11"/>
        <v>0</v>
      </c>
      <c r="BZ27" s="16">
        <f t="shared" si="11"/>
        <v>0</v>
      </c>
      <c r="CA27" s="16">
        <f t="shared" si="11"/>
        <v>0</v>
      </c>
      <c r="CB27" s="16">
        <f t="shared" si="11"/>
        <v>0</v>
      </c>
      <c r="CC27" s="19">
        <f t="shared" si="11"/>
        <v>1</v>
      </c>
      <c r="CD27" s="19">
        <f t="shared" si="11"/>
        <v>0</v>
      </c>
    </row>
    <row r="28" spans="2:82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4"/>
        <v>4</v>
      </c>
      <c r="AB28" s="16">
        <f t="shared" si="5"/>
        <v>4</v>
      </c>
      <c r="AC28" s="16">
        <f t="shared" si="6"/>
        <v>3</v>
      </c>
      <c r="AD28" s="16">
        <f t="shared" si="7"/>
        <v>3</v>
      </c>
      <c r="AE28" s="16">
        <f t="shared" si="8"/>
        <v>4</v>
      </c>
      <c r="AF28" s="9">
        <f t="shared" si="0"/>
        <v>3</v>
      </c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I28" s="16">
        <v>0</v>
      </c>
      <c r="BJ28" s="22">
        <v>23</v>
      </c>
      <c r="BK28" s="16">
        <f t="shared" si="9"/>
        <v>1</v>
      </c>
      <c r="BL28" s="16">
        <f t="shared" si="9"/>
        <v>0</v>
      </c>
      <c r="BM28" s="16">
        <f t="shared" si="9"/>
        <v>0</v>
      </c>
      <c r="BN28" s="16">
        <f t="shared" si="9"/>
        <v>0</v>
      </c>
      <c r="BO28" s="16">
        <f t="shared" si="9"/>
        <v>0</v>
      </c>
      <c r="BP28" s="16">
        <f t="shared" si="9"/>
        <v>0</v>
      </c>
      <c r="BQ28" s="23">
        <v>23</v>
      </c>
      <c r="BR28" s="16">
        <f t="shared" si="10"/>
        <v>1</v>
      </c>
      <c r="BS28" s="16">
        <f t="shared" si="10"/>
        <v>0</v>
      </c>
      <c r="BT28" s="16">
        <f t="shared" si="10"/>
        <v>0</v>
      </c>
      <c r="BU28" s="16">
        <f t="shared" si="10"/>
        <v>0</v>
      </c>
      <c r="BV28" s="16">
        <f t="shared" si="10"/>
        <v>0</v>
      </c>
      <c r="BW28" s="16">
        <f t="shared" si="10"/>
        <v>0</v>
      </c>
      <c r="BX28" s="23">
        <v>23</v>
      </c>
      <c r="BY28" s="16">
        <f t="shared" si="11"/>
        <v>1</v>
      </c>
      <c r="BZ28" s="16">
        <f t="shared" si="11"/>
        <v>0</v>
      </c>
      <c r="CA28" s="16">
        <f t="shared" si="11"/>
        <v>0</v>
      </c>
      <c r="CB28" s="16">
        <f t="shared" si="11"/>
        <v>0</v>
      </c>
      <c r="CC28" s="19">
        <f t="shared" si="11"/>
        <v>0</v>
      </c>
      <c r="CD28" s="19">
        <f t="shared" si="11"/>
        <v>0</v>
      </c>
    </row>
    <row r="29" spans="2:82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4"/>
        <v>6</v>
      </c>
      <c r="AB29" s="16">
        <f t="shared" si="5"/>
        <v>6</v>
      </c>
      <c r="AC29" s="16">
        <f t="shared" si="6"/>
        <v>5</v>
      </c>
      <c r="AD29" s="16">
        <f t="shared" si="7"/>
        <v>5</v>
      </c>
      <c r="AE29" s="16">
        <f t="shared" si="8"/>
        <v>5</v>
      </c>
      <c r="AF29" s="9">
        <f t="shared" si="0"/>
        <v>5</v>
      </c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23">
        <v>24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I29" s="16">
        <v>0</v>
      </c>
      <c r="BJ29" s="22">
        <v>24</v>
      </c>
      <c r="BK29" s="16">
        <f t="shared" si="9"/>
        <v>1</v>
      </c>
      <c r="BL29" s="16">
        <f t="shared" si="9"/>
        <v>0</v>
      </c>
      <c r="BM29" s="16">
        <f t="shared" si="9"/>
        <v>0</v>
      </c>
      <c r="BN29" s="16">
        <f t="shared" si="9"/>
        <v>0</v>
      </c>
      <c r="BO29" s="16">
        <f t="shared" si="9"/>
        <v>0</v>
      </c>
      <c r="BP29" s="16">
        <f t="shared" si="9"/>
        <v>0</v>
      </c>
      <c r="BQ29" s="23">
        <v>24</v>
      </c>
      <c r="BR29" s="16">
        <f t="shared" si="10"/>
        <v>2</v>
      </c>
      <c r="BS29" s="16">
        <f t="shared" si="10"/>
        <v>0</v>
      </c>
      <c r="BT29" s="16">
        <f t="shared" si="10"/>
        <v>0</v>
      </c>
      <c r="BU29" s="16">
        <f t="shared" si="10"/>
        <v>0</v>
      </c>
      <c r="BV29" s="16">
        <f t="shared" si="10"/>
        <v>0</v>
      </c>
      <c r="BW29" s="16">
        <f t="shared" si="10"/>
        <v>0</v>
      </c>
      <c r="BX29" s="23">
        <v>24</v>
      </c>
      <c r="BY29" s="16">
        <f t="shared" si="11"/>
        <v>1.7411011265922482</v>
      </c>
      <c r="BZ29" s="16">
        <f t="shared" si="11"/>
        <v>0</v>
      </c>
      <c r="CA29" s="16">
        <f t="shared" si="11"/>
        <v>0</v>
      </c>
      <c r="CB29" s="16">
        <f t="shared" si="11"/>
        <v>0</v>
      </c>
      <c r="CC29" s="19">
        <f t="shared" si="11"/>
        <v>0</v>
      </c>
      <c r="CD29" s="19">
        <f t="shared" si="11"/>
        <v>0</v>
      </c>
    </row>
    <row r="30" spans="2:82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4"/>
        <v>3</v>
      </c>
      <c r="AB30" s="16">
        <f t="shared" si="5"/>
        <v>3</v>
      </c>
      <c r="AC30" s="16">
        <f t="shared" si="6"/>
        <v>2</v>
      </c>
      <c r="AD30" s="16">
        <f>$F$36/$I30-MOD($F$36/$I30,1)</f>
        <v>2</v>
      </c>
      <c r="AE30" s="16">
        <f t="shared" si="8"/>
        <v>2</v>
      </c>
      <c r="AF30" s="9">
        <f t="shared" si="0"/>
        <v>2</v>
      </c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I30" s="16">
        <v>0</v>
      </c>
      <c r="BJ30" s="22">
        <v>25</v>
      </c>
      <c r="BK30" s="16">
        <f t="shared" si="9"/>
        <v>0</v>
      </c>
      <c r="BL30" s="16">
        <f t="shared" si="9"/>
        <v>1</v>
      </c>
      <c r="BM30" s="16">
        <f t="shared" si="9"/>
        <v>0</v>
      </c>
      <c r="BN30" s="16">
        <f t="shared" si="9"/>
        <v>0</v>
      </c>
      <c r="BO30" s="16">
        <f t="shared" si="9"/>
        <v>0</v>
      </c>
      <c r="BP30" s="16">
        <f t="shared" si="9"/>
        <v>0</v>
      </c>
      <c r="BQ30" s="23">
        <v>25</v>
      </c>
      <c r="BR30" s="16">
        <f t="shared" si="10"/>
        <v>0</v>
      </c>
      <c r="BS30" s="16">
        <f t="shared" si="10"/>
        <v>4</v>
      </c>
      <c r="BT30" s="16">
        <f t="shared" si="10"/>
        <v>0</v>
      </c>
      <c r="BU30" s="16">
        <f t="shared" si="10"/>
        <v>0</v>
      </c>
      <c r="BV30" s="16">
        <f t="shared" si="10"/>
        <v>0</v>
      </c>
      <c r="BW30" s="16">
        <f t="shared" si="10"/>
        <v>0</v>
      </c>
      <c r="BX30" s="23">
        <v>25</v>
      </c>
      <c r="BY30" s="16">
        <f t="shared" si="11"/>
        <v>0</v>
      </c>
      <c r="BZ30" s="16">
        <f t="shared" si="11"/>
        <v>3.4822022531844965</v>
      </c>
      <c r="CA30" s="16">
        <f t="shared" si="11"/>
        <v>0</v>
      </c>
      <c r="CB30" s="16">
        <f t="shared" si="11"/>
        <v>0</v>
      </c>
      <c r="CC30" s="19">
        <f t="shared" si="11"/>
        <v>0</v>
      </c>
      <c r="CD30" s="19">
        <f t="shared" si="11"/>
        <v>0</v>
      </c>
    </row>
    <row r="31" spans="2:82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2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>
        <v>6</v>
      </c>
      <c r="C38" s="68">
        <v>40</v>
      </c>
      <c r="E38" s="1">
        <v>6</v>
      </c>
      <c r="F38" s="1">
        <v>25</v>
      </c>
      <c r="H38" s="1">
        <v>6</v>
      </c>
      <c r="I38" s="1">
        <v>0.45</v>
      </c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3</v>
      </c>
      <c r="C43" s="1">
        <v>8</v>
      </c>
      <c r="AF43" s="9"/>
    </row>
    <row r="44" spans="2:81" x14ac:dyDescent="0.3">
      <c r="B44" s="7">
        <v>16</v>
      </c>
      <c r="C44" s="1">
        <v>20</v>
      </c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39" x14ac:dyDescent="0.3">
      <c r="B49" s="7">
        <v>9</v>
      </c>
      <c r="C49" s="1">
        <v>15</v>
      </c>
      <c r="AF49" s="9"/>
    </row>
    <row r="50" spans="2:3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39" ht="16.2" thickBot="1" x14ac:dyDescent="0.35"/>
    <row r="52" spans="2:3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39" x14ac:dyDescent="0.3">
      <c r="B53" s="7"/>
      <c r="F53" s="9"/>
      <c r="H53" s="10" t="s">
        <v>2</v>
      </c>
      <c r="I53" s="38"/>
      <c r="J53" s="34"/>
    </row>
    <row r="54" spans="2:39" x14ac:dyDescent="0.3">
      <c r="B54" s="7"/>
      <c r="F54" s="9"/>
      <c r="H54" s="10" t="s">
        <v>1</v>
      </c>
      <c r="I54" s="38"/>
      <c r="J54" s="34"/>
    </row>
    <row r="55" spans="2:39" ht="16.2" thickBot="1" x14ac:dyDescent="0.35">
      <c r="B55" s="25" cm="1">
        <f t="array" ref="B55">SUMPRODUCT(MMULT(BY6:CD30*C6:C30*L6:L30*POWER(F6:F30,O6:O30),I33:I38))</f>
        <v>7165.3031686325785</v>
      </c>
      <c r="C55" s="26"/>
      <c r="D55" s="26"/>
      <c r="E55" s="26"/>
      <c r="F55" s="27"/>
      <c r="H55" s="25" t="s">
        <v>1160</v>
      </c>
      <c r="I55" s="26"/>
      <c r="J55" s="27"/>
    </row>
    <row r="56" spans="2:39" ht="16.2" thickBot="1" x14ac:dyDescent="0.35"/>
    <row r="57" spans="2:3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39" x14ac:dyDescent="0.3">
      <c r="B58" s="7"/>
      <c r="AM58" s="9"/>
    </row>
    <row r="59" spans="2:39" x14ac:dyDescent="0.3">
      <c r="B59" s="7"/>
      <c r="AM59" s="9"/>
    </row>
    <row r="60" spans="2:39" x14ac:dyDescent="0.3">
      <c r="B60" s="7"/>
      <c r="AM60" s="9"/>
    </row>
    <row r="61" spans="2:39" x14ac:dyDescent="0.3">
      <c r="B61" s="7"/>
      <c r="AM61" s="9"/>
    </row>
    <row r="62" spans="2:3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</row>
    <row r="63" spans="2:39" x14ac:dyDescent="0.3">
      <c r="B63" s="7"/>
      <c r="C63" s="1">
        <f>SUM(AI6:AN6,AP6:AT6,AW6:BB6,BD6:BI6)</f>
        <v>1</v>
      </c>
      <c r="D63" s="1" t="s">
        <v>21</v>
      </c>
      <c r="E63" s="1">
        <v>1</v>
      </c>
      <c r="H63" s="1" cm="1">
        <f t="array" ref="H63">SUM(AA6:AF6*BR6:BW6-R6*BK6:BP6)</f>
        <v>1</v>
      </c>
      <c r="I63" s="1" t="s">
        <v>24</v>
      </c>
      <c r="J63" s="1">
        <v>0</v>
      </c>
      <c r="M63" s="1" cm="1">
        <f t="array" ref="M63">SUM(AA6:AF6*BR6:BW6-U6*BK6:BP6)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-1</v>
      </c>
      <c r="S63" s="1" t="s">
        <v>21</v>
      </c>
      <c r="T63" s="1">
        <v>0</v>
      </c>
      <c r="W63" s="1">
        <f ca="1">SUM(INDIRECT(ADDRESS(5+B47,63)):INDIRECT(ADDRESS(5+B47,68)))-SUM(INDIRECT(ADDRESS(5+C47,63)):INDIRECT(ADDRESS(5+C47,68)))</f>
        <v>0</v>
      </c>
      <c r="X63" s="1" t="s">
        <v>25</v>
      </c>
      <c r="Y63" s="1">
        <v>0</v>
      </c>
      <c r="AA63" s="1" cm="1">
        <f t="array" aca="1" ref="AA63" ca="1">INDIRECT(ADDRESS(5+$B42,62+COLUMNS($A1:F1)))+INDIRECT(ADDRESS(5+$C42,62+COLUMNS($A1:F1)))</f>
        <v>0</v>
      </c>
      <c r="AB63" s="1" cm="1">
        <f t="array" aca="1" ref="AB63" ca="1">INDIRECT(ADDRESS(5+$B42,62+COLUMNS($A1:A1)))+INDIRECT(ADDRESS(5+$C42,62+COLUMNS($A1:A1)))</f>
        <v>0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1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>
        <v>1</v>
      </c>
    </row>
    <row r="64" spans="2:39" x14ac:dyDescent="0.3">
      <c r="B64" s="7"/>
      <c r="C64" s="1">
        <f t="shared" ref="C64:C87" si="12">SUM(AI7:AN7,AP7:AU7,AW7:BB7,BD7:BI7)</f>
        <v>1</v>
      </c>
      <c r="D64" s="1" t="s">
        <v>21</v>
      </c>
      <c r="E64" s="1">
        <v>1</v>
      </c>
      <c r="H64" s="1" cm="1">
        <f t="array" ref="H64">SUM(AA7:AF7*BR7:BW7-R7*BK7:BP7)</f>
        <v>3</v>
      </c>
      <c r="I64" s="1" t="s">
        <v>24</v>
      </c>
      <c r="J64" s="1">
        <v>0</v>
      </c>
      <c r="M64" s="1" cm="1">
        <f t="array" ref="M64">SUM(AA7:AF7*BR7:BW7-U7*BK7:BP7)</f>
        <v>-15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SUM(INDIRECT(ADDRESS(5+B48,63)):INDIRECT(ADDRESS(5+B48,68)))-SUM(INDIRECT(ADDRESS(5+C48,63)):INDIRECT(ADDRESS(5+C48,68)))</f>
        <v>0</v>
      </c>
      <c r="X64" s="1" t="s">
        <v>25</v>
      </c>
      <c r="Y64" s="1">
        <v>0</v>
      </c>
      <c r="AA64" s="1" cm="1">
        <f t="array" aca="1" ref="AA64" ca="1">INDIRECT(ADDRESS(5+$B43,62+COLUMNS($A2:F2)))+INDIRECT(ADDRESS(5+$C43,62+COLUMNS($A2:F2)))</f>
        <v>0</v>
      </c>
      <c r="AB64" s="1" cm="1">
        <f t="array" aca="1" ref="AB64" ca="1">INDIRECT(ADDRESS(5+$B43,62+COLUMNS($A2:A2)))+INDIRECT(ADDRESS(5+$C43,62+COLUMNS($A2:A2)))</f>
        <v>1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0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>
        <v>1</v>
      </c>
    </row>
    <row r="65" spans="2:39" x14ac:dyDescent="0.3">
      <c r="B65" s="7"/>
      <c r="C65" s="1">
        <f t="shared" si="12"/>
        <v>1</v>
      </c>
      <c r="D65" s="1" t="s">
        <v>21</v>
      </c>
      <c r="E65" s="1">
        <v>1</v>
      </c>
      <c r="H65" s="1" cm="1">
        <f t="array" ref="H65">SUM(AA8:AF8*BR8:BW8-R8*BK8:BP8)</f>
        <v>1</v>
      </c>
      <c r="I65" s="1" t="s">
        <v>24</v>
      </c>
      <c r="J65" s="1">
        <v>0</v>
      </c>
      <c r="M65" s="1" cm="1">
        <f t="array" ref="M65">SUM(AA8:AF8*BR8:BW8-U8*BK8:BP8)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SUM(INDIRECT(ADDRESS(5+B49,63)):INDIRECT(ADDRESS(5+B49,68)))-SUM(INDIRECT(ADDRESS(5+C49,63)):INDIRECT(ADDRESS(5+C49,68)))</f>
        <v>0</v>
      </c>
      <c r="X65" s="1" t="s">
        <v>25</v>
      </c>
      <c r="Y65" s="1">
        <v>0</v>
      </c>
      <c r="AA65" s="1" cm="1">
        <f t="array" aca="1" ref="AA65" ca="1">INDIRECT(ADDRESS(5+$B44,62+COLUMNS($A3:F3)))+INDIRECT(ADDRESS(5+$C44,62+COLUMNS($A3:F3)))</f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>
        <v>1</v>
      </c>
    </row>
    <row r="66" spans="2:39" x14ac:dyDescent="0.3">
      <c r="B66" s="7"/>
      <c r="C66" s="1">
        <f t="shared" si="12"/>
        <v>1</v>
      </c>
      <c r="D66" s="1" t="s">
        <v>21</v>
      </c>
      <c r="E66" s="1">
        <v>1</v>
      </c>
      <c r="H66" s="1" cm="1">
        <f t="array" ref="H66">SUM(AA9:AF9*BR9:BW9-R9*BK9:BP9)</f>
        <v>2</v>
      </c>
      <c r="I66" s="1" t="s">
        <v>24</v>
      </c>
      <c r="J66" s="1">
        <v>0</v>
      </c>
      <c r="M66" s="1" cm="1">
        <f t="array" ref="M66">SUM(AA9:AF9*BR9:BW9-U9*BK9:BP9)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SUM(INDIRECT(ADDRESS(5+B50,63)):INDIRECT(ADDRESS(5+B50,68)))-SUM(INDIRECT(ADDRESS(5+C50,63)):INDIRECT(ADDRESS(5+C50,68)))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2"/>
        <v>1</v>
      </c>
      <c r="D67" s="1" t="s">
        <v>21</v>
      </c>
      <c r="E67" s="1">
        <v>1</v>
      </c>
      <c r="F67" s="38"/>
      <c r="H67" s="1" cm="1">
        <f t="array" ref="H67">SUM(AA10:AF10*BR10:BW10-R10*BK10:BP10)</f>
        <v>7</v>
      </c>
      <c r="I67" s="1" t="s">
        <v>24</v>
      </c>
      <c r="J67" s="1">
        <v>0</v>
      </c>
      <c r="M67" s="1" cm="1">
        <f t="array" ref="M67">SUM(AA10:AF10*BR10:BW10-U10*BK10:BP10)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2"/>
        <v>1</v>
      </c>
      <c r="D68" s="1" t="s">
        <v>21</v>
      </c>
      <c r="E68" s="1">
        <v>1</v>
      </c>
      <c r="F68" s="38"/>
      <c r="H68" s="1" cm="1">
        <f t="array" ref="H68">SUM(AA11:AF11*BR11:BW11-R11*BK11:BP11)</f>
        <v>2</v>
      </c>
      <c r="I68" s="1" t="s">
        <v>24</v>
      </c>
      <c r="J68" s="1">
        <v>0</v>
      </c>
      <c r="M68" s="1" cm="1">
        <f t="array" ref="M68">SUM(AA11:AF11*BR11:BW11-U11*BK11:BP11)</f>
        <v>-18</v>
      </c>
      <c r="N68" s="1" t="s">
        <v>21</v>
      </c>
      <c r="O68" s="1">
        <v>0</v>
      </c>
      <c r="R68" s="1" cm="1">
        <f t="array" aca="1" ref="R68" ca="1">-C38+SUM(INDIRECT(ADDRESS(6,69+ROWS($A$1:A6))):INDIRECT(ADDRESS(30,69+ROWS($A$1:A6)))*$F$6:$F$30)</f>
        <v>0</v>
      </c>
      <c r="S68" s="1" t="s">
        <v>21</v>
      </c>
      <c r="T68" s="1">
        <v>0</v>
      </c>
      <c r="AM68" s="9"/>
    </row>
    <row r="69" spans="2:39" x14ac:dyDescent="0.3">
      <c r="B69" s="10"/>
      <c r="C69" s="1">
        <f t="shared" si="12"/>
        <v>0</v>
      </c>
      <c r="D69" s="1" t="s">
        <v>21</v>
      </c>
      <c r="E69" s="1">
        <v>1</v>
      </c>
      <c r="F69" s="38"/>
      <c r="H69" s="1" cm="1">
        <f t="array" ref="H69">SUM(AA12:AF12*BR12:BW12-R12*BK12:BP12)</f>
        <v>0</v>
      </c>
      <c r="I69" s="1" t="s">
        <v>24</v>
      </c>
      <c r="J69" s="1">
        <v>0</v>
      </c>
      <c r="M69" s="1" cm="1">
        <f t="array" ref="M69">SUM(AA12:AF12*BR12:BW12-U12*BK12:BP12)</f>
        <v>0</v>
      </c>
      <c r="N69" s="1" t="s">
        <v>21</v>
      </c>
      <c r="O69" s="1">
        <v>0</v>
      </c>
      <c r="W69" s="1" t="s">
        <v>1169</v>
      </c>
      <c r="AE69" s="1" t="s">
        <v>1170</v>
      </c>
      <c r="AM69" s="9"/>
    </row>
    <row r="70" spans="2:39" x14ac:dyDescent="0.3">
      <c r="B70" s="10"/>
      <c r="C70" s="1">
        <f t="shared" si="12"/>
        <v>1</v>
      </c>
      <c r="D70" s="1" t="s">
        <v>21</v>
      </c>
      <c r="E70" s="1">
        <v>1</v>
      </c>
      <c r="F70" s="38"/>
      <c r="H70" s="1" cm="1">
        <f t="array" ref="H70">SUM(AA13:AF13*BR13:BW13-R13*BK13:BP13)</f>
        <v>2</v>
      </c>
      <c r="I70" s="1" t="s">
        <v>24</v>
      </c>
      <c r="J70" s="1">
        <v>0</v>
      </c>
      <c r="M70" s="1" cm="1">
        <f t="array" ref="M70">SUM(AA13:AF13*BR13:BW13-U13*BK13:BP13)</f>
        <v>-15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2"/>
        <v>1</v>
      </c>
      <c r="D71" s="1" t="s">
        <v>21</v>
      </c>
      <c r="E71" s="1">
        <v>1</v>
      </c>
      <c r="F71" s="38"/>
      <c r="H71" s="1" cm="1">
        <f t="array" ref="H71">SUM(AA14:AF14*BR14:BW14-R14*BK14:BP14)</f>
        <v>7</v>
      </c>
      <c r="I71" s="1" t="s">
        <v>24</v>
      </c>
      <c r="J71" s="1">
        <v>0</v>
      </c>
      <c r="M71" s="1" cm="1">
        <f t="array" ref="M71">SUM(AA14:AF14*BR14:BW14-U14*BK14:BP14)</f>
        <v>-2</v>
      </c>
      <c r="N71" s="1" t="s">
        <v>21</v>
      </c>
      <c r="O71" s="1">
        <v>0</v>
      </c>
      <c r="R71" s="1" t="s">
        <v>1171</v>
      </c>
      <c r="AM71" s="9"/>
    </row>
    <row r="72" spans="2:39" x14ac:dyDescent="0.3">
      <c r="B72" s="10"/>
      <c r="C72" s="1">
        <f t="shared" si="12"/>
        <v>1</v>
      </c>
      <c r="D72" s="1" t="s">
        <v>21</v>
      </c>
      <c r="E72" s="1">
        <v>1</v>
      </c>
      <c r="F72" s="38"/>
      <c r="H72" s="1" cm="1">
        <f t="array" ref="H72">SUM(AA15:AF15*BR15:BW15-R15*BK15:BP15)</f>
        <v>7</v>
      </c>
      <c r="I72" s="1" t="s">
        <v>24</v>
      </c>
      <c r="J72" s="1">
        <v>0</v>
      </c>
      <c r="M72" s="1" cm="1">
        <f t="array" ref="M72">SUM(AA15:AF15*BR15:BW15-U15*BK15:BP15)</f>
        <v>-3</v>
      </c>
      <c r="N72" s="1" t="s">
        <v>21</v>
      </c>
      <c r="O72" s="1">
        <v>0</v>
      </c>
      <c r="AM72" s="9"/>
    </row>
    <row r="73" spans="2:39" x14ac:dyDescent="0.3">
      <c r="B73" s="10"/>
      <c r="C73" s="1">
        <f t="shared" si="12"/>
        <v>0</v>
      </c>
      <c r="D73" s="1" t="s">
        <v>21</v>
      </c>
      <c r="E73" s="1">
        <v>1</v>
      </c>
      <c r="F73" s="38"/>
      <c r="H73" s="1" cm="1">
        <f t="array" ref="H73">SUM(AA16:AF16*BR16:BW16-R16*BK16:BP16)</f>
        <v>0</v>
      </c>
      <c r="I73" s="1" t="s">
        <v>24</v>
      </c>
      <c r="J73" s="1">
        <v>0</v>
      </c>
      <c r="M73" s="1" cm="1">
        <f t="array" ref="M73">SUM(AA16:AF16*BR16:BW16-U16*BK16:BP16)</f>
        <v>0</v>
      </c>
      <c r="N73" s="1" t="s">
        <v>21</v>
      </c>
      <c r="O73" s="1">
        <v>0</v>
      </c>
      <c r="AM73" s="9"/>
    </row>
    <row r="74" spans="2:39" x14ac:dyDescent="0.3">
      <c r="B74" s="10"/>
      <c r="C74" s="1">
        <f t="shared" si="12"/>
        <v>1</v>
      </c>
      <c r="D74" s="1" t="s">
        <v>21</v>
      </c>
      <c r="E74" s="1">
        <v>1</v>
      </c>
      <c r="F74" s="38"/>
      <c r="H74" s="1" cm="1">
        <f t="array" ref="H74">SUM(AA17:AF17*BR17:BW17-R17*BK17:BP17)</f>
        <v>14</v>
      </c>
      <c r="I74" s="1" t="s">
        <v>24</v>
      </c>
      <c r="J74" s="1">
        <v>0</v>
      </c>
      <c r="M74" s="1" cm="1">
        <f t="array" ref="M74">SUM(AA17:AF17*BR17:BW17-U17*BK17:BP17)</f>
        <v>-6</v>
      </c>
      <c r="N74" s="1" t="s">
        <v>21</v>
      </c>
      <c r="O74" s="1">
        <v>0</v>
      </c>
      <c r="AM74" s="9"/>
    </row>
    <row r="75" spans="2:39" x14ac:dyDescent="0.3">
      <c r="B75" s="10"/>
      <c r="C75" s="1">
        <f t="shared" si="12"/>
        <v>0</v>
      </c>
      <c r="D75" s="1" t="s">
        <v>21</v>
      </c>
      <c r="E75" s="1">
        <v>1</v>
      </c>
      <c r="F75" s="38"/>
      <c r="H75" s="1" cm="1">
        <f t="array" ref="H75">SUM(AA18:AF18*BR18:BW18-R18*BK18:BP18)</f>
        <v>0</v>
      </c>
      <c r="I75" s="1" t="s">
        <v>24</v>
      </c>
      <c r="J75" s="1">
        <v>0</v>
      </c>
      <c r="M75" s="1" cm="1">
        <f t="array" ref="M75">SUM(AA18:AF18*BR18:BW18-U18*BK18:BP18)</f>
        <v>0</v>
      </c>
      <c r="N75" s="1" t="s">
        <v>21</v>
      </c>
      <c r="O75" s="1">
        <v>0</v>
      </c>
      <c r="AM75" s="9"/>
    </row>
    <row r="76" spans="2:39" x14ac:dyDescent="0.3">
      <c r="B76" s="7"/>
      <c r="C76" s="1">
        <f t="shared" si="12"/>
        <v>1</v>
      </c>
      <c r="D76" s="1" t="s">
        <v>21</v>
      </c>
      <c r="E76" s="1">
        <v>1</v>
      </c>
      <c r="H76" s="1" cm="1">
        <f t="array" ref="H76">SUM(AA19:AF19*BR19:BW19-R19*BK19:BP19)</f>
        <v>5</v>
      </c>
      <c r="I76" s="1" t="s">
        <v>24</v>
      </c>
      <c r="J76" s="1">
        <v>0</v>
      </c>
      <c r="M76" s="1" cm="1">
        <f t="array" ref="M76">SUM(AA19:AF19*BR19:BW19-U19*BK19:BP19)</f>
        <v>-4</v>
      </c>
      <c r="N76" s="1" t="s">
        <v>21</v>
      </c>
      <c r="O76" s="1">
        <v>0</v>
      </c>
      <c r="AM76" s="9"/>
    </row>
    <row r="77" spans="2:39" x14ac:dyDescent="0.3">
      <c r="B77" s="7"/>
      <c r="C77" s="1">
        <f t="shared" si="12"/>
        <v>1</v>
      </c>
      <c r="D77" s="1" t="s">
        <v>21</v>
      </c>
      <c r="E77" s="1">
        <v>1</v>
      </c>
      <c r="H77" s="1" cm="1">
        <f t="array" ref="H77">SUM(AA20:AF20*BR20:BW20-R20*BK20:BP20)</f>
        <v>9</v>
      </c>
      <c r="I77" s="1" t="s">
        <v>24</v>
      </c>
      <c r="J77" s="1">
        <v>0</v>
      </c>
      <c r="M77" s="1" cm="1">
        <f t="array" ref="M77">SUM(AA20:AF20*BR20:BW20-U20*BK20:BP20)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2"/>
        <v>0</v>
      </c>
      <c r="D78" s="1" t="s">
        <v>21</v>
      </c>
      <c r="E78" s="1">
        <v>1</v>
      </c>
      <c r="H78" s="1" cm="1">
        <f t="array" ref="H78">SUM(AA21:AF21*BR21:BW21-R21*BK21:BP21)</f>
        <v>0</v>
      </c>
      <c r="I78" s="1" t="s">
        <v>24</v>
      </c>
      <c r="J78" s="1">
        <v>0</v>
      </c>
      <c r="M78" s="1" cm="1">
        <f t="array" ref="M78">SUM(AA21:AF21*BR21:BW21-U21*BK21:BP21)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2"/>
        <v>0</v>
      </c>
      <c r="D79" s="1" t="s">
        <v>21</v>
      </c>
      <c r="E79" s="1">
        <v>1</v>
      </c>
      <c r="H79" s="1" cm="1">
        <f t="array" ref="H79">SUM(AA22:AF22*BR22:BW22-R22*BK22:BP22)</f>
        <v>0</v>
      </c>
      <c r="I79" s="1" t="s">
        <v>24</v>
      </c>
      <c r="J79" s="1">
        <v>0</v>
      </c>
      <c r="M79" s="1" cm="1">
        <f t="array" ref="M79">SUM(AA22:AF22*BR22:BW22-U22*BK22:BP22)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2"/>
        <v>0</v>
      </c>
      <c r="D80" s="1" t="s">
        <v>21</v>
      </c>
      <c r="E80" s="1">
        <v>1</v>
      </c>
      <c r="H80" s="1" cm="1">
        <f t="array" ref="H80">SUM(AA23:AF23*BR23:BW23-R23*BK23:BP23)</f>
        <v>0</v>
      </c>
      <c r="I80" s="1" t="s">
        <v>24</v>
      </c>
      <c r="J80" s="1">
        <v>0</v>
      </c>
      <c r="M80" s="1" cm="1">
        <f t="array" ref="M80">SUM(AA23:AF23*BR23:BW23-U23*BK23:BP23)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2"/>
        <v>0</v>
      </c>
      <c r="D81" s="1" t="s">
        <v>21</v>
      </c>
      <c r="E81" s="1">
        <v>1</v>
      </c>
      <c r="H81" s="1" cm="1">
        <f t="array" ref="H81">SUM(AA24:AF24*BR24:BW24-R24*BK24:BP24)</f>
        <v>0</v>
      </c>
      <c r="I81" s="1" t="s">
        <v>24</v>
      </c>
      <c r="J81" s="1">
        <v>0</v>
      </c>
      <c r="M81" s="1" cm="1">
        <f t="array" ref="M81">SUM(AA24:AF24*BR24:BW24-U24*BK24:BP24)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2"/>
        <v>0</v>
      </c>
      <c r="D82" s="1" t="s">
        <v>21</v>
      </c>
      <c r="E82" s="1">
        <v>1</v>
      </c>
      <c r="H82" s="1" cm="1">
        <f t="array" ref="H82">SUM(AA25:AF25*BR25:BW25-R25*BK25:BP25)</f>
        <v>0</v>
      </c>
      <c r="I82" s="1" t="s">
        <v>24</v>
      </c>
      <c r="J82" s="1">
        <v>0</v>
      </c>
      <c r="M82" s="1" cm="1">
        <f t="array" ref="M82">SUM(AA25:AF25*BR25:BW25-U25*BK25:BP25)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2"/>
        <v>1</v>
      </c>
      <c r="D83" s="1" t="s">
        <v>21</v>
      </c>
      <c r="E83" s="1">
        <v>1</v>
      </c>
      <c r="H83" s="1" cm="1">
        <f t="array" ref="H83">SUM(AA26:AF26*BR26:BW26-R26*BK26:BP26)</f>
        <v>10</v>
      </c>
      <c r="I83" s="1" t="s">
        <v>24</v>
      </c>
      <c r="J83" s="1">
        <v>0</v>
      </c>
      <c r="M83" s="1" cm="1">
        <f t="array" ref="M83">SUM(AA26:AF26*BR26:BW26-U26*BK26:BP26)</f>
        <v>-12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2"/>
        <v>1</v>
      </c>
      <c r="D84" s="1" t="s">
        <v>21</v>
      </c>
      <c r="E84" s="1">
        <v>1</v>
      </c>
      <c r="H84" s="1" cm="1">
        <f t="array" ref="H84">SUM(AA27:AF27*BR27:BW27-R27*BK27:BP27)</f>
        <v>2</v>
      </c>
      <c r="I84" s="1" t="s">
        <v>24</v>
      </c>
      <c r="J84" s="1">
        <v>0</v>
      </c>
      <c r="M84" s="1" cm="1">
        <f t="array" ref="M84">SUM(AA27:AF27*BR27:BW27-U27*BK27:BP27)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2"/>
        <v>1</v>
      </c>
      <c r="D85" s="1" t="s">
        <v>21</v>
      </c>
      <c r="E85" s="1">
        <v>1</v>
      </c>
      <c r="H85" s="1" cm="1">
        <f t="array" ref="H85">SUM(AA28:AF28*BR28:BW28-R28*BK28:BP28)</f>
        <v>2</v>
      </c>
      <c r="I85" s="1" t="s">
        <v>24</v>
      </c>
      <c r="J85" s="1">
        <v>0</v>
      </c>
      <c r="M85" s="1" cm="1">
        <f t="array" ref="M85">SUM(AA28:AF28*BR28:BW28-U28*BK28:BP28)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2"/>
        <v>1</v>
      </c>
      <c r="D86" s="1" t="s">
        <v>21</v>
      </c>
      <c r="E86" s="1">
        <v>1</v>
      </c>
      <c r="H86" s="1" cm="1">
        <f t="array" ref="H86">SUM(AA29:AF29*BR29:BW29-R29*BK29:BP29)</f>
        <v>11</v>
      </c>
      <c r="I86" s="1" t="s">
        <v>24</v>
      </c>
      <c r="J86" s="1">
        <v>0</v>
      </c>
      <c r="M86" s="1" cm="1">
        <f t="array" ref="M86">SUM(AA29:AF29*BR29:BW29-U29*BK29:BP29)</f>
        <v>-4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 t="shared" si="12"/>
        <v>1</v>
      </c>
      <c r="D87" s="1" t="s">
        <v>21</v>
      </c>
      <c r="E87" s="1">
        <v>1</v>
      </c>
      <c r="H87" s="1" cm="1">
        <f t="array" ref="H87">SUM(AA30:AF30*BR30:BW30-R30*BK30:BP30)</f>
        <v>10</v>
      </c>
      <c r="I87" s="1" t="s">
        <v>24</v>
      </c>
      <c r="J87" s="1">
        <v>0</v>
      </c>
      <c r="M87" s="1" cm="1">
        <f t="array" ref="M87">SUM(AA30:AF30*BR30:BW30-U30*BK30:BP30)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C89" s="1" t="s">
        <v>1172</v>
      </c>
      <c r="H89" s="1" t="s">
        <v>1172</v>
      </c>
      <c r="M89" s="1" t="s">
        <v>1172</v>
      </c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2EC6-D452-4344-8EAD-E3372129990D}">
  <dimension ref="A1:CC120"/>
  <sheetViews>
    <sheetView topLeftCell="A19" zoomScale="55" zoomScaleNormal="55" workbookViewId="0">
      <selection activeCell="AH48" sqref="AH48:AH54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1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0</v>
      </c>
      <c r="BO6" s="16">
        <f t="shared" si="0"/>
        <v>1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0</v>
      </c>
      <c r="BV6" s="16">
        <f t="shared" si="1"/>
        <v>2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0</v>
      </c>
      <c r="CC6" s="19">
        <f t="shared" si="2"/>
        <v>1.4142135623730951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0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1</v>
      </c>
      <c r="BQ7" s="23">
        <v>2</v>
      </c>
      <c r="BR7" s="16">
        <f t="shared" ref="BR7:BV30" si="9">AI7+AP7*2+AW7*3+BD7*4</f>
        <v>0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1</v>
      </c>
      <c r="BX7" s="23">
        <v>2</v>
      </c>
      <c r="BY7" s="16">
        <f t="shared" ref="BY7:CC30" si="10">AI7+AP7*POWER(2,$O7)+AW7*POWER(3,$O7)+BD7*POWER(4,$O7)</f>
        <v>0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1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0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0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1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1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1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0</v>
      </c>
      <c r="BO14" s="16">
        <f t="shared" si="0"/>
        <v>1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0</v>
      </c>
      <c r="BV14" s="16">
        <f t="shared" si="1"/>
        <v>3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0</v>
      </c>
      <c r="CC14" s="19">
        <f t="shared" si="2"/>
        <v>2.4082246852806923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1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1</v>
      </c>
      <c r="BO15" s="16">
        <f t="shared" si="0"/>
        <v>0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2</v>
      </c>
      <c r="BV15" s="16">
        <f t="shared" si="1"/>
        <v>0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1.7411011265922482</v>
      </c>
      <c r="CC15" s="19">
        <f t="shared" si="2"/>
        <v>0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1</v>
      </c>
      <c r="BO26" s="16">
        <f t="shared" si="8"/>
        <v>0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1</v>
      </c>
      <c r="BV26" s="16">
        <f t="shared" si="9"/>
        <v>0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1</v>
      </c>
      <c r="CC26" s="19">
        <f t="shared" si="10"/>
        <v>0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1</v>
      </c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1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/>
      <c r="C38" s="68"/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3</v>
      </c>
      <c r="C43" s="1">
        <v>8</v>
      </c>
      <c r="AF43" s="9"/>
    </row>
    <row r="44" spans="2:81" x14ac:dyDescent="0.3">
      <c r="B44" s="7">
        <v>16</v>
      </c>
      <c r="C44" s="1">
        <v>20</v>
      </c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44" x14ac:dyDescent="0.3">
      <c r="B49" s="7">
        <v>9</v>
      </c>
      <c r="C49" s="1">
        <v>15</v>
      </c>
      <c r="AF49" s="9"/>
    </row>
    <row r="50" spans="2:44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44" ht="16.2" thickBot="1" x14ac:dyDescent="0.35"/>
    <row r="52" spans="2:44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44" x14ac:dyDescent="0.3">
      <c r="B53" s="7"/>
      <c r="F53" s="9"/>
      <c r="H53" s="10" t="s">
        <v>2</v>
      </c>
      <c r="I53" s="38"/>
      <c r="J53" s="34"/>
    </row>
    <row r="54" spans="2:44" x14ac:dyDescent="0.3">
      <c r="B54" s="7"/>
      <c r="F54" s="9"/>
      <c r="H54" s="10" t="s">
        <v>1</v>
      </c>
      <c r="I54" s="38"/>
      <c r="J54" s="34"/>
    </row>
    <row r="55" spans="2:44" ht="16.2" thickBot="1" x14ac:dyDescent="0.35">
      <c r="B55" s="25" cm="1">
        <f t="array" ref="B55">SUMPRODUCT(MMULT(BY6:CC30*C6:C30*L6:L30*POWER(F6:F30,O6:O30),I33:I37))</f>
        <v>6845.9007972353684</v>
      </c>
      <c r="C55" s="26"/>
      <c r="D55" s="26"/>
      <c r="E55" s="26"/>
      <c r="F55" s="27"/>
      <c r="H55" s="25" t="s">
        <v>1160</v>
      </c>
      <c r="I55" s="26"/>
      <c r="J55" s="27"/>
    </row>
    <row r="56" spans="2:44" ht="16.2" thickBot="1" x14ac:dyDescent="0.35"/>
    <row r="57" spans="2:44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44" x14ac:dyDescent="0.3">
      <c r="B58" s="7"/>
      <c r="AM58" s="9"/>
    </row>
    <row r="59" spans="2:44" x14ac:dyDescent="0.3">
      <c r="B59" s="7"/>
      <c r="AM59" s="9"/>
    </row>
    <row r="60" spans="2:44" x14ac:dyDescent="0.3">
      <c r="B60" s="7"/>
      <c r="AM60" s="9"/>
    </row>
    <row r="61" spans="2:44" x14ac:dyDescent="0.3">
      <c r="B61" s="7"/>
      <c r="AM61" s="9"/>
    </row>
    <row r="62" spans="2:44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  <c r="AO62" s="1" t="s">
        <v>37</v>
      </c>
    </row>
    <row r="63" spans="2:44" x14ac:dyDescent="0.3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6</v>
      </c>
      <c r="I63" s="1" t="s">
        <v>24</v>
      </c>
      <c r="J63" s="1">
        <v>0</v>
      </c>
      <c r="M63" s="1" cm="1">
        <f t="array" ref="M63">SUM(AA6:AE6*BR6:BV6-U6*BK6:BO6)</f>
        <v>-7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-50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0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1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AP63" s="1">
        <f>SUM(AI6:AI30)</f>
        <v>0</v>
      </c>
      <c r="AQ63" s="1" t="s">
        <v>25</v>
      </c>
      <c r="AR63" s="1">
        <v>0</v>
      </c>
    </row>
    <row r="64" spans="2:44" x14ac:dyDescent="0.3">
      <c r="B64" s="7"/>
      <c r="C64" s="1">
        <f t="shared" ref="C64:C86" si="11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3</v>
      </c>
      <c r="I64" s="1" t="s">
        <v>24</v>
      </c>
      <c r="J64" s="1">
        <v>0</v>
      </c>
      <c r="M64" s="1" cm="1">
        <f t="array" ref="M64">SUM(AA7:AE7*BR7:BV7-U7*BK7:BO7)</f>
        <v>-15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B64" s="1" cm="1">
        <f t="array" aca="1" ref="AB64" ca="1">INDIRECT(ADDRESS(5+$B43,62+COLUMNS($A2:A2)))+INDIRECT(ADDRESS(5+$C43,62+COLUMNS($A2:A2)))</f>
        <v>0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1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AP64" s="1">
        <f>SUM(AP6:AP30)</f>
        <v>0</v>
      </c>
      <c r="AQ64" s="1" t="s">
        <v>25</v>
      </c>
      <c r="AR64" s="1">
        <v>0</v>
      </c>
    </row>
    <row r="65" spans="2:44" x14ac:dyDescent="0.3">
      <c r="B65" s="7"/>
      <c r="C65" s="1">
        <f t="shared" si="11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  <c r="AP65" s="1">
        <f>SUM(AW6:AW30)</f>
        <v>0</v>
      </c>
      <c r="AQ65" s="1" t="s">
        <v>25</v>
      </c>
      <c r="AR65" s="1">
        <v>0</v>
      </c>
    </row>
    <row r="66" spans="2:44" x14ac:dyDescent="0.3">
      <c r="B66" s="7"/>
      <c r="C66" s="1">
        <f t="shared" si="11"/>
        <v>1</v>
      </c>
      <c r="D66" s="1" t="s">
        <v>21</v>
      </c>
      <c r="E66" s="1">
        <v>1</v>
      </c>
      <c r="H66" s="1" cm="1">
        <f t="array" ref="H66">SUM(AA9:AE9*BR9:BV9-R9*BK9:BO9)</f>
        <v>2</v>
      </c>
      <c r="I66" s="1" t="s">
        <v>24</v>
      </c>
      <c r="J66" s="1">
        <v>0</v>
      </c>
      <c r="M66" s="1" cm="1">
        <f t="array" ref="M66">SUM(AA9:AE9*BR9:BV9-U9*BK9:BO9)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0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  <c r="AP66" s="1">
        <f>SUM(BD6:BD30)</f>
        <v>0</v>
      </c>
      <c r="AQ66" s="1" t="s">
        <v>25</v>
      </c>
      <c r="AR66" s="1">
        <v>0</v>
      </c>
    </row>
    <row r="67" spans="2:44" x14ac:dyDescent="0.3">
      <c r="B67" s="7"/>
      <c r="C67" s="1">
        <f t="shared" si="11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44" x14ac:dyDescent="0.3">
      <c r="B68" s="10"/>
      <c r="C68" s="1">
        <f t="shared" si="11"/>
        <v>0</v>
      </c>
      <c r="D68" s="1" t="s">
        <v>21</v>
      </c>
      <c r="E68" s="1">
        <v>1</v>
      </c>
      <c r="F68" s="38"/>
      <c r="H68" s="1" cm="1">
        <f t="array" ref="H68">SUM(AA11:AE11*BR11:BV11-R11*BK11:BO11)</f>
        <v>0</v>
      </c>
      <c r="I68" s="1" t="s">
        <v>24</v>
      </c>
      <c r="J68" s="1">
        <v>0</v>
      </c>
      <c r="M68" s="1" cm="1">
        <f t="array" ref="M68">SUM(AA11:AE11*BR11:BV11-U11*BK11:BO11)</f>
        <v>0</v>
      </c>
      <c r="N68" s="1" t="s">
        <v>21</v>
      </c>
      <c r="O68" s="1">
        <v>0</v>
      </c>
      <c r="AM68" s="9"/>
    </row>
    <row r="69" spans="2:44" x14ac:dyDescent="0.3">
      <c r="B69" s="10"/>
      <c r="C69" s="1">
        <f t="shared" si="11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44" x14ac:dyDescent="0.3">
      <c r="B70" s="10"/>
      <c r="C70" s="1">
        <f t="shared" si="11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2</v>
      </c>
      <c r="I70" s="1" t="s">
        <v>24</v>
      </c>
      <c r="J70" s="1">
        <v>0</v>
      </c>
      <c r="M70" s="1" cm="1">
        <f t="array" ref="M70">SUM(AA13:AE13*BR13:BV13-U13*BK13:BO13)</f>
        <v>-15</v>
      </c>
      <c r="N70" s="1" t="s">
        <v>21</v>
      </c>
      <c r="O70" s="1">
        <v>0</v>
      </c>
      <c r="AM70" s="9"/>
    </row>
    <row r="71" spans="2:44" x14ac:dyDescent="0.3">
      <c r="B71" s="10"/>
      <c r="C71" s="1">
        <f t="shared" si="11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AM71" s="9"/>
    </row>
    <row r="72" spans="2:44" x14ac:dyDescent="0.3">
      <c r="B72" s="10"/>
      <c r="C72" s="1">
        <f t="shared" si="11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5</v>
      </c>
      <c r="I72" s="1" t="s">
        <v>24</v>
      </c>
      <c r="J72" s="1">
        <v>0</v>
      </c>
      <c r="M72" s="1" cm="1">
        <f t="array" ref="M72">SUM(AA15:AE15*BR15:BV15-U15*BK15:BO15)</f>
        <v>-5</v>
      </c>
      <c r="N72" s="1" t="s">
        <v>21</v>
      </c>
      <c r="O72" s="1">
        <v>0</v>
      </c>
      <c r="AM72" s="9"/>
    </row>
    <row r="73" spans="2:44" x14ac:dyDescent="0.3">
      <c r="B73" s="10"/>
      <c r="C73" s="1">
        <f t="shared" si="11"/>
        <v>0</v>
      </c>
      <c r="D73" s="1" t="s">
        <v>21</v>
      </c>
      <c r="E73" s="1">
        <v>1</v>
      </c>
      <c r="F73" s="38"/>
      <c r="H73" s="1" cm="1">
        <f t="array" ref="H73">SUM(AA16:AE16*BR16:BV16-R16*BK16:BO16)</f>
        <v>0</v>
      </c>
      <c r="I73" s="1" t="s">
        <v>24</v>
      </c>
      <c r="J73" s="1">
        <v>0</v>
      </c>
      <c r="M73" s="1" cm="1">
        <f t="array" ref="M73">SUM(AA16:AE16*BR16:BV16-U16*BK16:BO16)</f>
        <v>0</v>
      </c>
      <c r="N73" s="1" t="s">
        <v>21</v>
      </c>
      <c r="O73" s="1">
        <v>0</v>
      </c>
      <c r="AM73" s="9"/>
    </row>
    <row r="74" spans="2:44" x14ac:dyDescent="0.3">
      <c r="B74" s="10"/>
      <c r="C74" s="1">
        <f t="shared" si="11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AM74" s="9"/>
    </row>
    <row r="75" spans="2:44" x14ac:dyDescent="0.3">
      <c r="B75" s="10"/>
      <c r="C75" s="1">
        <f t="shared" si="11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AM75" s="9"/>
    </row>
    <row r="76" spans="2:44" x14ac:dyDescent="0.3">
      <c r="B76" s="7"/>
      <c r="C76" s="1">
        <f t="shared" si="11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AM76" s="9"/>
    </row>
    <row r="77" spans="2:44" x14ac:dyDescent="0.3">
      <c r="B77" s="7"/>
      <c r="C77" s="1">
        <f t="shared" si="11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44" x14ac:dyDescent="0.3">
      <c r="B78" s="7"/>
      <c r="C78" s="1">
        <f t="shared" si="11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44" x14ac:dyDescent="0.3">
      <c r="B79" s="7"/>
      <c r="C79" s="1">
        <f t="shared" si="11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44" x14ac:dyDescent="0.3">
      <c r="B80" s="7"/>
      <c r="C80" s="1">
        <f t="shared" si="11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1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1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1"/>
        <v>1</v>
      </c>
      <c r="D83" s="1" t="s">
        <v>21</v>
      </c>
      <c r="E83" s="1">
        <v>1</v>
      </c>
      <c r="H83" s="1" cm="1">
        <f t="array" ref="H83">SUM(AA26:AE26*BR26:BV26-R26*BK26:BO26)</f>
        <v>1</v>
      </c>
      <c r="I83" s="1" t="s">
        <v>24</v>
      </c>
      <c r="J83" s="1">
        <v>0</v>
      </c>
      <c r="M83" s="1" cm="1">
        <f t="array" ref="M83">SUM(AA26:AE26*BR26:BV26-U26*BK26:BO26)</f>
        <v>-21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1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1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1"/>
        <v>1</v>
      </c>
      <c r="D86" s="1" t="s">
        <v>21</v>
      </c>
      <c r="E86" s="1">
        <v>1</v>
      </c>
      <c r="H86" s="1" cm="1">
        <f t="array" ref="H86">SUM(AA29:AE29*BR29:BV29-R29*BK29:BO29)</f>
        <v>4</v>
      </c>
      <c r="I86" s="1" t="s">
        <v>24</v>
      </c>
      <c r="J86" s="1">
        <v>0</v>
      </c>
      <c r="M86" s="1" cm="1">
        <f t="array" ref="M86">SUM(AA29:AE29*BR29:BV29-U29*BK29:BO29)</f>
        <v>-11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C301-4E90-497D-9182-8BC3D95936BB}">
  <dimension ref="A1:CC120"/>
  <sheetViews>
    <sheetView topLeftCell="A27" zoomScale="55" zoomScaleNormal="55" workbookViewId="0">
      <selection activeCell="AH53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7.88671875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1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1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1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1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3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2.4082246852806923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1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2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1.515716566510398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1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0</v>
      </c>
      <c r="BQ27" s="23">
        <v>22</v>
      </c>
      <c r="BR27" s="16">
        <f t="shared" si="9"/>
        <v>1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0</v>
      </c>
      <c r="BX27" s="23">
        <v>22</v>
      </c>
      <c r="BY27" s="16">
        <f t="shared" si="10"/>
        <v>1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0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1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0</v>
      </c>
      <c r="BQ28" s="23">
        <v>23</v>
      </c>
      <c r="BR28" s="16">
        <f t="shared" si="9"/>
        <v>1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0</v>
      </c>
      <c r="BX28" s="23">
        <v>23</v>
      </c>
      <c r="BY28" s="16">
        <f t="shared" si="10"/>
        <v>1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0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3</v>
      </c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2.4082246852806923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115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  <c r="BJ37" s="62" t="s">
        <v>1165</v>
      </c>
    </row>
    <row r="38" spans="2:81" x14ac:dyDescent="0.3">
      <c r="B38" s="32"/>
      <c r="C38" s="6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</row>
    <row r="39" spans="2:81" x14ac:dyDescent="0.3">
      <c r="B39" s="7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AF40" s="9"/>
      <c r="BJ40" s="16">
        <v>2</v>
      </c>
      <c r="BK40" s="61" cm="1">
        <f t="array" aca="1" ref="BK40" ca="1">BY7*$C7*$L7*POWER($F7,$O7)*INDIRECT(ADDRESS(32+COLUMNS($A$1:A2),9))</f>
        <v>31.036911478307196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0</v>
      </c>
      <c r="BP40" s="1">
        <f t="shared" ref="BP40:BP64" ca="1" si="11">SUM(BK40:BO40)</f>
        <v>31.036911478307196</v>
      </c>
    </row>
    <row r="41" spans="2:81" x14ac:dyDescent="0.3">
      <c r="B41" s="10" t="s">
        <v>19</v>
      </c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11"/>
        <v>194.4787916031315</v>
      </c>
    </row>
    <row r="42" spans="2:81" x14ac:dyDescent="0.3">
      <c r="B42" s="7">
        <v>2</v>
      </c>
      <c r="C42" s="1">
        <v>5</v>
      </c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11"/>
        <v>61.982472786971179</v>
      </c>
    </row>
    <row r="43" spans="2:81" x14ac:dyDescent="0.3">
      <c r="B43" s="7">
        <v>3</v>
      </c>
      <c r="C43" s="1">
        <v>8</v>
      </c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11"/>
        <v>1383.6776951677273</v>
      </c>
    </row>
    <row r="44" spans="2:81" x14ac:dyDescent="0.3">
      <c r="B44" s="7">
        <v>16</v>
      </c>
      <c r="C44" s="1">
        <v>20</v>
      </c>
      <c r="AF44" s="9"/>
      <c r="BJ44" s="16">
        <v>6</v>
      </c>
      <c r="BK44" s="61" cm="1">
        <f t="array" aca="1" ref="BK44" ca="1">BY11*$C11*$L11*POWER($F11,$O11)*INDIRECT(ADDRESS(32+COLUMNS($A$1:A6),9))</f>
        <v>14.333707577554534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11"/>
        <v>14.333707577554534</v>
      </c>
    </row>
    <row r="45" spans="2:81" x14ac:dyDescent="0.3">
      <c r="B45" s="7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11"/>
        <v>0</v>
      </c>
    </row>
    <row r="46" spans="2:81" x14ac:dyDescent="0.3">
      <c r="B46" s="10" t="s">
        <v>20</v>
      </c>
      <c r="AF46" s="9"/>
      <c r="BJ46" s="16">
        <v>8</v>
      </c>
      <c r="BK46" s="61" cm="1">
        <f t="array" aca="1" ref="BK46" ca="1">BY13*$C13*$L13*POWER($F13,$O13)*INDIRECT(ADDRESS(32+COLUMNS($A$1:A8),9))</f>
        <v>0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14.585909370234862</v>
      </c>
      <c r="BP46" s="1">
        <f t="shared" ca="1" si="11"/>
        <v>14.585909370234862</v>
      </c>
    </row>
    <row r="47" spans="2:81" x14ac:dyDescent="0.3">
      <c r="B47" s="7">
        <v>1</v>
      </c>
      <c r="C47" s="1">
        <v>12</v>
      </c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11"/>
        <v>293.2988134700031</v>
      </c>
    </row>
    <row r="48" spans="2:81" x14ac:dyDescent="0.3">
      <c r="B48" s="7">
        <v>3</v>
      </c>
      <c r="C48" s="1">
        <v>8</v>
      </c>
      <c r="AF48" s="9"/>
      <c r="BJ48" s="16">
        <v>10</v>
      </c>
      <c r="BK48" s="61" cm="1">
        <f t="array" aca="1" ref="BK48" ca="1">BY15*$C15*$L15*POWER($F15,$O15)*INDIRECT(ADDRESS(32+COLUMNS($A$1:A10),9))</f>
        <v>0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125.3576818177493</v>
      </c>
      <c r="BP48" s="1">
        <f t="shared" ca="1" si="11"/>
        <v>125.3576818177493</v>
      </c>
    </row>
    <row r="49" spans="2:69" x14ac:dyDescent="0.3">
      <c r="B49" s="7">
        <v>9</v>
      </c>
      <c r="C49" s="1">
        <v>15</v>
      </c>
      <c r="AF49" s="9"/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11"/>
        <v>0</v>
      </c>
    </row>
    <row r="50" spans="2:6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11"/>
        <v>369.11634255085556</v>
      </c>
    </row>
    <row r="51" spans="2:69" ht="16.2" thickBot="1" x14ac:dyDescent="0.35"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11"/>
        <v>0</v>
      </c>
    </row>
    <row r="52" spans="2:6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11"/>
        <v>1871.9999999999998</v>
      </c>
    </row>
    <row r="53" spans="2:69" x14ac:dyDescent="0.3">
      <c r="B53" s="7"/>
      <c r="F53" s="9"/>
      <c r="H53" s="10" t="s">
        <v>2</v>
      </c>
      <c r="I53" s="38"/>
      <c r="J53" s="34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11"/>
        <v>812.23925749895227</v>
      </c>
    </row>
    <row r="54" spans="2:69" x14ac:dyDescent="0.3">
      <c r="B54" s="7"/>
      <c r="F54" s="9"/>
      <c r="H54" s="10" t="s">
        <v>1</v>
      </c>
      <c r="I54" s="38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11"/>
        <v>0</v>
      </c>
    </row>
    <row r="55" spans="2:69" ht="16.2" thickBot="1" x14ac:dyDescent="0.35">
      <c r="B55" s="25" cm="1">
        <f t="array" ref="B55">SUMPRODUCT(MMULT(BY6:CC30*C6:C30*L6:L30*POWER(F6:F30,O6:O30),I33:I37))</f>
        <v>6958.7030298687978</v>
      </c>
      <c r="C55" s="26"/>
      <c r="D55" s="26"/>
      <c r="E55" s="26"/>
      <c r="F55" s="27"/>
      <c r="H55" s="25" t="s">
        <v>1160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11"/>
        <v>0</v>
      </c>
    </row>
    <row r="56" spans="2:69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11"/>
        <v>0</v>
      </c>
    </row>
    <row r="57" spans="2:6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11"/>
        <v>0</v>
      </c>
    </row>
    <row r="58" spans="2:69" x14ac:dyDescent="0.3">
      <c r="B58" s="7"/>
      <c r="AM58" s="9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11"/>
        <v>0</v>
      </c>
    </row>
    <row r="59" spans="2:69" x14ac:dyDescent="0.3">
      <c r="B59" s="7"/>
      <c r="AM59" s="9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146.33698473728819</v>
      </c>
      <c r="BP59" s="1">
        <f t="shared" ca="1" si="11"/>
        <v>146.33698473728819</v>
      </c>
    </row>
    <row r="60" spans="2:69" x14ac:dyDescent="0.3">
      <c r="B60" s="7"/>
      <c r="AM60" s="9"/>
      <c r="BJ60" s="16">
        <v>22</v>
      </c>
      <c r="BK60" s="61" cm="1">
        <f t="array" aca="1" ref="BK60" ca="1">BY27*$C27*$L27*POWER($F27,$O27)*INDIRECT(ADDRESS(32+COLUMNS($A$1:A22),9))</f>
        <v>53.577862653738528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0</v>
      </c>
      <c r="BP60" s="1">
        <f t="shared" ca="1" si="11"/>
        <v>53.577862653738528</v>
      </c>
    </row>
    <row r="61" spans="2:69" x14ac:dyDescent="0.3">
      <c r="B61" s="7"/>
      <c r="AM61" s="9"/>
      <c r="BJ61" s="16">
        <v>23</v>
      </c>
      <c r="BK61" s="61" cm="1">
        <f t="array" aca="1" ref="BK61" ca="1">BY28*$C28*$L28*POWER($F28,$O28)*INDIRECT(ADDRESS(32+COLUMNS($A$1:A23),9))</f>
        <v>56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0</v>
      </c>
      <c r="BP61" s="1">
        <f t="shared" ca="1" si="11"/>
        <v>56</v>
      </c>
    </row>
    <row r="62" spans="2:6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99.441905274565627</v>
      </c>
      <c r="BP62" s="1">
        <f t="shared" ca="1" si="11"/>
        <v>99.441905274565627</v>
      </c>
    </row>
    <row r="63" spans="2:69" ht="16.2" thickBot="1" x14ac:dyDescent="0.35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1</v>
      </c>
      <c r="I63" s="1" t="s">
        <v>24</v>
      </c>
      <c r="J63" s="1">
        <v>0</v>
      </c>
      <c r="M63" s="1" cm="1">
        <f t="array" ref="M63">SUM(AA6:AE6*BR6:BV6-U6*BK6:BO6)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11"/>
        <v>1317.3966981156575</v>
      </c>
    </row>
    <row r="64" spans="2:69" ht="16.2" thickBot="1" x14ac:dyDescent="0.35">
      <c r="B64" s="7"/>
      <c r="C64" s="1">
        <f t="shared" ref="C64:C86" si="12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4</v>
      </c>
      <c r="I64" s="1" t="s">
        <v>24</v>
      </c>
      <c r="J64" s="1">
        <v>0</v>
      </c>
      <c r="M64" s="1" cm="1">
        <f t="array" ref="M64">SUM(AA7:AE7*BR7:BV7-U7*BK7:BO7)</f>
        <v>-14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B64" s="1" cm="1">
        <f t="array" aca="1" ref="AB64" ca="1">INDIRECT(ADDRESS(5+$B43,62+COLUMNS($A2:A2)))+INDIRECT(ADDRESS(5+$C43,62+COLUMNS($A2:A2)))</f>
        <v>0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1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BJ64" s="62" t="s">
        <v>1168</v>
      </c>
      <c r="BK64" s="1">
        <f ca="1">SUM(BK39:BK63)</f>
        <v>154.94848170960026</v>
      </c>
      <c r="BL64" s="1">
        <f t="shared" ref="BL64:BO64" ca="1" si="13">SUM(BL39:BL63)</f>
        <v>1317.3966981156575</v>
      </c>
      <c r="BM64" s="1">
        <f t="shared" ca="1" si="13"/>
        <v>3512.1389595578294</v>
      </c>
      <c r="BN64" s="1">
        <f t="shared" ca="1" si="13"/>
        <v>1588.4964092858727</v>
      </c>
      <c r="BO64" s="1">
        <f t="shared" ca="1" si="13"/>
        <v>385.722481199838</v>
      </c>
      <c r="BP64" s="59">
        <f t="shared" ca="1" si="11"/>
        <v>6958.7030298687969</v>
      </c>
      <c r="BQ64" s="1" t="s">
        <v>1167</v>
      </c>
    </row>
    <row r="65" spans="2:39" x14ac:dyDescent="0.3">
      <c r="B65" s="7"/>
      <c r="C65" s="1">
        <f t="shared" si="12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</row>
    <row r="66" spans="2:39" x14ac:dyDescent="0.3">
      <c r="B66" s="7"/>
      <c r="C66" s="1">
        <f t="shared" si="12"/>
        <v>1</v>
      </c>
      <c r="D66" s="1" t="s">
        <v>21</v>
      </c>
      <c r="E66" s="1">
        <v>1</v>
      </c>
      <c r="H66" s="1" cm="1">
        <f t="array" ref="H66">SUM(AA9:AE9*BR9:BV9-R9*BK9:BO9)</f>
        <v>2</v>
      </c>
      <c r="I66" s="1" t="s">
        <v>24</v>
      </c>
      <c r="J66" s="1">
        <v>0</v>
      </c>
      <c r="M66" s="1" cm="1">
        <f t="array" ref="M66">SUM(AA9:AE9*BR9:BV9-U9*BK9:BO9)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2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2"/>
        <v>1</v>
      </c>
      <c r="D68" s="1" t="s">
        <v>21</v>
      </c>
      <c r="E68" s="1">
        <v>1</v>
      </c>
      <c r="F68" s="38"/>
      <c r="H68" s="1" cm="1">
        <f t="array" ref="H68">SUM(AA11:AE11*BR11:BV11-R11*BK11:BO11)</f>
        <v>3</v>
      </c>
      <c r="I68" s="1" t="s">
        <v>24</v>
      </c>
      <c r="J68" s="1">
        <v>0</v>
      </c>
      <c r="M68" s="1" cm="1">
        <f t="array" ref="M68">SUM(AA11:AE11*BR11:BV11-U11*BK11:BO11)</f>
        <v>-17</v>
      </c>
      <c r="N68" s="1" t="s">
        <v>21</v>
      </c>
      <c r="O68" s="1">
        <v>0</v>
      </c>
      <c r="AM68" s="9"/>
    </row>
    <row r="69" spans="2:39" x14ac:dyDescent="0.3">
      <c r="B69" s="10"/>
      <c r="C69" s="1">
        <f t="shared" si="12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39" x14ac:dyDescent="0.3">
      <c r="B70" s="10"/>
      <c r="C70" s="1">
        <f t="shared" si="12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2</v>
      </c>
      <c r="I70" s="1" t="s">
        <v>24</v>
      </c>
      <c r="J70" s="1">
        <v>0</v>
      </c>
      <c r="M70" s="1" cm="1">
        <f t="array" ref="M70">SUM(AA13:AE13*BR13:BV13-U13*BK13:BO13)</f>
        <v>-15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2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AM71" s="9"/>
    </row>
    <row r="72" spans="2:39" x14ac:dyDescent="0.3">
      <c r="B72" s="10"/>
      <c r="C72" s="1">
        <f t="shared" si="12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8</v>
      </c>
      <c r="I72" s="1" t="s">
        <v>24</v>
      </c>
      <c r="J72" s="1">
        <v>0</v>
      </c>
      <c r="M72" s="1" cm="1">
        <f t="array" ref="M72">SUM(AA15:AE15*BR15:BV15-U15*BK15:BO15)</f>
        <v>-2</v>
      </c>
      <c r="N72" s="1" t="s">
        <v>21</v>
      </c>
      <c r="O72" s="1">
        <v>0</v>
      </c>
      <c r="AM72" s="9"/>
    </row>
    <row r="73" spans="2:39" x14ac:dyDescent="0.3">
      <c r="B73" s="10"/>
      <c r="C73" s="1">
        <f t="shared" si="12"/>
        <v>0</v>
      </c>
      <c r="D73" s="1" t="s">
        <v>21</v>
      </c>
      <c r="E73" s="1">
        <v>1</v>
      </c>
      <c r="F73" s="38"/>
      <c r="H73" s="1" cm="1">
        <f t="array" ref="H73">SUM(AA16:AE16*BR16:BV16-R16*BK16:BO16)</f>
        <v>0</v>
      </c>
      <c r="I73" s="1" t="s">
        <v>24</v>
      </c>
      <c r="J73" s="1">
        <v>0</v>
      </c>
      <c r="M73" s="1" cm="1">
        <f t="array" ref="M73">SUM(AA16:AE16*BR16:BV16-U16*BK16:BO16)</f>
        <v>0</v>
      </c>
      <c r="N73" s="1" t="s">
        <v>21</v>
      </c>
      <c r="O73" s="1">
        <v>0</v>
      </c>
      <c r="AM73" s="9"/>
    </row>
    <row r="74" spans="2:39" x14ac:dyDescent="0.3">
      <c r="B74" s="10"/>
      <c r="C74" s="1">
        <f t="shared" si="12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AM74" s="9"/>
    </row>
    <row r="75" spans="2:39" x14ac:dyDescent="0.3">
      <c r="B75" s="10"/>
      <c r="C75" s="1">
        <f t="shared" si="12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AM75" s="9"/>
    </row>
    <row r="76" spans="2:39" x14ac:dyDescent="0.3">
      <c r="B76" s="7"/>
      <c r="C76" s="1">
        <f t="shared" si="12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AM76" s="9"/>
    </row>
    <row r="77" spans="2:39" x14ac:dyDescent="0.3">
      <c r="B77" s="7"/>
      <c r="C77" s="1">
        <f t="shared" si="12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2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2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2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2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2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2"/>
        <v>1</v>
      </c>
      <c r="D83" s="1" t="s">
        <v>21</v>
      </c>
      <c r="E83" s="1">
        <v>1</v>
      </c>
      <c r="H83" s="1" cm="1">
        <f t="array" ref="H83">SUM(AA26:AE26*BR26:BV26-R26*BK26:BO26)</f>
        <v>4</v>
      </c>
      <c r="I83" s="1" t="s">
        <v>24</v>
      </c>
      <c r="J83" s="1">
        <v>0</v>
      </c>
      <c r="M83" s="1" cm="1">
        <f t="array" ref="M83">SUM(AA26:AE26*BR26:BV26-U26*BK26:BO26)</f>
        <v>-18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2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2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2"/>
        <v>1</v>
      </c>
      <c r="D86" s="1" t="s">
        <v>21</v>
      </c>
      <c r="E86" s="1">
        <v>1</v>
      </c>
      <c r="H86" s="1" cm="1">
        <f t="array" ref="H86">SUM(AA29:AE29*BR29:BV29-R29*BK29:BO29)</f>
        <v>14</v>
      </c>
      <c r="I86" s="1" t="s">
        <v>24</v>
      </c>
      <c r="J86" s="1">
        <v>0</v>
      </c>
      <c r="M86" s="1" cm="1">
        <f t="array" ref="M86">SUM(AA29:AE29*BR29:BV29-U29*BK29:BO29)</f>
        <v>-1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8DEF-4AAE-4BE2-894D-00095E376689}">
  <dimension ref="A1:GS197"/>
  <sheetViews>
    <sheetView topLeftCell="A40" zoomScale="55" zoomScaleNormal="55" workbookViewId="0">
      <selection activeCell="AH48" sqref="AH48:AH53"/>
    </sheetView>
  </sheetViews>
  <sheetFormatPr defaultRowHeight="14.4" x14ac:dyDescent="0.3"/>
  <sheetData>
    <row r="1" spans="1:201" ht="16.2" thickBot="1" x14ac:dyDescent="0.35">
      <c r="A1" s="1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 ht="15.6" x14ac:dyDescent="0.3">
      <c r="A2" s="1"/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G2" s="1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I2" s="1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  <row r="3" spans="1:201" ht="15.6" x14ac:dyDescent="0.3">
      <c r="A3" s="1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"/>
      <c r="AG3" s="1"/>
      <c r="AH3" s="10" t="s">
        <v>27</v>
      </c>
      <c r="AI3" s="38"/>
      <c r="AJ3" s="38"/>
      <c r="AK3" s="38"/>
      <c r="AL3" s="38"/>
      <c r="AM3" s="38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9"/>
      <c r="BI3" s="1"/>
      <c r="BJ3" s="7"/>
      <c r="BK3" s="1"/>
      <c r="BL3" s="1"/>
      <c r="BM3" s="1"/>
      <c r="BN3" s="1"/>
      <c r="BO3" s="1"/>
      <c r="BP3" s="1"/>
      <c r="BQ3" s="1" t="s">
        <v>1163</v>
      </c>
      <c r="BR3" s="1"/>
      <c r="BS3" s="1"/>
      <c r="BT3" s="1"/>
      <c r="BU3" s="1"/>
      <c r="BV3" s="1"/>
      <c r="BW3" s="1"/>
      <c r="BX3" s="1" t="s">
        <v>1164</v>
      </c>
      <c r="BY3" s="1"/>
      <c r="BZ3" s="1"/>
      <c r="CA3" s="1"/>
      <c r="CB3" s="1"/>
      <c r="CC3" s="9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</row>
    <row r="4" spans="1:201" ht="15.6" x14ac:dyDescent="0.3">
      <c r="A4" s="1"/>
      <c r="B4" s="7"/>
      <c r="C4" s="1"/>
      <c r="D4" s="1"/>
      <c r="E4" s="1"/>
      <c r="F4" s="38"/>
      <c r="G4" s="38"/>
      <c r="H4" s="38"/>
      <c r="I4" s="38"/>
      <c r="J4" s="38"/>
      <c r="K4" s="3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8</v>
      </c>
      <c r="AA4" s="1"/>
      <c r="AB4" s="1"/>
      <c r="AC4" s="1"/>
      <c r="AD4" s="1"/>
      <c r="AE4" s="1"/>
      <c r="AF4" s="9"/>
      <c r="AG4" s="63"/>
      <c r="AH4" s="7" t="s">
        <v>28</v>
      </c>
      <c r="AI4" s="38"/>
      <c r="AJ4" s="38"/>
      <c r="AK4" s="38"/>
      <c r="AL4" s="38"/>
      <c r="AM4" s="38"/>
      <c r="AN4" s="1"/>
      <c r="AO4" s="1" t="s">
        <v>31</v>
      </c>
      <c r="AP4" s="38"/>
      <c r="AQ4" s="38"/>
      <c r="AR4" s="38"/>
      <c r="AS4" s="38"/>
      <c r="AT4" s="38"/>
      <c r="AU4" s="1"/>
      <c r="AV4" s="1" t="s">
        <v>30</v>
      </c>
      <c r="AW4" s="38"/>
      <c r="AX4" s="38"/>
      <c r="AY4" s="38"/>
      <c r="AZ4" s="38"/>
      <c r="BA4" s="38"/>
      <c r="BB4" s="1"/>
      <c r="BC4" s="1" t="s">
        <v>29</v>
      </c>
      <c r="BD4" s="38"/>
      <c r="BE4" s="38"/>
      <c r="BF4" s="38"/>
      <c r="BG4" s="38"/>
      <c r="BH4" s="34"/>
      <c r="BI4" s="1"/>
      <c r="BJ4" s="7" t="s">
        <v>35</v>
      </c>
      <c r="BK4" s="1"/>
      <c r="BL4" s="1"/>
      <c r="BM4" s="1"/>
      <c r="BN4" s="1"/>
      <c r="BO4" s="1"/>
      <c r="BP4" s="1"/>
      <c r="BQ4" s="1" t="s">
        <v>1162</v>
      </c>
      <c r="BR4" s="1"/>
      <c r="BS4" s="1"/>
      <c r="BT4" s="1"/>
      <c r="BU4" s="1"/>
      <c r="BV4" s="58"/>
      <c r="BW4" s="1"/>
      <c r="BX4" s="1" t="s">
        <v>1161</v>
      </c>
      <c r="BY4" s="1"/>
      <c r="BZ4" s="1"/>
      <c r="CA4" s="1"/>
      <c r="CB4" s="1"/>
      <c r="CC4" s="9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</row>
    <row r="5" spans="1:201" ht="15.6" x14ac:dyDescent="0.3">
      <c r="A5" s="1"/>
      <c r="B5" s="13"/>
      <c r="C5" s="38" t="s">
        <v>9</v>
      </c>
      <c r="D5" s="1"/>
      <c r="E5" s="64"/>
      <c r="F5" s="38" t="s">
        <v>10</v>
      </c>
      <c r="G5" s="1"/>
      <c r="H5" s="64"/>
      <c r="I5" s="38" t="s">
        <v>11</v>
      </c>
      <c r="J5" s="1"/>
      <c r="K5" s="64"/>
      <c r="L5" s="38" t="s">
        <v>12</v>
      </c>
      <c r="M5" s="1"/>
      <c r="N5" s="64"/>
      <c r="O5" s="38" t="s">
        <v>13</v>
      </c>
      <c r="P5" s="1"/>
      <c r="Q5" s="64"/>
      <c r="R5" s="38" t="s">
        <v>14</v>
      </c>
      <c r="S5" s="1"/>
      <c r="T5" s="63"/>
      <c r="U5" s="38" t="s">
        <v>15</v>
      </c>
      <c r="V5" s="1"/>
      <c r="W5" s="1"/>
      <c r="X5" s="1"/>
      <c r="Y5" s="1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G5" s="1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1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1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1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I5" s="1"/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1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1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</row>
    <row r="6" spans="1:201" ht="15.6" x14ac:dyDescent="0.3">
      <c r="A6" s="1"/>
      <c r="B6" s="41">
        <v>1</v>
      </c>
      <c r="C6" s="65">
        <v>15</v>
      </c>
      <c r="D6" s="1"/>
      <c r="E6" s="42">
        <v>1</v>
      </c>
      <c r="F6" s="66">
        <v>10</v>
      </c>
      <c r="G6" s="1"/>
      <c r="H6" s="42">
        <v>1</v>
      </c>
      <c r="I6" s="64">
        <v>7</v>
      </c>
      <c r="J6" s="1"/>
      <c r="K6" s="42">
        <v>1</v>
      </c>
      <c r="L6" s="64">
        <v>4</v>
      </c>
      <c r="M6" s="1"/>
      <c r="N6" s="42">
        <v>1</v>
      </c>
      <c r="O6" s="64">
        <v>0.5</v>
      </c>
      <c r="P6" s="1"/>
      <c r="Q6" s="42">
        <v>1</v>
      </c>
      <c r="R6" s="64">
        <v>2</v>
      </c>
      <c r="S6" s="1"/>
      <c r="T6" s="42">
        <v>1</v>
      </c>
      <c r="U6" s="65">
        <v>15</v>
      </c>
      <c r="V6" s="1"/>
      <c r="W6" s="1"/>
      <c r="X6" s="1"/>
      <c r="Y6" s="1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G6" s="1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1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I6" s="1"/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1"/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1"/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</row>
    <row r="7" spans="1:201" ht="15.6" x14ac:dyDescent="0.3">
      <c r="A7" s="1"/>
      <c r="B7" s="41">
        <v>2</v>
      </c>
      <c r="C7" s="65">
        <v>8</v>
      </c>
      <c r="D7" s="1"/>
      <c r="E7" s="42">
        <v>2</v>
      </c>
      <c r="F7" s="67">
        <v>9</v>
      </c>
      <c r="G7" s="1"/>
      <c r="H7" s="42">
        <v>2</v>
      </c>
      <c r="I7" s="64">
        <v>6</v>
      </c>
      <c r="J7" s="1"/>
      <c r="K7" s="42">
        <v>2</v>
      </c>
      <c r="L7" s="64">
        <v>10</v>
      </c>
      <c r="M7" s="1"/>
      <c r="N7" s="42">
        <v>2</v>
      </c>
      <c r="O7" s="64">
        <v>0.2</v>
      </c>
      <c r="P7" s="1"/>
      <c r="Q7" s="42">
        <v>2</v>
      </c>
      <c r="R7" s="64">
        <v>1</v>
      </c>
      <c r="S7" s="1"/>
      <c r="T7" s="42">
        <v>2</v>
      </c>
      <c r="U7" s="65">
        <v>19</v>
      </c>
      <c r="V7" s="1"/>
      <c r="W7" s="1"/>
      <c r="X7" s="1"/>
      <c r="Y7" s="1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G7" s="1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N7" s="1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I7" s="1"/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P7" s="1"/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W7" s="1"/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</row>
    <row r="8" spans="1:201" ht="15.6" x14ac:dyDescent="0.3">
      <c r="A8" s="1"/>
      <c r="B8" s="41">
        <v>3</v>
      </c>
      <c r="C8" s="65">
        <v>12</v>
      </c>
      <c r="D8" s="1"/>
      <c r="E8" s="42">
        <v>3</v>
      </c>
      <c r="F8" s="67">
        <v>5</v>
      </c>
      <c r="G8" s="1"/>
      <c r="H8" s="42">
        <v>3</v>
      </c>
      <c r="I8" s="64">
        <v>10</v>
      </c>
      <c r="J8" s="1"/>
      <c r="K8" s="42">
        <v>3</v>
      </c>
      <c r="L8" s="64">
        <v>10</v>
      </c>
      <c r="M8" s="1"/>
      <c r="N8" s="42">
        <v>3</v>
      </c>
      <c r="O8" s="64">
        <v>0.3</v>
      </c>
      <c r="P8" s="1"/>
      <c r="Q8" s="42">
        <v>3</v>
      </c>
      <c r="R8" s="64">
        <v>1</v>
      </c>
      <c r="S8" s="1"/>
      <c r="T8" s="42">
        <v>3</v>
      </c>
      <c r="U8" s="65">
        <v>23</v>
      </c>
      <c r="V8" s="1"/>
      <c r="W8" s="1"/>
      <c r="X8" s="1"/>
      <c r="Y8" s="1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G8" s="1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I8" s="1"/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P8" s="1"/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W8" s="1"/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</row>
    <row r="9" spans="1:201" ht="15.6" x14ac:dyDescent="0.3">
      <c r="A9" s="1"/>
      <c r="B9" s="41">
        <v>4</v>
      </c>
      <c r="C9" s="65">
        <v>6</v>
      </c>
      <c r="D9" s="1"/>
      <c r="E9" s="42">
        <v>4</v>
      </c>
      <c r="F9" s="67">
        <v>7</v>
      </c>
      <c r="G9" s="1"/>
      <c r="H9" s="42">
        <v>4</v>
      </c>
      <c r="I9" s="64">
        <v>7</v>
      </c>
      <c r="J9" s="1"/>
      <c r="K9" s="42">
        <v>4</v>
      </c>
      <c r="L9" s="64">
        <v>7</v>
      </c>
      <c r="M9" s="1"/>
      <c r="N9" s="42">
        <v>4</v>
      </c>
      <c r="O9" s="64">
        <v>0.2</v>
      </c>
      <c r="P9" s="1"/>
      <c r="Q9" s="42">
        <v>4</v>
      </c>
      <c r="R9" s="64">
        <v>1</v>
      </c>
      <c r="S9" s="1"/>
      <c r="T9" s="42">
        <v>4</v>
      </c>
      <c r="U9" s="65">
        <v>9</v>
      </c>
      <c r="V9" s="1"/>
      <c r="W9" s="1"/>
      <c r="X9" s="1"/>
      <c r="Y9" s="1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G9" s="1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1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I9" s="1"/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P9" s="1"/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W9" s="1"/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</row>
    <row r="10" spans="1:201" ht="15.6" x14ac:dyDescent="0.3">
      <c r="A10" s="1"/>
      <c r="B10" s="41">
        <v>5</v>
      </c>
      <c r="C10" s="65">
        <v>11</v>
      </c>
      <c r="D10" s="1"/>
      <c r="E10" s="42">
        <v>5</v>
      </c>
      <c r="F10" s="67">
        <v>9</v>
      </c>
      <c r="G10" s="1"/>
      <c r="H10" s="42">
        <v>5</v>
      </c>
      <c r="I10" s="64">
        <v>9</v>
      </c>
      <c r="J10" s="1"/>
      <c r="K10" s="42">
        <v>5</v>
      </c>
      <c r="L10" s="64">
        <v>5</v>
      </c>
      <c r="M10" s="1"/>
      <c r="N10" s="42">
        <v>5</v>
      </c>
      <c r="O10" s="64">
        <v>0.9</v>
      </c>
      <c r="P10" s="1"/>
      <c r="Q10" s="42">
        <v>5</v>
      </c>
      <c r="R10" s="64">
        <v>1</v>
      </c>
      <c r="S10" s="1"/>
      <c r="T10" s="42">
        <v>5</v>
      </c>
      <c r="U10" s="65">
        <v>16</v>
      </c>
      <c r="V10" s="1"/>
      <c r="W10" s="1"/>
      <c r="X10" s="1"/>
      <c r="Y10" s="1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G10" s="1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I10" s="1"/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P10" s="1"/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W10" s="1"/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</row>
    <row r="11" spans="1:201" ht="15.6" x14ac:dyDescent="0.3">
      <c r="A11" s="1"/>
      <c r="B11" s="41">
        <v>6</v>
      </c>
      <c r="C11" s="65">
        <v>14</v>
      </c>
      <c r="D11" s="1"/>
      <c r="E11" s="42">
        <v>6</v>
      </c>
      <c r="F11" s="67">
        <v>6</v>
      </c>
      <c r="G11" s="1"/>
      <c r="H11" s="42">
        <v>6</v>
      </c>
      <c r="I11" s="64">
        <v>8</v>
      </c>
      <c r="J11" s="1"/>
      <c r="K11" s="42">
        <v>6</v>
      </c>
      <c r="L11" s="64">
        <v>2</v>
      </c>
      <c r="M11" s="1"/>
      <c r="N11" s="42">
        <v>6</v>
      </c>
      <c r="O11" s="64">
        <v>0.4</v>
      </c>
      <c r="P11" s="1"/>
      <c r="Q11" s="42">
        <v>6</v>
      </c>
      <c r="R11" s="64">
        <v>1</v>
      </c>
      <c r="S11" s="1"/>
      <c r="T11" s="42">
        <v>6</v>
      </c>
      <c r="U11" s="65">
        <v>21</v>
      </c>
      <c r="V11" s="1"/>
      <c r="W11" s="1"/>
      <c r="X11" s="1"/>
      <c r="Y11" s="1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G11" s="1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1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I11" s="1"/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P11" s="1"/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W11" s="1"/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</row>
    <row r="12" spans="1:201" ht="15.6" x14ac:dyDescent="0.3">
      <c r="A12" s="1"/>
      <c r="B12" s="41">
        <v>7</v>
      </c>
      <c r="C12" s="65">
        <v>14</v>
      </c>
      <c r="D12" s="1"/>
      <c r="E12" s="42">
        <v>7</v>
      </c>
      <c r="F12" s="67">
        <v>9</v>
      </c>
      <c r="G12" s="1"/>
      <c r="H12" s="42">
        <v>7</v>
      </c>
      <c r="I12" s="64">
        <v>6</v>
      </c>
      <c r="J12" s="1"/>
      <c r="K12" s="42">
        <v>7</v>
      </c>
      <c r="L12" s="64">
        <v>1</v>
      </c>
      <c r="M12" s="1"/>
      <c r="N12" s="42">
        <v>7</v>
      </c>
      <c r="O12" s="64">
        <v>0.5</v>
      </c>
      <c r="P12" s="1"/>
      <c r="Q12" s="42">
        <v>7</v>
      </c>
      <c r="R12" s="64">
        <v>1</v>
      </c>
      <c r="S12" s="1"/>
      <c r="T12" s="42">
        <v>7</v>
      </c>
      <c r="U12" s="65">
        <v>11</v>
      </c>
      <c r="V12" s="1"/>
      <c r="W12" s="1"/>
      <c r="X12" s="1"/>
      <c r="Y12" s="1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G12" s="1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I12" s="1"/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P12" s="1"/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W12" s="1"/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</row>
    <row r="13" spans="1:201" ht="15.6" x14ac:dyDescent="0.3">
      <c r="A13" s="1"/>
      <c r="B13" s="41">
        <v>8</v>
      </c>
      <c r="C13" s="65">
        <v>6</v>
      </c>
      <c r="D13" s="1"/>
      <c r="E13" s="42">
        <v>8</v>
      </c>
      <c r="F13" s="67">
        <v>5</v>
      </c>
      <c r="G13" s="1"/>
      <c r="H13" s="42">
        <v>8</v>
      </c>
      <c r="I13" s="64">
        <v>9</v>
      </c>
      <c r="J13" s="1"/>
      <c r="K13" s="42">
        <v>8</v>
      </c>
      <c r="L13" s="64">
        <v>6</v>
      </c>
      <c r="M13" s="1"/>
      <c r="N13" s="42">
        <v>8</v>
      </c>
      <c r="O13" s="64">
        <v>0.3</v>
      </c>
      <c r="P13" s="1"/>
      <c r="Q13" s="42">
        <v>8</v>
      </c>
      <c r="R13" s="64">
        <v>1</v>
      </c>
      <c r="S13" s="1"/>
      <c r="T13" s="42">
        <v>8</v>
      </c>
      <c r="U13" s="65">
        <v>18</v>
      </c>
      <c r="V13" s="1"/>
      <c r="W13" s="1"/>
      <c r="X13" s="1"/>
      <c r="Y13" s="1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G13" s="1"/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1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I13" s="1"/>
      <c r="BJ13" s="22">
        <v>8</v>
      </c>
      <c r="BK13" s="16">
        <f t="shared" si="8"/>
        <v>1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0</v>
      </c>
      <c r="BP13" s="1"/>
      <c r="BQ13" s="23">
        <v>8</v>
      </c>
      <c r="BR13" s="16">
        <f t="shared" si="9"/>
        <v>1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0</v>
      </c>
      <c r="BW13" s="1"/>
      <c r="BX13" s="23">
        <v>8</v>
      </c>
      <c r="BY13" s="16">
        <f t="shared" si="10"/>
        <v>1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0</v>
      </c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</row>
    <row r="14" spans="1:201" ht="15.6" x14ac:dyDescent="0.3">
      <c r="A14" s="1"/>
      <c r="B14" s="41">
        <v>9</v>
      </c>
      <c r="C14" s="65">
        <v>5</v>
      </c>
      <c r="D14" s="1"/>
      <c r="E14" s="42">
        <v>9</v>
      </c>
      <c r="F14" s="67">
        <v>9</v>
      </c>
      <c r="G14" s="1"/>
      <c r="H14" s="42">
        <v>9</v>
      </c>
      <c r="I14" s="64">
        <v>9</v>
      </c>
      <c r="J14" s="1"/>
      <c r="K14" s="42">
        <v>9</v>
      </c>
      <c r="L14" s="64">
        <v>7</v>
      </c>
      <c r="M14" s="1"/>
      <c r="N14" s="42">
        <v>9</v>
      </c>
      <c r="O14" s="64">
        <v>0.8</v>
      </c>
      <c r="P14" s="1"/>
      <c r="Q14" s="42">
        <v>9</v>
      </c>
      <c r="R14" s="64">
        <v>2</v>
      </c>
      <c r="S14" s="1"/>
      <c r="T14" s="42">
        <v>9</v>
      </c>
      <c r="U14" s="65">
        <v>11</v>
      </c>
      <c r="V14" s="1"/>
      <c r="W14" s="1"/>
      <c r="X14" s="1"/>
      <c r="Y14" s="1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G14" s="1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"/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1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I14" s="1"/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P14" s="1"/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W14" s="1"/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</row>
    <row r="15" spans="1:201" ht="15.6" x14ac:dyDescent="0.3">
      <c r="A15" s="1"/>
      <c r="B15" s="41">
        <v>10</v>
      </c>
      <c r="C15" s="65">
        <v>11</v>
      </c>
      <c r="D15" s="1"/>
      <c r="E15" s="42">
        <v>10</v>
      </c>
      <c r="F15" s="66">
        <v>10</v>
      </c>
      <c r="G15" s="1"/>
      <c r="H15" s="42">
        <v>10</v>
      </c>
      <c r="I15" s="64">
        <v>9</v>
      </c>
      <c r="J15" s="1"/>
      <c r="K15" s="42">
        <v>10</v>
      </c>
      <c r="L15" s="64">
        <v>3</v>
      </c>
      <c r="M15" s="1"/>
      <c r="N15" s="42">
        <v>10</v>
      </c>
      <c r="O15" s="64">
        <v>0.8</v>
      </c>
      <c r="P15" s="1"/>
      <c r="Q15" s="42">
        <v>10</v>
      </c>
      <c r="R15" s="64">
        <v>1</v>
      </c>
      <c r="S15" s="1"/>
      <c r="T15" s="42">
        <v>10</v>
      </c>
      <c r="U15" s="65">
        <v>11</v>
      </c>
      <c r="V15" s="1"/>
      <c r="W15" s="1"/>
      <c r="X15" s="1"/>
      <c r="Y15" s="1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G15" s="1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"/>
      <c r="AV15" s="23">
        <v>10</v>
      </c>
      <c r="AW15" s="16">
        <v>1</v>
      </c>
      <c r="AX15" s="16">
        <v>0</v>
      </c>
      <c r="AY15" s="16">
        <v>0</v>
      </c>
      <c r="AZ15" s="16">
        <v>0</v>
      </c>
      <c r="BA15" s="16">
        <v>0</v>
      </c>
      <c r="BB15" s="1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I15" s="1"/>
      <c r="BJ15" s="22">
        <v>10</v>
      </c>
      <c r="BK15" s="16">
        <f t="shared" si="8"/>
        <v>1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0</v>
      </c>
      <c r="BP15" s="1"/>
      <c r="BQ15" s="23">
        <v>10</v>
      </c>
      <c r="BR15" s="16">
        <f t="shared" si="9"/>
        <v>3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0</v>
      </c>
      <c r="BW15" s="1"/>
      <c r="BX15" s="23">
        <v>10</v>
      </c>
      <c r="BY15" s="16">
        <f t="shared" si="10"/>
        <v>2.4082246852806923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0</v>
      </c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</row>
    <row r="16" spans="1:201" ht="15.6" x14ac:dyDescent="0.3">
      <c r="A16" s="1"/>
      <c r="B16" s="41">
        <v>11</v>
      </c>
      <c r="C16" s="65">
        <v>12</v>
      </c>
      <c r="D16" s="1"/>
      <c r="E16" s="42">
        <v>11</v>
      </c>
      <c r="F16" s="67">
        <v>7</v>
      </c>
      <c r="G16" s="1"/>
      <c r="H16" s="42">
        <v>11</v>
      </c>
      <c r="I16" s="64">
        <v>5</v>
      </c>
      <c r="J16" s="1"/>
      <c r="K16" s="42">
        <v>11</v>
      </c>
      <c r="L16" s="64">
        <v>4</v>
      </c>
      <c r="M16" s="1"/>
      <c r="N16" s="42">
        <v>11</v>
      </c>
      <c r="O16" s="64">
        <v>0.1</v>
      </c>
      <c r="P16" s="1"/>
      <c r="Q16" s="42">
        <v>11</v>
      </c>
      <c r="R16" s="64">
        <v>2</v>
      </c>
      <c r="S16" s="1"/>
      <c r="T16" s="42">
        <v>11</v>
      </c>
      <c r="U16" s="65">
        <v>17</v>
      </c>
      <c r="V16" s="1"/>
      <c r="W16" s="1"/>
      <c r="X16" s="1"/>
      <c r="Y16" s="1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G16" s="1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I16" s="1"/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P16" s="1"/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W16" s="1"/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</row>
    <row r="17" spans="1:201" ht="15.6" x14ac:dyDescent="0.3">
      <c r="A17" s="1"/>
      <c r="B17" s="41">
        <v>12</v>
      </c>
      <c r="C17" s="65">
        <v>8</v>
      </c>
      <c r="D17" s="1"/>
      <c r="E17" s="42">
        <v>12</v>
      </c>
      <c r="F17" s="67">
        <v>5</v>
      </c>
      <c r="G17" s="1"/>
      <c r="H17" s="42">
        <v>12</v>
      </c>
      <c r="I17" s="64">
        <v>6</v>
      </c>
      <c r="J17" s="1"/>
      <c r="K17" s="42">
        <v>12</v>
      </c>
      <c r="L17" s="64">
        <v>7</v>
      </c>
      <c r="M17" s="1"/>
      <c r="N17" s="42">
        <v>12</v>
      </c>
      <c r="O17" s="64">
        <v>0.8</v>
      </c>
      <c r="P17" s="1"/>
      <c r="Q17" s="42">
        <v>12</v>
      </c>
      <c r="R17" s="64">
        <v>2</v>
      </c>
      <c r="S17" s="1"/>
      <c r="T17" s="42">
        <v>12</v>
      </c>
      <c r="U17" s="65">
        <v>22</v>
      </c>
      <c r="V17" s="1"/>
      <c r="W17" s="1"/>
      <c r="X17" s="1"/>
      <c r="Y17" s="1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G17" s="1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I17" s="1"/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P17" s="1"/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W17" s="1"/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</row>
    <row r="18" spans="1:201" ht="15.6" x14ac:dyDescent="0.3">
      <c r="A18" s="1"/>
      <c r="B18" s="41">
        <v>13</v>
      </c>
      <c r="C18" s="65">
        <v>11</v>
      </c>
      <c r="D18" s="1"/>
      <c r="E18" s="42">
        <v>13</v>
      </c>
      <c r="F18" s="67">
        <v>7</v>
      </c>
      <c r="G18" s="1"/>
      <c r="H18" s="42">
        <v>13</v>
      </c>
      <c r="I18" s="64">
        <v>6</v>
      </c>
      <c r="J18" s="1"/>
      <c r="K18" s="42">
        <v>13</v>
      </c>
      <c r="L18" s="64">
        <v>2</v>
      </c>
      <c r="M18" s="1"/>
      <c r="N18" s="42">
        <v>13</v>
      </c>
      <c r="O18" s="64">
        <v>0.1</v>
      </c>
      <c r="P18" s="1"/>
      <c r="Q18" s="42">
        <v>13</v>
      </c>
      <c r="R18" s="64">
        <v>1</v>
      </c>
      <c r="S18" s="1"/>
      <c r="T18" s="42">
        <v>13</v>
      </c>
      <c r="U18" s="65">
        <v>12</v>
      </c>
      <c r="V18" s="1"/>
      <c r="W18" s="1"/>
      <c r="X18" s="1"/>
      <c r="Y18" s="1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G18" s="1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I18" s="1"/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P18" s="1"/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W18" s="1"/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</row>
    <row r="19" spans="1:201" ht="15.6" x14ac:dyDescent="0.3">
      <c r="A19" s="1"/>
      <c r="B19" s="41">
        <v>14</v>
      </c>
      <c r="C19" s="65">
        <v>13</v>
      </c>
      <c r="D19" s="1"/>
      <c r="E19" s="42">
        <v>14</v>
      </c>
      <c r="F19" s="67">
        <v>8</v>
      </c>
      <c r="G19" s="1"/>
      <c r="H19" s="42">
        <v>14</v>
      </c>
      <c r="I19" s="64">
        <v>9</v>
      </c>
      <c r="J19" s="1"/>
      <c r="K19" s="42">
        <v>14</v>
      </c>
      <c r="L19" s="64">
        <v>9</v>
      </c>
      <c r="M19" s="1"/>
      <c r="N19" s="42">
        <v>14</v>
      </c>
      <c r="O19" s="64">
        <v>0.8</v>
      </c>
      <c r="P19" s="1"/>
      <c r="Q19" s="42">
        <v>14</v>
      </c>
      <c r="R19" s="64">
        <v>3</v>
      </c>
      <c r="S19" s="1"/>
      <c r="T19" s="42">
        <v>14</v>
      </c>
      <c r="U19" s="65">
        <v>12</v>
      </c>
      <c r="V19" s="1"/>
      <c r="W19" s="1"/>
      <c r="X19" s="1"/>
      <c r="Y19" s="1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G19" s="1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I19" s="1"/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P19" s="1"/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W19" s="1"/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</row>
    <row r="20" spans="1:201" ht="15.6" x14ac:dyDescent="0.3">
      <c r="A20" s="1"/>
      <c r="B20" s="41">
        <v>15</v>
      </c>
      <c r="C20" s="65">
        <v>7</v>
      </c>
      <c r="D20" s="1"/>
      <c r="E20" s="42">
        <v>15</v>
      </c>
      <c r="F20" s="67">
        <v>9</v>
      </c>
      <c r="G20" s="1"/>
      <c r="H20" s="42">
        <v>15</v>
      </c>
      <c r="I20" s="64">
        <v>8</v>
      </c>
      <c r="J20" s="1"/>
      <c r="K20" s="42">
        <v>15</v>
      </c>
      <c r="L20" s="64">
        <v>11</v>
      </c>
      <c r="M20" s="1"/>
      <c r="N20" s="42">
        <v>15</v>
      </c>
      <c r="O20" s="64">
        <v>0.8</v>
      </c>
      <c r="P20" s="1"/>
      <c r="Q20" s="42">
        <v>15</v>
      </c>
      <c r="R20" s="64">
        <v>3</v>
      </c>
      <c r="S20" s="1"/>
      <c r="T20" s="42">
        <v>15</v>
      </c>
      <c r="U20" s="65">
        <v>19</v>
      </c>
      <c r="V20" s="1"/>
      <c r="W20" s="1"/>
      <c r="X20" s="1"/>
      <c r="Y20" s="1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G20" s="1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I20" s="1"/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P20" s="1"/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W20" s="1"/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</row>
    <row r="21" spans="1:201" ht="15.6" x14ac:dyDescent="0.3">
      <c r="A21" s="1"/>
      <c r="B21" s="41">
        <v>16</v>
      </c>
      <c r="C21" s="65">
        <v>14</v>
      </c>
      <c r="D21" s="1"/>
      <c r="E21" s="42">
        <v>16</v>
      </c>
      <c r="F21" s="66">
        <v>23</v>
      </c>
      <c r="G21" s="1"/>
      <c r="H21" s="42">
        <v>16</v>
      </c>
      <c r="I21" s="64">
        <v>5</v>
      </c>
      <c r="J21" s="1"/>
      <c r="K21" s="42">
        <v>16</v>
      </c>
      <c r="L21" s="64">
        <v>2</v>
      </c>
      <c r="M21" s="1"/>
      <c r="N21" s="42">
        <v>16</v>
      </c>
      <c r="O21" s="64">
        <v>0.1</v>
      </c>
      <c r="P21" s="1"/>
      <c r="Q21" s="42">
        <v>16</v>
      </c>
      <c r="R21" s="64">
        <v>2</v>
      </c>
      <c r="S21" s="1"/>
      <c r="T21" s="42">
        <v>16</v>
      </c>
      <c r="U21" s="65">
        <v>16</v>
      </c>
      <c r="V21" s="1"/>
      <c r="W21" s="1"/>
      <c r="X21" s="1"/>
      <c r="Y21" s="1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G21" s="1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I21" s="1"/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P21" s="1"/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W21" s="1"/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</row>
    <row r="22" spans="1:201" ht="15.6" x14ac:dyDescent="0.3">
      <c r="A22" s="1"/>
      <c r="B22" s="41">
        <v>17</v>
      </c>
      <c r="C22" s="65">
        <v>9</v>
      </c>
      <c r="D22" s="1"/>
      <c r="E22" s="42">
        <v>17</v>
      </c>
      <c r="F22" s="66">
        <v>25</v>
      </c>
      <c r="G22" s="1"/>
      <c r="H22" s="42">
        <v>17</v>
      </c>
      <c r="I22" s="64">
        <v>6</v>
      </c>
      <c r="J22" s="1"/>
      <c r="K22" s="42">
        <v>17</v>
      </c>
      <c r="L22" s="64">
        <v>9</v>
      </c>
      <c r="M22" s="1"/>
      <c r="N22" s="42">
        <v>17</v>
      </c>
      <c r="O22" s="64">
        <v>0.1</v>
      </c>
      <c r="P22" s="1"/>
      <c r="Q22" s="42">
        <v>17</v>
      </c>
      <c r="R22" s="64">
        <v>1</v>
      </c>
      <c r="S22" s="1"/>
      <c r="T22" s="42">
        <v>17</v>
      </c>
      <c r="U22" s="65">
        <v>10</v>
      </c>
      <c r="V22" s="1"/>
      <c r="W22" s="1"/>
      <c r="X22" s="1"/>
      <c r="Y22" s="1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G22" s="1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I22" s="1"/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P22" s="1"/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W22" s="1"/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</row>
    <row r="23" spans="1:201" ht="15.6" x14ac:dyDescent="0.3">
      <c r="A23" s="1"/>
      <c r="B23" s="41">
        <v>18</v>
      </c>
      <c r="C23" s="65">
        <v>10</v>
      </c>
      <c r="D23" s="1"/>
      <c r="E23" s="42">
        <v>18</v>
      </c>
      <c r="F23" s="66">
        <v>17</v>
      </c>
      <c r="G23" s="1"/>
      <c r="H23" s="42">
        <v>18</v>
      </c>
      <c r="I23" s="64">
        <v>8</v>
      </c>
      <c r="J23" s="1"/>
      <c r="K23" s="42">
        <v>18</v>
      </c>
      <c r="L23" s="64">
        <v>1</v>
      </c>
      <c r="M23" s="1"/>
      <c r="N23" s="42">
        <v>18</v>
      </c>
      <c r="O23" s="64">
        <v>0.8</v>
      </c>
      <c r="P23" s="1"/>
      <c r="Q23" s="42">
        <v>18</v>
      </c>
      <c r="R23" s="64">
        <v>2</v>
      </c>
      <c r="S23" s="1"/>
      <c r="T23" s="42">
        <v>18</v>
      </c>
      <c r="U23" s="65">
        <v>16</v>
      </c>
      <c r="V23" s="1"/>
      <c r="W23" s="1"/>
      <c r="X23" s="1"/>
      <c r="Y23" s="1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G23" s="1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I23" s="1"/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P23" s="1"/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W23" s="1"/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</row>
    <row r="24" spans="1:201" ht="15.6" x14ac:dyDescent="0.3">
      <c r="A24" s="1"/>
      <c r="B24" s="41">
        <v>19</v>
      </c>
      <c r="C24" s="65">
        <v>13</v>
      </c>
      <c r="D24" s="1"/>
      <c r="E24" s="42">
        <v>19</v>
      </c>
      <c r="F24" s="66">
        <v>15</v>
      </c>
      <c r="G24" s="1"/>
      <c r="H24" s="42">
        <v>19</v>
      </c>
      <c r="I24" s="64">
        <v>9</v>
      </c>
      <c r="J24" s="1"/>
      <c r="K24" s="42">
        <v>19</v>
      </c>
      <c r="L24" s="64">
        <v>4</v>
      </c>
      <c r="M24" s="1"/>
      <c r="N24" s="42">
        <v>19</v>
      </c>
      <c r="O24" s="64">
        <v>0.2</v>
      </c>
      <c r="P24" s="1"/>
      <c r="Q24" s="42">
        <v>19</v>
      </c>
      <c r="R24" s="64">
        <v>2</v>
      </c>
      <c r="S24" s="1"/>
      <c r="T24" s="42">
        <v>19</v>
      </c>
      <c r="U24" s="65">
        <v>20</v>
      </c>
      <c r="V24" s="1"/>
      <c r="W24" s="1"/>
      <c r="X24" s="1"/>
      <c r="Y24" s="1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G24" s="1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I24" s="1"/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P24" s="1"/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W24" s="1"/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</row>
    <row r="25" spans="1:201" ht="15.6" x14ac:dyDescent="0.3">
      <c r="A25" s="1"/>
      <c r="B25" s="41">
        <v>20</v>
      </c>
      <c r="C25" s="65">
        <v>5</v>
      </c>
      <c r="D25" s="1"/>
      <c r="E25" s="42">
        <v>20</v>
      </c>
      <c r="F25" s="66">
        <v>23</v>
      </c>
      <c r="G25" s="1"/>
      <c r="H25" s="42">
        <v>20</v>
      </c>
      <c r="I25" s="64">
        <v>6</v>
      </c>
      <c r="J25" s="1"/>
      <c r="K25" s="42">
        <v>20</v>
      </c>
      <c r="L25" s="64">
        <v>2</v>
      </c>
      <c r="M25" s="1"/>
      <c r="N25" s="42">
        <v>20</v>
      </c>
      <c r="O25" s="64">
        <v>0.6</v>
      </c>
      <c r="P25" s="1"/>
      <c r="Q25" s="42">
        <v>20</v>
      </c>
      <c r="R25" s="64">
        <v>3</v>
      </c>
      <c r="S25" s="1"/>
      <c r="T25" s="42">
        <v>20</v>
      </c>
      <c r="U25" s="65">
        <v>19</v>
      </c>
      <c r="V25" s="1"/>
      <c r="W25" s="1"/>
      <c r="X25" s="1"/>
      <c r="Y25" s="1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G25" s="1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I25" s="1"/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P25" s="1"/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W25" s="1"/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</row>
    <row r="26" spans="1:201" ht="15.6" x14ac:dyDescent="0.3">
      <c r="A26" s="1"/>
      <c r="B26" s="41">
        <v>21</v>
      </c>
      <c r="C26" s="65">
        <v>11</v>
      </c>
      <c r="D26" s="1"/>
      <c r="E26" s="42">
        <v>21</v>
      </c>
      <c r="F26" s="66">
        <v>19</v>
      </c>
      <c r="G26" s="1"/>
      <c r="H26" s="42">
        <v>21</v>
      </c>
      <c r="I26" s="64">
        <v>8</v>
      </c>
      <c r="J26" s="1"/>
      <c r="K26" s="42">
        <v>21</v>
      </c>
      <c r="L26" s="64">
        <v>6</v>
      </c>
      <c r="M26" s="1"/>
      <c r="N26" s="42">
        <v>21</v>
      </c>
      <c r="O26" s="64">
        <v>0.6</v>
      </c>
      <c r="P26" s="1"/>
      <c r="Q26" s="42">
        <v>21</v>
      </c>
      <c r="R26" s="64">
        <v>2</v>
      </c>
      <c r="S26" s="1"/>
      <c r="T26" s="42">
        <v>21</v>
      </c>
      <c r="U26" s="65">
        <v>24</v>
      </c>
      <c r="V26" s="1"/>
      <c r="W26" s="1"/>
      <c r="X26" s="1"/>
      <c r="Y26" s="1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G26" s="1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I26" s="1"/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P26" s="1"/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3</v>
      </c>
      <c r="BW26" s="1"/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1.9331820449317627</v>
      </c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</row>
    <row r="27" spans="1:201" ht="15.6" x14ac:dyDescent="0.3">
      <c r="A27" s="1"/>
      <c r="B27" s="41">
        <v>22</v>
      </c>
      <c r="C27" s="65">
        <v>11</v>
      </c>
      <c r="D27" s="1"/>
      <c r="E27" s="42">
        <v>22</v>
      </c>
      <c r="F27" s="66">
        <v>19</v>
      </c>
      <c r="G27" s="1"/>
      <c r="H27" s="42">
        <v>22</v>
      </c>
      <c r="I27" s="64">
        <v>9</v>
      </c>
      <c r="J27" s="1"/>
      <c r="K27" s="42">
        <v>22</v>
      </c>
      <c r="L27" s="64">
        <v>6</v>
      </c>
      <c r="M27" s="1"/>
      <c r="N27" s="42">
        <v>22</v>
      </c>
      <c r="O27" s="64">
        <v>0.4</v>
      </c>
      <c r="P27" s="1"/>
      <c r="Q27" s="42">
        <v>22</v>
      </c>
      <c r="R27" s="64">
        <v>1</v>
      </c>
      <c r="S27" s="1"/>
      <c r="T27" s="42">
        <v>22</v>
      </c>
      <c r="U27" s="65">
        <v>16</v>
      </c>
      <c r="V27" s="1"/>
      <c r="W27" s="1"/>
      <c r="X27" s="1"/>
      <c r="Y27" s="1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G27" s="1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1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I27" s="1"/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P27" s="1"/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W27" s="1"/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</row>
    <row r="28" spans="1:201" ht="15.6" x14ac:dyDescent="0.3">
      <c r="A28" s="1"/>
      <c r="B28" s="41">
        <v>23</v>
      </c>
      <c r="C28" s="65">
        <v>7</v>
      </c>
      <c r="D28" s="1"/>
      <c r="E28" s="42">
        <v>23</v>
      </c>
      <c r="F28" s="66">
        <v>16</v>
      </c>
      <c r="G28" s="1"/>
      <c r="H28" s="42">
        <v>23</v>
      </c>
      <c r="I28" s="64">
        <v>7</v>
      </c>
      <c r="J28" s="1"/>
      <c r="K28" s="42">
        <v>23</v>
      </c>
      <c r="L28" s="64">
        <v>8</v>
      </c>
      <c r="M28" s="1"/>
      <c r="N28" s="42">
        <v>23</v>
      </c>
      <c r="O28" s="64">
        <v>0.5</v>
      </c>
      <c r="P28" s="1"/>
      <c r="Q28" s="42">
        <v>23</v>
      </c>
      <c r="R28" s="64">
        <v>2</v>
      </c>
      <c r="S28" s="1"/>
      <c r="T28" s="42">
        <v>23</v>
      </c>
      <c r="U28" s="65">
        <v>13</v>
      </c>
      <c r="V28" s="1"/>
      <c r="W28" s="1"/>
      <c r="X28" s="1"/>
      <c r="Y28" s="1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G28" s="1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1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I28" s="1"/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P28" s="1"/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W28" s="1"/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</row>
    <row r="29" spans="1:201" ht="15.6" x14ac:dyDescent="0.3">
      <c r="A29" s="1"/>
      <c r="B29" s="41">
        <v>24</v>
      </c>
      <c r="C29" s="65">
        <v>10</v>
      </c>
      <c r="D29" s="1"/>
      <c r="E29" s="42">
        <v>24</v>
      </c>
      <c r="F29" s="66">
        <v>14</v>
      </c>
      <c r="G29" s="1"/>
      <c r="H29" s="42">
        <v>24</v>
      </c>
      <c r="I29" s="64">
        <v>5</v>
      </c>
      <c r="J29" s="1"/>
      <c r="K29" s="42">
        <v>24</v>
      </c>
      <c r="L29" s="64">
        <v>2</v>
      </c>
      <c r="M29" s="1"/>
      <c r="N29" s="42">
        <v>24</v>
      </c>
      <c r="O29" s="64">
        <v>0.8</v>
      </c>
      <c r="P29" s="1"/>
      <c r="Q29" s="42">
        <v>24</v>
      </c>
      <c r="R29" s="64">
        <v>1</v>
      </c>
      <c r="S29" s="1"/>
      <c r="T29" s="42">
        <v>24</v>
      </c>
      <c r="U29" s="65">
        <v>16</v>
      </c>
      <c r="V29" s="1"/>
      <c r="W29" s="1"/>
      <c r="X29" s="1"/>
      <c r="Y29" s="1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G29" s="1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1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I29" s="1"/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P29" s="1"/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2</v>
      </c>
      <c r="BW29" s="1"/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1.7411011265922482</v>
      </c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</row>
    <row r="30" spans="1:201" ht="15.6" x14ac:dyDescent="0.3">
      <c r="A30" s="1"/>
      <c r="B30" s="41">
        <v>25</v>
      </c>
      <c r="C30" s="65">
        <v>13</v>
      </c>
      <c r="D30" s="1"/>
      <c r="E30" s="42">
        <v>25</v>
      </c>
      <c r="F30" s="66">
        <v>16</v>
      </c>
      <c r="G30" s="1"/>
      <c r="H30" s="42">
        <v>25</v>
      </c>
      <c r="I30" s="64">
        <v>10</v>
      </c>
      <c r="J30" s="1"/>
      <c r="K30" s="42">
        <v>25</v>
      </c>
      <c r="L30" s="64">
        <v>4</v>
      </c>
      <c r="M30" s="1"/>
      <c r="N30" s="42">
        <v>25</v>
      </c>
      <c r="O30" s="64">
        <v>0.9</v>
      </c>
      <c r="P30" s="1"/>
      <c r="Q30" s="42">
        <v>25</v>
      </c>
      <c r="R30" s="64">
        <v>2</v>
      </c>
      <c r="S30" s="1"/>
      <c r="T30" s="42">
        <v>25</v>
      </c>
      <c r="U30" s="65">
        <v>14</v>
      </c>
      <c r="V30" s="1"/>
      <c r="W30" s="1"/>
      <c r="X30" s="1"/>
      <c r="Y30" s="1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G30" s="1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I30" s="1"/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P30" s="1"/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W30" s="1"/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</row>
    <row r="31" spans="1:201" ht="15.6" x14ac:dyDescent="0.3">
      <c r="A31" s="1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9"/>
      <c r="AG31" s="1"/>
      <c r="AH31" s="7" t="s">
        <v>32</v>
      </c>
      <c r="AI31" s="1">
        <v>1</v>
      </c>
      <c r="AJ31" s="1"/>
      <c r="AK31" s="1"/>
      <c r="AL31" s="1"/>
      <c r="AM31" s="1"/>
      <c r="AN31" s="1"/>
      <c r="AO31" s="1" t="s">
        <v>32</v>
      </c>
      <c r="AP31" s="1">
        <v>2</v>
      </c>
      <c r="AQ31" s="1"/>
      <c r="AR31" s="1"/>
      <c r="AS31" s="1"/>
      <c r="AT31" s="1"/>
      <c r="AU31" s="1"/>
      <c r="AV31" s="1" t="s">
        <v>32</v>
      </c>
      <c r="AW31" s="1">
        <v>3</v>
      </c>
      <c r="AX31" s="1"/>
      <c r="AY31" s="1"/>
      <c r="AZ31" s="1"/>
      <c r="BA31" s="1"/>
      <c r="BB31" s="1"/>
      <c r="BC31" s="1" t="s">
        <v>32</v>
      </c>
      <c r="BD31" s="1">
        <v>4</v>
      </c>
      <c r="BE31" s="1"/>
      <c r="BF31" s="1"/>
      <c r="BG31" s="1"/>
      <c r="BH31" s="9"/>
      <c r="BI31" s="1"/>
      <c r="BJ31" s="7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57"/>
      <c r="BW31" s="1"/>
      <c r="BX31" s="1"/>
      <c r="BY31" s="1"/>
      <c r="BZ31" s="1"/>
      <c r="CA31" s="1"/>
      <c r="CB31" s="1"/>
      <c r="CC31" s="9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</row>
    <row r="32" spans="1:201" ht="15.6" x14ac:dyDescent="0.3">
      <c r="A32" s="1"/>
      <c r="B32" s="7"/>
      <c r="C32" s="38" t="s">
        <v>16</v>
      </c>
      <c r="D32" s="38"/>
      <c r="E32" s="1"/>
      <c r="F32" s="38" t="s">
        <v>17</v>
      </c>
      <c r="G32" s="38"/>
      <c r="H32" s="1"/>
      <c r="I32" s="38" t="s">
        <v>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9"/>
      <c r="AG32" s="1"/>
      <c r="AH32" s="7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9"/>
      <c r="BI32" s="1"/>
      <c r="BJ32" s="7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9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</row>
    <row r="33" spans="1:201" ht="16.2" thickBot="1" x14ac:dyDescent="0.35">
      <c r="A33" s="1"/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9"/>
      <c r="AG33" s="1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I33" s="1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</row>
    <row r="34" spans="1:201" ht="15.6" x14ac:dyDescent="0.3">
      <c r="A34" s="1"/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 t="s">
        <v>26</v>
      </c>
      <c r="AB34" s="1"/>
      <c r="AC34" s="1"/>
      <c r="AD34" s="1"/>
      <c r="AE34" s="1"/>
      <c r="AF34" s="9"/>
      <c r="AG34" s="1"/>
      <c r="AH34" s="1"/>
      <c r="AI34" s="1" t="s">
        <v>26</v>
      </c>
      <c r="AJ34" s="1"/>
      <c r="AK34" s="1"/>
      <c r="AL34" s="1"/>
      <c r="AM34" s="1"/>
      <c r="AN34" s="1"/>
      <c r="AO34" s="1"/>
      <c r="AP34" s="1" t="s">
        <v>26</v>
      </c>
      <c r="AQ34" s="1"/>
      <c r="AR34" s="1"/>
      <c r="AS34" s="1"/>
      <c r="AT34" s="1"/>
      <c r="AU34" s="1"/>
      <c r="AV34" s="1"/>
      <c r="AW34" s="1" t="s">
        <v>26</v>
      </c>
      <c r="AX34" s="1"/>
      <c r="AY34" s="1"/>
      <c r="AZ34" s="1"/>
      <c r="BA34" s="1"/>
      <c r="BB34" s="1"/>
      <c r="BC34" s="1"/>
      <c r="BD34" s="1" t="s">
        <v>26</v>
      </c>
      <c r="BE34" s="1"/>
      <c r="BF34" s="1"/>
      <c r="BG34" s="1"/>
      <c r="BH34" s="1"/>
      <c r="BI34" s="1"/>
      <c r="BJ34" s="1"/>
      <c r="BK34" s="1" t="s">
        <v>26</v>
      </c>
      <c r="BL34" s="1"/>
      <c r="BM34" s="1"/>
      <c r="BN34" s="1"/>
      <c r="BO34" s="1"/>
      <c r="BP34" s="1"/>
      <c r="BQ34" s="1"/>
      <c r="BR34" s="1" t="s">
        <v>26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</row>
    <row r="35" spans="1:201" ht="15.6" x14ac:dyDescent="0.3">
      <c r="A35" s="1"/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f>COLUMN()</f>
        <v>27</v>
      </c>
      <c r="AB35" s="1"/>
      <c r="AC35" s="1"/>
      <c r="AD35" s="1"/>
      <c r="AE35" s="1"/>
      <c r="AF35" s="9"/>
      <c r="AG35" s="1"/>
      <c r="AH35" s="1"/>
      <c r="AI35" s="1">
        <f>COLUMN()</f>
        <v>35</v>
      </c>
      <c r="AJ35" s="1"/>
      <c r="AK35" s="1"/>
      <c r="AL35" s="1"/>
      <c r="AM35" s="1"/>
      <c r="AN35" s="1"/>
      <c r="AO35" s="1"/>
      <c r="AP35" s="1">
        <f>COLUMN()</f>
        <v>42</v>
      </c>
      <c r="AQ35" s="1"/>
      <c r="AR35" s="1"/>
      <c r="AS35" s="1"/>
      <c r="AT35" s="1"/>
      <c r="AU35" s="1"/>
      <c r="AV35" s="1"/>
      <c r="AW35" s="1">
        <f>COLUMN()</f>
        <v>49</v>
      </c>
      <c r="AX35" s="1"/>
      <c r="AY35" s="1"/>
      <c r="AZ35" s="1"/>
      <c r="BA35" s="1"/>
      <c r="BB35" s="1"/>
      <c r="BC35" s="1"/>
      <c r="BD35" s="1">
        <f>COLUMN()</f>
        <v>56</v>
      </c>
      <c r="BE35" s="1"/>
      <c r="BF35" s="1"/>
      <c r="BG35" s="1"/>
      <c r="BH35" s="1"/>
      <c r="BI35" s="1"/>
      <c r="BJ35" s="1"/>
      <c r="BK35" s="1">
        <f>COLUMN()</f>
        <v>63</v>
      </c>
      <c r="BL35" s="1"/>
      <c r="BM35" s="1"/>
      <c r="BN35" s="1"/>
      <c r="BO35" s="1"/>
      <c r="BP35" s="1"/>
      <c r="BQ35" s="1"/>
      <c r="BR35" s="1">
        <f>COLUMN()</f>
        <v>70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</row>
    <row r="36" spans="1:201" ht="15.6" x14ac:dyDescent="0.3">
      <c r="A36" s="1"/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</row>
    <row r="37" spans="1:201" ht="15.6" x14ac:dyDescent="0.3">
      <c r="A37" s="1"/>
      <c r="B37" s="41">
        <v>5</v>
      </c>
      <c r="C37" s="68">
        <v>120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62" t="s">
        <v>1165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</row>
    <row r="38" spans="1:201" ht="15.6" x14ac:dyDescent="0.3">
      <c r="A38" s="1"/>
      <c r="B38" s="32"/>
      <c r="C38" s="6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</row>
    <row r="39" spans="1:201" ht="15.6" x14ac:dyDescent="0.3">
      <c r="A39" s="1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</row>
    <row r="40" spans="1:201" ht="15.6" x14ac:dyDescent="0.3">
      <c r="A40" s="1"/>
      <c r="B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9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6">
        <v>2</v>
      </c>
      <c r="BK40" s="61" cm="1">
        <f t="array" aca="1" ref="BK40" ca="1">BY7*$C7*$L7*POWER($F7,$O7)*INDIRECT(ADDRESS(32+COLUMNS($A$1:A2),9))</f>
        <v>31.036911478307196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0</v>
      </c>
      <c r="BP40" s="1">
        <f t="shared" ref="BP40:BP64" ca="1" si="11">SUM(BK40:BO40)</f>
        <v>31.036911478307196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</row>
    <row r="41" spans="1:201" ht="15.6" x14ac:dyDescent="0.3">
      <c r="A41" s="1"/>
      <c r="B41" s="10" t="s">
        <v>19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11"/>
        <v>194.4787916031315</v>
      </c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</row>
    <row r="42" spans="1:201" ht="15.6" x14ac:dyDescent="0.3">
      <c r="A42" s="1"/>
      <c r="B42" s="7">
        <v>2</v>
      </c>
      <c r="C42" s="1">
        <v>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11"/>
        <v>61.982472786971179</v>
      </c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</row>
    <row r="43" spans="1:201" ht="15.6" x14ac:dyDescent="0.3">
      <c r="A43" s="1"/>
      <c r="B43" s="7">
        <v>3</v>
      </c>
      <c r="C43" s="1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11"/>
        <v>1383.6776951677273</v>
      </c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</row>
    <row r="44" spans="1:201" ht="15.6" x14ac:dyDescent="0.3">
      <c r="A44" s="1"/>
      <c r="B44" s="7">
        <v>16</v>
      </c>
      <c r="C44" s="1">
        <v>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6">
        <v>6</v>
      </c>
      <c r="BK44" s="61" cm="1">
        <f t="array" aca="1" ref="BK44" ca="1">BY11*$C11*$L11*POWER($F11,$O11)*INDIRECT(ADDRESS(32+COLUMNS($A$1:A6),9))</f>
        <v>14.333707577554534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11"/>
        <v>14.333707577554534</v>
      </c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</row>
    <row r="45" spans="1:201" ht="15.6" x14ac:dyDescent="0.3">
      <c r="A45" s="1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11"/>
        <v>0</v>
      </c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</row>
    <row r="46" spans="1:201" ht="15.6" x14ac:dyDescent="0.3">
      <c r="A46" s="1"/>
      <c r="B46" s="10" t="s">
        <v>20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6">
        <v>8</v>
      </c>
      <c r="BK46" s="61" cm="1">
        <f t="array" aca="1" ref="BK46" ca="1">BY13*$C13*$L13*POWER($F13,$O13)*INDIRECT(ADDRESS(32+COLUMNS($A$1:A8),9))</f>
        <v>14.585909370234862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0</v>
      </c>
      <c r="BP46" s="1">
        <f t="shared" ca="1" si="11"/>
        <v>14.585909370234862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</row>
    <row r="47" spans="1:201" ht="15.6" x14ac:dyDescent="0.3">
      <c r="A47" s="1"/>
      <c r="B47" s="7">
        <v>1</v>
      </c>
      <c r="C47" s="1">
        <v>12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11"/>
        <v>293.2988134700031</v>
      </c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</row>
    <row r="48" spans="1:201" ht="15.6" x14ac:dyDescent="0.3">
      <c r="A48" s="1"/>
      <c r="B48" s="7">
        <v>3</v>
      </c>
      <c r="C48" s="1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6">
        <v>10</v>
      </c>
      <c r="BK48" s="61" cm="1">
        <f t="array" aca="1" ref="BK48" ca="1">BY15*$C15*$L15*POWER($F15,$O15)*INDIRECT(ADDRESS(32+COLUMNS($A$1:A10),9))</f>
        <v>125.3576818177493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0</v>
      </c>
      <c r="BP48" s="1">
        <f t="shared" ca="1" si="11"/>
        <v>125.3576818177493</v>
      </c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</row>
    <row r="49" spans="1:201" ht="15.6" x14ac:dyDescent="0.3">
      <c r="A49" s="1"/>
      <c r="B49" s="7">
        <v>9</v>
      </c>
      <c r="C49" s="1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11"/>
        <v>0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</row>
    <row r="50" spans="1:201" ht="16.2" thickBot="1" x14ac:dyDescent="0.35">
      <c r="A50" s="1"/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11"/>
        <v>369.11634255085556</v>
      </c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</row>
    <row r="51" spans="1:201" ht="16.2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11"/>
        <v>0</v>
      </c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</row>
    <row r="52" spans="1:201" ht="15.6" x14ac:dyDescent="0.3">
      <c r="A52" s="1"/>
      <c r="B52" s="2" t="s">
        <v>5</v>
      </c>
      <c r="C52" s="3"/>
      <c r="D52" s="3"/>
      <c r="E52" s="3"/>
      <c r="F52" s="5"/>
      <c r="G52" s="1"/>
      <c r="H52" s="6" t="s">
        <v>0</v>
      </c>
      <c r="I52" s="4"/>
      <c r="J52" s="3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11"/>
        <v>1871.9999999999998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</row>
    <row r="53" spans="1:201" ht="15.6" x14ac:dyDescent="0.3">
      <c r="A53" s="1"/>
      <c r="B53" s="7"/>
      <c r="C53" s="1"/>
      <c r="D53" s="1"/>
      <c r="E53" s="1"/>
      <c r="F53" s="9"/>
      <c r="G53" s="1"/>
      <c r="H53" s="10" t="s">
        <v>2</v>
      </c>
      <c r="I53" s="38"/>
      <c r="J53" s="3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11"/>
        <v>812.23925749895227</v>
      </c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</row>
    <row r="54" spans="1:201" ht="15.6" x14ac:dyDescent="0.3">
      <c r="A54" s="1"/>
      <c r="B54" s="7"/>
      <c r="C54" s="1"/>
      <c r="D54" s="1"/>
      <c r="E54" s="1"/>
      <c r="F54" s="9"/>
      <c r="G54" s="1"/>
      <c r="H54" s="10" t="s">
        <v>1</v>
      </c>
      <c r="I54" s="38"/>
      <c r="J54" s="3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11"/>
        <v>0</v>
      </c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</row>
    <row r="55" spans="1:201" ht="16.2" thickBot="1" x14ac:dyDescent="0.35">
      <c r="A55" s="1"/>
      <c r="B55" s="25" cm="1">
        <f t="array" ref="B55">SUMPRODUCT(MMULT(BY6:CC30*C6:C30*L6:L30*POWER(F6:F30,O6:O30),I33:I37))</f>
        <v>6971.4605416348395</v>
      </c>
      <c r="C55" s="26"/>
      <c r="D55" s="26"/>
      <c r="E55" s="26"/>
      <c r="F55" s="27"/>
      <c r="G55" s="1"/>
      <c r="H55" s="25" t="s">
        <v>1160</v>
      </c>
      <c r="I55" s="26"/>
      <c r="J55" s="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11"/>
        <v>0</v>
      </c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</row>
    <row r="56" spans="1:201" ht="16.2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11"/>
        <v>0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</row>
    <row r="57" spans="1:201" ht="15.6" x14ac:dyDescent="0.3">
      <c r="A57" s="1"/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11"/>
        <v>0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</row>
    <row r="58" spans="1:201" ht="15.6" x14ac:dyDescent="0.3">
      <c r="A58" s="1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9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11"/>
        <v>0</v>
      </c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</row>
    <row r="59" spans="1:201" ht="15.6" x14ac:dyDescent="0.3">
      <c r="A59" s="1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9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186.64177568163981</v>
      </c>
      <c r="BP59" s="1">
        <f t="shared" ca="1" si="11"/>
        <v>186.64177568163981</v>
      </c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</row>
    <row r="60" spans="1:201" ht="15.6" x14ac:dyDescent="0.3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9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6">
        <v>22</v>
      </c>
      <c r="BK60" s="61" cm="1">
        <f t="array" aca="1" ref="BK60" ca="1">BY27*$C27*$L27*POWER($F27,$O27)*INDIRECT(ADDRESS(32+COLUMNS($A$1:A22),9))</f>
        <v>0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53.577862653738528</v>
      </c>
      <c r="BP60" s="1">
        <f t="shared" ca="1" si="11"/>
        <v>53.577862653738528</v>
      </c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</row>
    <row r="61" spans="1:201" ht="15.6" x14ac:dyDescent="0.3">
      <c r="A61" s="1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9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6">
        <v>23</v>
      </c>
      <c r="BK61" s="61" cm="1">
        <f t="array" aca="1" ref="BK61" ca="1">BY28*$C28*$L28*POWER($F28,$O28)*INDIRECT(ADDRESS(32+COLUMNS($A$1:A23),9))</f>
        <v>0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56</v>
      </c>
      <c r="BP61" s="1">
        <f t="shared" ca="1" si="11"/>
        <v>56</v>
      </c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</row>
    <row r="62" spans="1:201" ht="15.6" x14ac:dyDescent="0.3">
      <c r="A62" s="1"/>
      <c r="B62" s="7" t="s">
        <v>22</v>
      </c>
      <c r="C62" s="1"/>
      <c r="D62" s="1"/>
      <c r="E62" s="1"/>
      <c r="F62" s="1"/>
      <c r="G62" s="1" t="s">
        <v>33</v>
      </c>
      <c r="H62" s="1"/>
      <c r="I62" s="1"/>
      <c r="J62" s="1"/>
      <c r="K62" s="1"/>
      <c r="L62" s="1" t="s">
        <v>23</v>
      </c>
      <c r="M62" s="1"/>
      <c r="N62" s="1"/>
      <c r="O62" s="1"/>
      <c r="P62" s="1"/>
      <c r="Q62" s="1" t="s">
        <v>36</v>
      </c>
      <c r="R62" s="1"/>
      <c r="S62" s="1"/>
      <c r="T62" s="1"/>
      <c r="U62" s="1"/>
      <c r="V62" s="1" t="s">
        <v>37</v>
      </c>
      <c r="W62" s="1"/>
      <c r="X62" s="1"/>
      <c r="Y62" s="1"/>
      <c r="Z62" s="1"/>
      <c r="AA62" s="1" t="s">
        <v>38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9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71.894626096254626</v>
      </c>
      <c r="BP62" s="1">
        <f t="shared" ca="1" si="11"/>
        <v>71.894626096254626</v>
      </c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</row>
    <row r="63" spans="1:201" ht="16.2" thickBot="1" x14ac:dyDescent="0.35">
      <c r="A63" s="1"/>
      <c r="B63" s="7"/>
      <c r="C63" s="1">
        <f>SUM(AI6:AM6,AP6:AT6,AW6:BA6,BD6:BH6)</f>
        <v>1</v>
      </c>
      <c r="D63" s="1" t="s">
        <v>21</v>
      </c>
      <c r="E63" s="1">
        <v>1</v>
      </c>
      <c r="F63" s="1"/>
      <c r="G63" s="1"/>
      <c r="H63" s="1" cm="1">
        <f t="array" ref="H63">SUM(AA6:AE6*BR6:BV6-R6*BK6:BO6)</f>
        <v>1</v>
      </c>
      <c r="I63" s="1" t="s">
        <v>24</v>
      </c>
      <c r="J63" s="1">
        <v>0</v>
      </c>
      <c r="K63" s="1"/>
      <c r="L63" s="1"/>
      <c r="M63" s="1" cm="1">
        <f t="array" ref="M63">SUM(AA6:AE6*BR6:BV6-U6*BK6:BO6)</f>
        <v>-12</v>
      </c>
      <c r="N63" s="1" t="s">
        <v>21</v>
      </c>
      <c r="O63" s="1">
        <v>0</v>
      </c>
      <c r="P63" s="1"/>
      <c r="Q63" s="1"/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U63" s="1"/>
      <c r="V63" s="1"/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Z63" s="1"/>
      <c r="AA63" s="1"/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11"/>
        <v>1317.3966981156575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</row>
    <row r="64" spans="1:201" ht="16.2" thickBot="1" x14ac:dyDescent="0.35">
      <c r="A64" s="1"/>
      <c r="B64" s="7"/>
      <c r="C64" s="1">
        <f t="shared" ref="C64:C86" si="12">SUM(AI7:AM7,AP7:AT7,AW7:BA7,BD7:BH7)</f>
        <v>1</v>
      </c>
      <c r="D64" s="1" t="s">
        <v>21</v>
      </c>
      <c r="E64" s="1">
        <v>1</v>
      </c>
      <c r="F64" s="1"/>
      <c r="G64" s="1"/>
      <c r="H64" s="1" cm="1">
        <f t="array" ref="H64">SUM(AA7:AE7*BR7:BV7-R7*BK7:BO7)</f>
        <v>4</v>
      </c>
      <c r="I64" s="1" t="s">
        <v>24</v>
      </c>
      <c r="J64" s="1">
        <v>0</v>
      </c>
      <c r="K64" s="1"/>
      <c r="L64" s="1"/>
      <c r="M64" s="1" cm="1">
        <f t="array" ref="M64">SUM(AA7:AE7*BR7:BV7-U7*BK7:BO7)</f>
        <v>-14</v>
      </c>
      <c r="N64" s="1" t="s">
        <v>21</v>
      </c>
      <c r="O64" s="1">
        <v>0</v>
      </c>
      <c r="P64" s="1"/>
      <c r="Q64" s="1"/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U64" s="1"/>
      <c r="V64" s="1"/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Z64" s="1"/>
      <c r="AA64" s="1"/>
      <c r="AB64" s="1" cm="1">
        <f t="array" aca="1" ref="AB64" ca="1">INDIRECT(ADDRESS(5+$B43,62+COLUMNS($A2:A2)))+INDIRECT(ADDRESS(5+$C43,62+COLUMNS($A2:A2)))</f>
        <v>1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0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62" t="s">
        <v>1168</v>
      </c>
      <c r="BK64" s="1">
        <f ca="1">SUM(BK39:BK63)</f>
        <v>185.31421024384588</v>
      </c>
      <c r="BL64" s="1">
        <f t="shared" ref="BL64:BO64" ca="1" si="13">SUM(BL39:BL63)</f>
        <v>1317.3966981156575</v>
      </c>
      <c r="BM64" s="1">
        <f t="shared" ca="1" si="13"/>
        <v>3512.1389595578294</v>
      </c>
      <c r="BN64" s="1">
        <f t="shared" ca="1" si="13"/>
        <v>1588.4964092858727</v>
      </c>
      <c r="BO64" s="1">
        <f t="shared" ca="1" si="13"/>
        <v>368.11426443163299</v>
      </c>
      <c r="BP64" s="59">
        <f t="shared" ca="1" si="11"/>
        <v>6971.4605416348386</v>
      </c>
      <c r="BQ64" s="1" t="s">
        <v>1167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</row>
    <row r="65" spans="1:201" ht="15.6" x14ac:dyDescent="0.3">
      <c r="A65" s="1"/>
      <c r="B65" s="7"/>
      <c r="C65" s="1">
        <f t="shared" si="12"/>
        <v>1</v>
      </c>
      <c r="D65" s="1" t="s">
        <v>21</v>
      </c>
      <c r="E65" s="1">
        <v>1</v>
      </c>
      <c r="F65" s="1"/>
      <c r="G65" s="1"/>
      <c r="H65" s="1" cm="1">
        <f t="array" ref="H65">SUM(AA8:AE8*BR8:BV8-R8*BK8:BO8)</f>
        <v>1</v>
      </c>
      <c r="I65" s="1" t="s">
        <v>24</v>
      </c>
      <c r="J65" s="1">
        <v>0</v>
      </c>
      <c r="K65" s="1"/>
      <c r="L65" s="1"/>
      <c r="M65" s="1" cm="1">
        <f t="array" ref="M65">SUM(AA8:AE8*BR8:BV8-U8*BK8:BO8)</f>
        <v>-21</v>
      </c>
      <c r="N65" s="1" t="s">
        <v>21</v>
      </c>
      <c r="O65" s="1">
        <v>0</v>
      </c>
      <c r="P65" s="1"/>
      <c r="Q65" s="1"/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U65" s="1"/>
      <c r="V65" s="1"/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Z65" s="1"/>
      <c r="AA65" s="1"/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</row>
    <row r="66" spans="1:201" ht="15.6" x14ac:dyDescent="0.3">
      <c r="A66" s="1"/>
      <c r="B66" s="7"/>
      <c r="C66" s="1">
        <f t="shared" si="12"/>
        <v>1</v>
      </c>
      <c r="D66" s="1" t="s">
        <v>21</v>
      </c>
      <c r="E66" s="1">
        <v>1</v>
      </c>
      <c r="F66" s="1"/>
      <c r="G66" s="1"/>
      <c r="H66" s="1" cm="1">
        <f t="array" ref="H66">SUM(AA9:AE9*BR9:BV9-R9*BK9:BO9)</f>
        <v>2</v>
      </c>
      <c r="I66" s="1" t="s">
        <v>24</v>
      </c>
      <c r="J66" s="1">
        <v>0</v>
      </c>
      <c r="K66" s="1"/>
      <c r="L66" s="1"/>
      <c r="M66" s="1" cm="1">
        <f t="array" ref="M66">SUM(AA9:AE9*BR9:BV9-U9*BK9:BO9)</f>
        <v>-6</v>
      </c>
      <c r="N66" s="1" t="s">
        <v>21</v>
      </c>
      <c r="O66" s="1">
        <v>0</v>
      </c>
      <c r="P66" s="1"/>
      <c r="Q66" s="1"/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U66" s="1"/>
      <c r="V66" s="1"/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9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</row>
    <row r="67" spans="1:201" ht="15.6" x14ac:dyDescent="0.3">
      <c r="A67" s="1"/>
      <c r="B67" s="7"/>
      <c r="C67" s="1">
        <f t="shared" si="12"/>
        <v>1</v>
      </c>
      <c r="D67" s="1" t="s">
        <v>21</v>
      </c>
      <c r="E67" s="1">
        <v>1</v>
      </c>
      <c r="F67" s="38"/>
      <c r="G67" s="1"/>
      <c r="H67" s="1" cm="1">
        <f t="array" ref="H67">SUM(AA10:AE10*BR10:BV10-R10*BK10:BO10)</f>
        <v>7</v>
      </c>
      <c r="I67" s="1" t="s">
        <v>24</v>
      </c>
      <c r="J67" s="1">
        <v>0</v>
      </c>
      <c r="K67" s="1"/>
      <c r="L67" s="1"/>
      <c r="M67" s="1" cm="1">
        <f t="array" ref="M67">SUM(AA10:AE10*BR10:BV10-U10*BK10:BO10)</f>
        <v>-8</v>
      </c>
      <c r="N67" s="1" t="s">
        <v>21</v>
      </c>
      <c r="O67" s="1">
        <v>0</v>
      </c>
      <c r="P67" s="1"/>
      <c r="Q67" s="1"/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9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</row>
    <row r="68" spans="1:201" ht="15.6" x14ac:dyDescent="0.3">
      <c r="A68" s="1"/>
      <c r="B68" s="10"/>
      <c r="C68" s="1">
        <f t="shared" si="12"/>
        <v>1</v>
      </c>
      <c r="D68" s="1" t="s">
        <v>21</v>
      </c>
      <c r="E68" s="1">
        <v>1</v>
      </c>
      <c r="F68" s="38"/>
      <c r="G68" s="1"/>
      <c r="H68" s="1" cm="1">
        <f t="array" ref="H68">SUM(AA11:AE11*BR11:BV11-R11*BK11:BO11)</f>
        <v>3</v>
      </c>
      <c r="I68" s="1" t="s">
        <v>24</v>
      </c>
      <c r="J68" s="1">
        <v>0</v>
      </c>
      <c r="K68" s="1"/>
      <c r="L68" s="1"/>
      <c r="M68" s="1" cm="1">
        <f t="array" ref="M68">SUM(AA11:AE11*BR11:BV11-U11*BK11:BO11)</f>
        <v>-17</v>
      </c>
      <c r="N68" s="1" t="s">
        <v>21</v>
      </c>
      <c r="O68" s="1"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9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</row>
    <row r="69" spans="1:201" ht="15.6" x14ac:dyDescent="0.3">
      <c r="A69" s="1"/>
      <c r="B69" s="10"/>
      <c r="C69" s="1">
        <f t="shared" si="12"/>
        <v>0</v>
      </c>
      <c r="D69" s="1" t="s">
        <v>21</v>
      </c>
      <c r="E69" s="1">
        <v>1</v>
      </c>
      <c r="F69" s="38"/>
      <c r="G69" s="1"/>
      <c r="H69" s="1" cm="1">
        <f t="array" ref="H69">SUM(AA12:AE12*BR12:BV12-R12*BK12:BO12)</f>
        <v>0</v>
      </c>
      <c r="I69" s="1" t="s">
        <v>24</v>
      </c>
      <c r="J69" s="1">
        <v>0</v>
      </c>
      <c r="K69" s="1"/>
      <c r="L69" s="1"/>
      <c r="M69" s="1" cm="1">
        <f t="array" ref="M69">SUM(AA12:AE12*BR12:BV12-U12*BK12:BO12)</f>
        <v>0</v>
      </c>
      <c r="N69" s="1" t="s">
        <v>21</v>
      </c>
      <c r="O69" s="1"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9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</row>
    <row r="70" spans="1:201" ht="15.6" x14ac:dyDescent="0.3">
      <c r="A70" s="1"/>
      <c r="B70" s="10"/>
      <c r="C70" s="1">
        <f t="shared" si="12"/>
        <v>1</v>
      </c>
      <c r="D70" s="1" t="s">
        <v>21</v>
      </c>
      <c r="E70" s="1">
        <v>1</v>
      </c>
      <c r="F70" s="38"/>
      <c r="G70" s="1"/>
      <c r="H70" s="1" cm="1">
        <f t="array" ref="H70">SUM(AA13:AE13*BR13:BV13-R13*BK13:BO13)</f>
        <v>2</v>
      </c>
      <c r="I70" s="1" t="s">
        <v>24</v>
      </c>
      <c r="J70" s="1">
        <v>0</v>
      </c>
      <c r="K70" s="1"/>
      <c r="L70" s="1"/>
      <c r="M70" s="1" cm="1">
        <f t="array" ref="M70">SUM(AA13:AE13*BR13:BV13-U13*BK13:BO13)</f>
        <v>-15</v>
      </c>
      <c r="N70" s="1" t="s">
        <v>21</v>
      </c>
      <c r="O70" s="1"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</row>
    <row r="71" spans="1:201" ht="15.6" x14ac:dyDescent="0.3">
      <c r="A71" s="1"/>
      <c r="B71" s="10"/>
      <c r="C71" s="1">
        <f t="shared" si="12"/>
        <v>1</v>
      </c>
      <c r="D71" s="1" t="s">
        <v>21</v>
      </c>
      <c r="E71" s="1">
        <v>1</v>
      </c>
      <c r="F71" s="38"/>
      <c r="G71" s="1"/>
      <c r="H71" s="1" cm="1">
        <f t="array" ref="H71">SUM(AA14:AE14*BR14:BV14-R14*BK14:BO14)</f>
        <v>7</v>
      </c>
      <c r="I71" s="1" t="s">
        <v>24</v>
      </c>
      <c r="J71" s="1">
        <v>0</v>
      </c>
      <c r="K71" s="1"/>
      <c r="L71" s="1"/>
      <c r="M71" s="1" cm="1">
        <f t="array" ref="M71">SUM(AA14:AE14*BR14:BV14-U14*BK14:BO14)</f>
        <v>-2</v>
      </c>
      <c r="N71" s="1" t="s">
        <v>21</v>
      </c>
      <c r="O71" s="1"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</row>
    <row r="72" spans="1:201" ht="15.6" x14ac:dyDescent="0.3">
      <c r="A72" s="1"/>
      <c r="B72" s="10"/>
      <c r="C72" s="1">
        <f t="shared" si="12"/>
        <v>1</v>
      </c>
      <c r="D72" s="1" t="s">
        <v>21</v>
      </c>
      <c r="E72" s="1">
        <v>1</v>
      </c>
      <c r="F72" s="38"/>
      <c r="G72" s="1"/>
      <c r="H72" s="1" cm="1">
        <f t="array" ref="H72">SUM(AA15:AE15*BR15:BV15-R15*BK15:BO15)</f>
        <v>8</v>
      </c>
      <c r="I72" s="1" t="s">
        <v>24</v>
      </c>
      <c r="J72" s="1">
        <v>0</v>
      </c>
      <c r="K72" s="1"/>
      <c r="L72" s="1"/>
      <c r="M72" s="1" cm="1">
        <f t="array" ref="M72">SUM(AA15:AE15*BR15:BV15-U15*BK15:BO15)</f>
        <v>-2</v>
      </c>
      <c r="N72" s="1" t="s">
        <v>21</v>
      </c>
      <c r="O72" s="1"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</row>
    <row r="73" spans="1:201" ht="15.6" x14ac:dyDescent="0.3">
      <c r="A73" s="1"/>
      <c r="B73" s="10"/>
      <c r="C73" s="1">
        <f t="shared" si="12"/>
        <v>0</v>
      </c>
      <c r="D73" s="1" t="s">
        <v>21</v>
      </c>
      <c r="E73" s="1">
        <v>1</v>
      </c>
      <c r="F73" s="38"/>
      <c r="G73" s="1"/>
      <c r="H73" s="1" cm="1">
        <f t="array" ref="H73">SUM(AA16:AE16*BR16:BV16-R16*BK16:BO16)</f>
        <v>0</v>
      </c>
      <c r="I73" s="1" t="s">
        <v>24</v>
      </c>
      <c r="J73" s="1">
        <v>0</v>
      </c>
      <c r="K73" s="1"/>
      <c r="L73" s="1"/>
      <c r="M73" s="1" cm="1">
        <f t="array" ref="M73">SUM(AA16:AE16*BR16:BV16-U16*BK16:BO16)</f>
        <v>0</v>
      </c>
      <c r="N73" s="1" t="s">
        <v>21</v>
      </c>
      <c r="O73" s="1"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</row>
    <row r="74" spans="1:201" ht="15.6" x14ac:dyDescent="0.3">
      <c r="A74" s="1"/>
      <c r="B74" s="10"/>
      <c r="C74" s="1">
        <f t="shared" si="12"/>
        <v>1</v>
      </c>
      <c r="D74" s="1" t="s">
        <v>21</v>
      </c>
      <c r="E74" s="1">
        <v>1</v>
      </c>
      <c r="F74" s="38"/>
      <c r="G74" s="1"/>
      <c r="H74" s="1" cm="1">
        <f t="array" ref="H74">SUM(AA17:AE17*BR17:BV17-R17*BK17:BO17)</f>
        <v>14</v>
      </c>
      <c r="I74" s="1" t="s">
        <v>24</v>
      </c>
      <c r="J74" s="1">
        <v>0</v>
      </c>
      <c r="K74" s="1"/>
      <c r="L74" s="1"/>
      <c r="M74" s="1" cm="1">
        <f t="array" ref="M74">SUM(AA17:AE17*BR17:BV17-U17*BK17:BO17)</f>
        <v>-6</v>
      </c>
      <c r="N74" s="1" t="s">
        <v>21</v>
      </c>
      <c r="O74" s="1"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</row>
    <row r="75" spans="1:201" ht="15.6" x14ac:dyDescent="0.3">
      <c r="A75" s="1"/>
      <c r="B75" s="10"/>
      <c r="C75" s="1">
        <f t="shared" si="12"/>
        <v>0</v>
      </c>
      <c r="D75" s="1" t="s">
        <v>21</v>
      </c>
      <c r="E75" s="1">
        <v>1</v>
      </c>
      <c r="F75" s="38"/>
      <c r="G75" s="1"/>
      <c r="H75" s="1" cm="1">
        <f t="array" ref="H75">SUM(AA18:AE18*BR18:BV18-R18*BK18:BO18)</f>
        <v>0</v>
      </c>
      <c r="I75" s="1" t="s">
        <v>24</v>
      </c>
      <c r="J75" s="1">
        <v>0</v>
      </c>
      <c r="K75" s="1"/>
      <c r="L75" s="1"/>
      <c r="M75" s="1" cm="1">
        <f t="array" ref="M75">SUM(AA18:AE18*BR18:BV18-U18*BK18:BO18)</f>
        <v>0</v>
      </c>
      <c r="N75" s="1" t="s">
        <v>21</v>
      </c>
      <c r="O75" s="1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</row>
    <row r="76" spans="1:201" ht="15.6" x14ac:dyDescent="0.3">
      <c r="A76" s="1"/>
      <c r="B76" s="7"/>
      <c r="C76" s="1">
        <f t="shared" si="12"/>
        <v>1</v>
      </c>
      <c r="D76" s="1" t="s">
        <v>21</v>
      </c>
      <c r="E76" s="1">
        <v>1</v>
      </c>
      <c r="F76" s="1"/>
      <c r="G76" s="1"/>
      <c r="H76" s="1" cm="1">
        <f t="array" ref="H76">SUM(AA19:AE19*BR19:BV19-R19*BK19:BO19)</f>
        <v>5</v>
      </c>
      <c r="I76" s="1" t="s">
        <v>24</v>
      </c>
      <c r="J76" s="1">
        <v>0</v>
      </c>
      <c r="K76" s="1"/>
      <c r="L76" s="1"/>
      <c r="M76" s="1" cm="1">
        <f t="array" ref="M76">SUM(AA19:AE19*BR19:BV19-U19*BK19:BO19)</f>
        <v>-4</v>
      </c>
      <c r="N76" s="1" t="s">
        <v>21</v>
      </c>
      <c r="O76" s="1"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</row>
    <row r="77" spans="1:201" ht="15.6" x14ac:dyDescent="0.3">
      <c r="A77" s="1"/>
      <c r="B77" s="7"/>
      <c r="C77" s="1">
        <f t="shared" si="12"/>
        <v>1</v>
      </c>
      <c r="D77" s="1" t="s">
        <v>21</v>
      </c>
      <c r="E77" s="1">
        <v>1</v>
      </c>
      <c r="F77" s="1"/>
      <c r="G77" s="1"/>
      <c r="H77" s="1" cm="1">
        <f t="array" ref="H77">SUM(AA20:AE20*BR20:BV20-R20*BK20:BO20)</f>
        <v>9</v>
      </c>
      <c r="I77" s="1" t="s">
        <v>24</v>
      </c>
      <c r="J77" s="1">
        <v>0</v>
      </c>
      <c r="K77" s="1"/>
      <c r="L77" s="1"/>
      <c r="M77" s="1" cm="1">
        <f t="array" ref="M77">SUM(AA20:AE20*BR20:BV20-U20*BK20:BO20)</f>
        <v>-7</v>
      </c>
      <c r="N77" s="1" t="s">
        <v>21</v>
      </c>
      <c r="O77" s="1"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</row>
    <row r="78" spans="1:201" ht="15.6" x14ac:dyDescent="0.3">
      <c r="A78" s="1"/>
      <c r="B78" s="7"/>
      <c r="C78" s="1">
        <f t="shared" si="12"/>
        <v>0</v>
      </c>
      <c r="D78" s="1" t="s">
        <v>21</v>
      </c>
      <c r="E78" s="1">
        <v>1</v>
      </c>
      <c r="F78" s="1"/>
      <c r="G78" s="1"/>
      <c r="H78" s="1" cm="1">
        <f t="array" ref="H78">SUM(AA21:AE21*BR21:BV21-R21*BK21:BO21)</f>
        <v>0</v>
      </c>
      <c r="I78" s="1" t="s">
        <v>24</v>
      </c>
      <c r="J78" s="1">
        <v>0</v>
      </c>
      <c r="K78" s="1"/>
      <c r="L78" s="1"/>
      <c r="M78" s="1" cm="1">
        <f t="array" ref="M78">SUM(AA21:AE21*BR21:BV21-U21*BK21:BO21)</f>
        <v>0</v>
      </c>
      <c r="N78" s="1" t="s">
        <v>21</v>
      </c>
      <c r="O78" s="1"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</row>
    <row r="79" spans="1:201" ht="15.6" x14ac:dyDescent="0.3">
      <c r="A79" s="1"/>
      <c r="B79" s="7"/>
      <c r="C79" s="1">
        <f t="shared" si="12"/>
        <v>0</v>
      </c>
      <c r="D79" s="1" t="s">
        <v>21</v>
      </c>
      <c r="E79" s="1">
        <v>1</v>
      </c>
      <c r="F79" s="1"/>
      <c r="G79" s="1"/>
      <c r="H79" s="1" cm="1">
        <f t="array" ref="H79">SUM(AA22:AE22*BR22:BV22-R22*BK22:BO22)</f>
        <v>0</v>
      </c>
      <c r="I79" s="1" t="s">
        <v>24</v>
      </c>
      <c r="J79" s="1">
        <v>0</v>
      </c>
      <c r="K79" s="1"/>
      <c r="L79" s="1"/>
      <c r="M79" s="1" cm="1">
        <f t="array" ref="M79">SUM(AA22:AE22*BR22:BV22-U22*BK22:BO22)</f>
        <v>0</v>
      </c>
      <c r="N79" s="1" t="s">
        <v>21</v>
      </c>
      <c r="O79" s="1"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</row>
    <row r="80" spans="1:201" ht="15.6" x14ac:dyDescent="0.3">
      <c r="A80" s="1"/>
      <c r="B80" s="7"/>
      <c r="C80" s="1">
        <f t="shared" si="12"/>
        <v>0</v>
      </c>
      <c r="D80" s="1" t="s">
        <v>21</v>
      </c>
      <c r="E80" s="1">
        <v>1</v>
      </c>
      <c r="F80" s="1"/>
      <c r="G80" s="1"/>
      <c r="H80" s="1" cm="1">
        <f t="array" ref="H80">SUM(AA23:AE23*BR23:BV23-R23*BK23:BO23)</f>
        <v>0</v>
      </c>
      <c r="I80" s="1" t="s">
        <v>24</v>
      </c>
      <c r="J80" s="1">
        <v>0</v>
      </c>
      <c r="K80" s="1"/>
      <c r="L80" s="1"/>
      <c r="M80" s="1" cm="1">
        <f t="array" ref="M80">SUM(AA23:AE23*BR23:BV23-U23*BK23:BO23)</f>
        <v>0</v>
      </c>
      <c r="N80" s="1" t="s">
        <v>21</v>
      </c>
      <c r="O80" s="1"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</row>
    <row r="81" spans="1:201" ht="15.6" x14ac:dyDescent="0.3">
      <c r="A81" s="1"/>
      <c r="B81" s="7"/>
      <c r="C81" s="1">
        <f t="shared" si="12"/>
        <v>0</v>
      </c>
      <c r="D81" s="1" t="s">
        <v>21</v>
      </c>
      <c r="E81" s="1">
        <v>1</v>
      </c>
      <c r="F81" s="1"/>
      <c r="G81" s="1"/>
      <c r="H81" s="1" cm="1">
        <f t="array" ref="H81">SUM(AA24:AE24*BR24:BV24-R24*BK24:BO24)</f>
        <v>0</v>
      </c>
      <c r="I81" s="1" t="s">
        <v>24</v>
      </c>
      <c r="J81" s="1">
        <v>0</v>
      </c>
      <c r="K81" s="1"/>
      <c r="L81" s="1"/>
      <c r="M81" s="1" cm="1">
        <f t="array" ref="M81">SUM(AA24:AE24*BR24:BV24-U24*BK24:BO24)</f>
        <v>0</v>
      </c>
      <c r="N81" s="1" t="s">
        <v>21</v>
      </c>
      <c r="O81" s="1"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</row>
    <row r="82" spans="1:201" ht="15.6" x14ac:dyDescent="0.3">
      <c r="A82" s="1"/>
      <c r="B82" s="7"/>
      <c r="C82" s="1">
        <f t="shared" si="12"/>
        <v>0</v>
      </c>
      <c r="D82" s="1" t="s">
        <v>21</v>
      </c>
      <c r="E82" s="1">
        <v>1</v>
      </c>
      <c r="F82" s="1"/>
      <c r="G82" s="1"/>
      <c r="H82" s="1" cm="1">
        <f t="array" ref="H82">SUM(AA25:AE25*BR25:BV25-R25*BK25:BO25)</f>
        <v>0</v>
      </c>
      <c r="I82" s="1" t="s">
        <v>24</v>
      </c>
      <c r="J82" s="1">
        <v>0</v>
      </c>
      <c r="K82" s="1"/>
      <c r="L82" s="1"/>
      <c r="M82" s="1" cm="1">
        <f t="array" ref="M82">SUM(AA25:AE25*BR25:BV25-U25*BK25:BO25)</f>
        <v>0</v>
      </c>
      <c r="N82" s="1" t="s">
        <v>21</v>
      </c>
      <c r="O82" s="1"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</row>
    <row r="83" spans="1:201" ht="15.6" x14ac:dyDescent="0.3">
      <c r="A83" s="1"/>
      <c r="B83" s="7"/>
      <c r="C83" s="1">
        <f t="shared" si="12"/>
        <v>1</v>
      </c>
      <c r="D83" s="1" t="s">
        <v>21</v>
      </c>
      <c r="E83" s="1">
        <v>1</v>
      </c>
      <c r="F83" s="1"/>
      <c r="G83" s="1"/>
      <c r="H83" s="1" cm="1">
        <f t="array" ref="H83">SUM(AA26:AE26*BR26:BV26-R26*BK26:BO26)</f>
        <v>7</v>
      </c>
      <c r="I83" s="1" t="s">
        <v>24</v>
      </c>
      <c r="J83" s="1">
        <v>0</v>
      </c>
      <c r="K83" s="1"/>
      <c r="L83" s="1"/>
      <c r="M83" s="1" cm="1">
        <f t="array" ref="M83">SUM(AA26:AE26*BR26:BV26-U26*BK26:BO26)</f>
        <v>-15</v>
      </c>
      <c r="N83" s="1" t="s">
        <v>21</v>
      </c>
      <c r="O83" s="1"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</row>
    <row r="84" spans="1:201" ht="15.6" x14ac:dyDescent="0.3">
      <c r="A84" s="1"/>
      <c r="B84" s="7"/>
      <c r="C84" s="1">
        <f t="shared" si="12"/>
        <v>1</v>
      </c>
      <c r="D84" s="1" t="s">
        <v>21</v>
      </c>
      <c r="E84" s="1">
        <v>1</v>
      </c>
      <c r="F84" s="1"/>
      <c r="G84" s="1"/>
      <c r="H84" s="1" cm="1">
        <f t="array" ref="H84">SUM(AA27:AE27*BR27:BV27-R27*BK27:BO27)</f>
        <v>2</v>
      </c>
      <c r="I84" s="1" t="s">
        <v>24</v>
      </c>
      <c r="J84" s="1">
        <v>0</v>
      </c>
      <c r="K84" s="1"/>
      <c r="L84" s="1"/>
      <c r="M84" s="1" cm="1">
        <f t="array" ref="M84">SUM(AA27:AE27*BR27:BV27-U27*BK27:BO27)</f>
        <v>-13</v>
      </c>
      <c r="N84" s="1" t="s">
        <v>21</v>
      </c>
      <c r="O84" s="1"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</row>
    <row r="85" spans="1:201" ht="15.6" x14ac:dyDescent="0.3">
      <c r="A85" s="1"/>
      <c r="B85" s="7"/>
      <c r="C85" s="1">
        <f t="shared" si="12"/>
        <v>1</v>
      </c>
      <c r="D85" s="1" t="s">
        <v>21</v>
      </c>
      <c r="E85" s="1">
        <v>1</v>
      </c>
      <c r="F85" s="1"/>
      <c r="G85" s="1"/>
      <c r="H85" s="1" cm="1">
        <f t="array" ref="H85">SUM(AA28:AE28*BR28:BV28-R28*BK28:BO28)</f>
        <v>2</v>
      </c>
      <c r="I85" s="1" t="s">
        <v>24</v>
      </c>
      <c r="J85" s="1">
        <v>0</v>
      </c>
      <c r="K85" s="1"/>
      <c r="L85" s="1"/>
      <c r="M85" s="1" cm="1">
        <f t="array" ref="M85">SUM(AA28:AE28*BR28:BV28-U28*BK28:BO28)</f>
        <v>-9</v>
      </c>
      <c r="N85" s="1" t="s">
        <v>21</v>
      </c>
      <c r="O85" s="1"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</row>
    <row r="86" spans="1:201" ht="15.6" x14ac:dyDescent="0.3">
      <c r="A86" s="1"/>
      <c r="B86" s="7"/>
      <c r="C86" s="1">
        <f t="shared" si="12"/>
        <v>1</v>
      </c>
      <c r="D86" s="1" t="s">
        <v>21</v>
      </c>
      <c r="E86" s="1">
        <v>1</v>
      </c>
      <c r="F86" s="1"/>
      <c r="G86" s="1"/>
      <c r="H86" s="1" cm="1">
        <f t="array" ref="H86">SUM(AA29:AE29*BR29:BV29-R29*BK29:BO29)</f>
        <v>9</v>
      </c>
      <c r="I86" s="1" t="s">
        <v>24</v>
      </c>
      <c r="J86" s="1">
        <v>0</v>
      </c>
      <c r="K86" s="1"/>
      <c r="L86" s="1"/>
      <c r="M86" s="1" cm="1">
        <f t="array" ref="M86">SUM(AA29:AE29*BR29:BV29-U29*BK29:BO29)</f>
        <v>-6</v>
      </c>
      <c r="N86" s="1" t="s">
        <v>21</v>
      </c>
      <c r="O86" s="1"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</row>
    <row r="87" spans="1:201" ht="15.6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F87" s="1"/>
      <c r="G87" s="1"/>
      <c r="H87" s="1" cm="1">
        <f t="array" ref="H87">SUM(AA30:AE30*BR30:BV30-R30*BK30:BO30)</f>
        <v>10</v>
      </c>
      <c r="I87" s="1" t="s">
        <v>24</v>
      </c>
      <c r="J87" s="1">
        <v>0</v>
      </c>
      <c r="K87" s="1"/>
      <c r="L87" s="1"/>
      <c r="M87" s="1" cm="1">
        <f t="array" ref="M87">SUM(AA30:AE30*BR30:BV30-U30*BK30:BO30)</f>
        <v>-2</v>
      </c>
      <c r="N87" s="1" t="s">
        <v>21</v>
      </c>
      <c r="O87" s="1"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</row>
    <row r="88" spans="1:201" ht="15.6" x14ac:dyDescent="0.3">
      <c r="A88" s="70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</row>
    <row r="89" spans="1:201" ht="15.6" x14ac:dyDescent="0.3">
      <c r="A89" s="70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</row>
    <row r="90" spans="1:201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</row>
    <row r="91" spans="1:201" ht="15.6" x14ac:dyDescent="0.3">
      <c r="A91" s="70"/>
      <c r="B91" s="1"/>
      <c r="C91" s="1"/>
      <c r="D91" s="1"/>
      <c r="E91" s="38"/>
      <c r="F91" s="38"/>
      <c r="G91" s="38"/>
      <c r="H91" s="38"/>
      <c r="I91" s="38"/>
      <c r="J91" s="3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</row>
    <row r="92" spans="1:201" ht="15.6" x14ac:dyDescent="0.3">
      <c r="A92" s="7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</row>
    <row r="93" spans="1:201" ht="15.6" x14ac:dyDescent="0.3">
      <c r="A93" s="7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</row>
    <row r="94" spans="1:201" ht="15.6" x14ac:dyDescent="0.3">
      <c r="A94" s="7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</row>
    <row r="95" spans="1:201" ht="15.6" x14ac:dyDescent="0.3">
      <c r="A95" s="7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</row>
    <row r="96" spans="1:201" ht="15.6" x14ac:dyDescent="0.3">
      <c r="A96" s="70"/>
      <c r="B96" s="65"/>
      <c r="C96" s="67"/>
      <c r="D96" s="64"/>
      <c r="E96" s="64"/>
      <c r="F96" s="64"/>
      <c r="G96" s="64"/>
      <c r="H96" s="6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</row>
    <row r="97" spans="1:201" ht="15.6" x14ac:dyDescent="0.3">
      <c r="A97" s="70"/>
      <c r="B97" s="65"/>
      <c r="C97" s="66"/>
      <c r="D97" s="64"/>
      <c r="E97" s="64"/>
      <c r="F97" s="64"/>
      <c r="G97" s="64"/>
      <c r="H97" s="6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</row>
    <row r="98" spans="1:201" ht="15.6" x14ac:dyDescent="0.3">
      <c r="A98" s="70"/>
      <c r="B98" s="65"/>
      <c r="C98" s="67"/>
      <c r="D98" s="64"/>
      <c r="E98" s="64"/>
      <c r="F98" s="64"/>
      <c r="G98" s="64"/>
      <c r="H98" s="6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</row>
    <row r="99" spans="1:201" ht="15.6" x14ac:dyDescent="0.3">
      <c r="A99" s="70"/>
      <c r="B99" s="65"/>
      <c r="C99" s="67"/>
      <c r="D99" s="64"/>
      <c r="E99" s="64"/>
      <c r="F99" s="64"/>
      <c r="G99" s="64"/>
      <c r="H99" s="6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</row>
    <row r="100" spans="1:201" ht="15.6" x14ac:dyDescent="0.3">
      <c r="A100" s="70"/>
      <c r="B100" s="65"/>
      <c r="C100" s="67"/>
      <c r="D100" s="64"/>
      <c r="E100" s="64"/>
      <c r="F100" s="64"/>
      <c r="G100" s="64"/>
      <c r="H100" s="6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</row>
    <row r="101" spans="1:201" ht="15.6" x14ac:dyDescent="0.3">
      <c r="A101" s="70"/>
      <c r="B101" s="65"/>
      <c r="C101" s="67"/>
      <c r="D101" s="64"/>
      <c r="E101" s="64"/>
      <c r="F101" s="64"/>
      <c r="G101" s="64"/>
      <c r="H101" s="6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</row>
    <row r="102" spans="1:201" ht="15.6" x14ac:dyDescent="0.3">
      <c r="A102" s="70"/>
      <c r="B102" s="65"/>
      <c r="C102" s="67"/>
      <c r="D102" s="64"/>
      <c r="E102" s="64"/>
      <c r="F102" s="64"/>
      <c r="G102" s="64"/>
      <c r="H102" s="6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</row>
    <row r="103" spans="1:201" ht="15.6" x14ac:dyDescent="0.3">
      <c r="A103" s="70"/>
      <c r="B103" s="65"/>
      <c r="C103" s="66"/>
      <c r="D103" s="64"/>
      <c r="E103" s="64"/>
      <c r="F103" s="64"/>
      <c r="G103" s="64"/>
      <c r="H103" s="6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</row>
    <row r="104" spans="1:201" ht="15.6" x14ac:dyDescent="0.3">
      <c r="A104" s="70"/>
      <c r="B104" s="65"/>
      <c r="C104" s="66"/>
      <c r="D104" s="64"/>
      <c r="E104" s="64"/>
      <c r="F104" s="64"/>
      <c r="G104" s="64"/>
      <c r="H104" s="6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</row>
    <row r="105" spans="1:201" ht="15.6" x14ac:dyDescent="0.3">
      <c r="A105" s="70"/>
      <c r="B105" s="65"/>
      <c r="C105" s="66"/>
      <c r="D105" s="64"/>
      <c r="E105" s="64"/>
      <c r="F105" s="64"/>
      <c r="G105" s="64"/>
      <c r="H105" s="6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</row>
    <row r="106" spans="1:201" ht="15.6" x14ac:dyDescent="0.3">
      <c r="A106" s="70"/>
      <c r="B106" s="65"/>
      <c r="C106" s="66"/>
      <c r="D106" s="64"/>
      <c r="E106" s="64"/>
      <c r="F106" s="64"/>
      <c r="G106" s="64"/>
      <c r="H106" s="6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</row>
    <row r="107" spans="1:201" ht="15.6" x14ac:dyDescent="0.3">
      <c r="A107" s="70"/>
      <c r="B107" s="65"/>
      <c r="C107" s="66"/>
      <c r="D107" s="64"/>
      <c r="E107" s="64"/>
      <c r="F107" s="64"/>
      <c r="G107" s="64"/>
      <c r="H107" s="6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</row>
    <row r="108" spans="1:201" ht="15.6" x14ac:dyDescent="0.3">
      <c r="A108" s="70"/>
      <c r="B108" s="65"/>
      <c r="C108" s="66"/>
      <c r="D108" s="64"/>
      <c r="E108" s="64"/>
      <c r="F108" s="64"/>
      <c r="G108" s="64"/>
      <c r="H108" s="6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</row>
    <row r="109" spans="1:201" ht="15.6" x14ac:dyDescent="0.3">
      <c r="A109" s="70"/>
      <c r="B109" s="65"/>
      <c r="C109" s="66"/>
      <c r="D109" s="64"/>
      <c r="E109" s="64"/>
      <c r="F109" s="64"/>
      <c r="G109" s="64"/>
      <c r="H109" s="6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</row>
    <row r="110" spans="1:201" ht="15.6" x14ac:dyDescent="0.3">
      <c r="A110" s="70"/>
      <c r="B110" s="65"/>
      <c r="C110" s="66"/>
      <c r="D110" s="64"/>
      <c r="E110" s="64"/>
      <c r="F110" s="64"/>
      <c r="G110" s="64"/>
      <c r="H110" s="6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</row>
    <row r="111" spans="1:201" ht="15.6" x14ac:dyDescent="0.3">
      <c r="A111" s="70"/>
      <c r="B111" s="65"/>
      <c r="C111" s="66"/>
      <c r="D111" s="64"/>
      <c r="E111" s="64"/>
      <c r="F111" s="64"/>
      <c r="G111" s="64"/>
      <c r="H111" s="6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</row>
    <row r="112" spans="1:201" ht="15.6" x14ac:dyDescent="0.3">
      <c r="A112" s="70"/>
      <c r="B112" s="65"/>
      <c r="C112" s="66"/>
      <c r="D112" s="64"/>
      <c r="E112" s="64"/>
      <c r="F112" s="64"/>
      <c r="G112" s="64"/>
      <c r="H112" s="6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</row>
    <row r="113" spans="1:201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</row>
    <row r="114" spans="1:201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</row>
    <row r="115" spans="1:201" ht="15.6" x14ac:dyDescent="0.3">
      <c r="A115" s="71"/>
      <c r="B115" s="1"/>
      <c r="C115" s="1"/>
      <c r="D115" s="72"/>
      <c r="E115" s="1"/>
      <c r="F115" s="71"/>
      <c r="G115" s="64"/>
      <c r="H115" s="65"/>
      <c r="I115" s="64"/>
      <c r="J115" s="65"/>
      <c r="K115" s="6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</row>
    <row r="116" spans="1:201" ht="15.6" x14ac:dyDescent="0.3">
      <c r="A116" s="68"/>
      <c r="B116" s="68"/>
      <c r="C116" s="68"/>
      <c r="D116" s="68"/>
      <c r="E116" s="1"/>
      <c r="F116" s="1"/>
      <c r="G116" s="68"/>
      <c r="H116" s="6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</row>
    <row r="117" spans="1:201" ht="15.6" x14ac:dyDescent="0.3">
      <c r="A117" s="68"/>
      <c r="B117" s="68"/>
      <c r="C117" s="68"/>
      <c r="D117" s="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</row>
    <row r="118" spans="1:201" ht="15.6" x14ac:dyDescent="0.3">
      <c r="A118" s="68"/>
      <c r="B118" s="68"/>
      <c r="C118" s="1"/>
      <c r="D118" s="1"/>
      <c r="E118" s="1"/>
      <c r="F118" s="7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</row>
    <row r="119" spans="1:201" ht="15.6" x14ac:dyDescent="0.3">
      <c r="A119" s="68"/>
      <c r="B119" s="6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</row>
    <row r="120" spans="1:201" ht="15.6" x14ac:dyDescent="0.3">
      <c r="A120" s="68"/>
      <c r="B120" s="6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</row>
    <row r="121" spans="1:201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</row>
    <row r="122" spans="1:201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</row>
    <row r="123" spans="1:201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</row>
    <row r="124" spans="1:201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</row>
    <row r="125" spans="1:201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</row>
    <row r="126" spans="1:201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</row>
    <row r="127" spans="1:201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</row>
    <row r="128" spans="1:201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</row>
    <row r="129" spans="1:201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</row>
    <row r="130" spans="1:201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</row>
    <row r="131" spans="1:201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</row>
    <row r="132" spans="1:201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</row>
    <row r="133" spans="1:201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</row>
    <row r="134" spans="1:201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</row>
    <row r="135" spans="1:201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</row>
    <row r="136" spans="1:201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</row>
    <row r="137" spans="1:201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</row>
    <row r="138" spans="1:201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</row>
    <row r="139" spans="1:201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</row>
    <row r="140" spans="1:201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</row>
    <row r="141" spans="1:201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</row>
    <row r="142" spans="1:201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</row>
    <row r="143" spans="1:201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</row>
    <row r="144" spans="1:201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</row>
    <row r="145" spans="1:201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</row>
    <row r="146" spans="1:201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</row>
    <row r="147" spans="1:201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</row>
    <row r="148" spans="1:201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</row>
    <row r="149" spans="1:201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</row>
    <row r="150" spans="1:201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</row>
    <row r="151" spans="1:201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</row>
    <row r="152" spans="1:201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</row>
    <row r="153" spans="1:201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</row>
    <row r="154" spans="1:201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</row>
    <row r="155" spans="1:201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</row>
    <row r="156" spans="1:201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</row>
    <row r="157" spans="1:201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</row>
    <row r="158" spans="1:201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</row>
    <row r="159" spans="1:201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</row>
    <row r="160" spans="1:201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</row>
    <row r="161" spans="1:201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</row>
    <row r="162" spans="1:201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</row>
    <row r="163" spans="1:201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</row>
    <row r="164" spans="1:201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</row>
    <row r="165" spans="1:201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</row>
    <row r="166" spans="1:201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</row>
    <row r="167" spans="1:201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</row>
    <row r="168" spans="1:201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</row>
    <row r="169" spans="1:201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</row>
    <row r="170" spans="1:201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</row>
    <row r="171" spans="1:201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</row>
    <row r="172" spans="1:201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</row>
    <row r="173" spans="1:201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</row>
    <row r="174" spans="1:201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</row>
    <row r="175" spans="1:201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</row>
    <row r="176" spans="1:201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</row>
    <row r="177" spans="1:201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</row>
    <row r="178" spans="1:201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</row>
    <row r="179" spans="1:201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</row>
    <row r="180" spans="1:201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</row>
    <row r="181" spans="1:201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</row>
    <row r="182" spans="1:201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</row>
    <row r="183" spans="1:201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</row>
    <row r="184" spans="1:201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</row>
    <row r="185" spans="1:201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</row>
    <row r="186" spans="1:201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</row>
    <row r="187" spans="1:201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</row>
    <row r="188" spans="1:201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</row>
    <row r="189" spans="1:201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</row>
    <row r="190" spans="1:201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</row>
    <row r="191" spans="1:201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</row>
    <row r="192" spans="1:201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</row>
    <row r="193" spans="1:201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</row>
    <row r="194" spans="1:201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</row>
    <row r="195" spans="1:201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</row>
    <row r="196" spans="1:201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</row>
    <row r="197" spans="1:201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2E42-AE2A-4812-B255-C468F28B8D24}">
  <dimension ref="A1:CC120"/>
  <sheetViews>
    <sheetView topLeftCell="X49" zoomScale="85" zoomScaleNormal="85" workbookViewId="0">
      <selection activeCell="AH48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0</v>
      </c>
      <c r="BN9" s="16">
        <f t="shared" si="0"/>
        <v>0</v>
      </c>
      <c r="BO9" s="16">
        <f t="shared" si="0"/>
        <v>1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0</v>
      </c>
      <c r="BU9" s="16">
        <f t="shared" si="1"/>
        <v>0</v>
      </c>
      <c r="BV9" s="16">
        <f t="shared" si="1"/>
        <v>1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0</v>
      </c>
      <c r="CB9" s="16">
        <f t="shared" si="2"/>
        <v>0</v>
      </c>
      <c r="CC9" s="19">
        <f t="shared" si="2"/>
        <v>1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1</v>
      </c>
      <c r="AL13" s="16">
        <v>0</v>
      </c>
      <c r="AM13" s="16">
        <v>0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1</v>
      </c>
      <c r="BN13" s="16">
        <f t="shared" si="0"/>
        <v>0</v>
      </c>
      <c r="BO13" s="16">
        <f t="shared" si="0"/>
        <v>0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1</v>
      </c>
      <c r="BU13" s="16">
        <f t="shared" si="1"/>
        <v>0</v>
      </c>
      <c r="BV13" s="16">
        <f t="shared" si="1"/>
        <v>0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1</v>
      </c>
      <c r="CB13" s="16">
        <f t="shared" si="2"/>
        <v>0</v>
      </c>
      <c r="CC13" s="19">
        <f t="shared" si="2"/>
        <v>0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1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3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2.4082246852806923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1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1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1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1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1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2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1.515716566510398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O29" s="23">
        <v>24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1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0</v>
      </c>
      <c r="BQ29" s="23">
        <v>24</v>
      </c>
      <c r="BR29" s="16">
        <f t="shared" si="9"/>
        <v>2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0</v>
      </c>
      <c r="BX29" s="23">
        <v>24</v>
      </c>
      <c r="BY29" s="16">
        <f t="shared" si="10"/>
        <v>1.7411011265922482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0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/>
      <c r="C38" s="68"/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16</v>
      </c>
      <c r="C43" s="1">
        <v>20</v>
      </c>
      <c r="AF43" s="9"/>
    </row>
    <row r="44" spans="2:81" x14ac:dyDescent="0.3"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39" x14ac:dyDescent="0.3">
      <c r="B49" s="7">
        <v>9</v>
      </c>
      <c r="C49" s="1">
        <v>15</v>
      </c>
      <c r="AF49" s="9"/>
    </row>
    <row r="50" spans="2:3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39" ht="16.2" thickBot="1" x14ac:dyDescent="0.35"/>
    <row r="52" spans="2:3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39" x14ac:dyDescent="0.3">
      <c r="B53" s="7"/>
      <c r="F53" s="9"/>
      <c r="H53" s="10" t="s">
        <v>2</v>
      </c>
      <c r="I53" s="38"/>
      <c r="J53" s="34"/>
    </row>
    <row r="54" spans="2:39" x14ac:dyDescent="0.3">
      <c r="B54" s="7"/>
      <c r="F54" s="9"/>
      <c r="H54" s="10" t="s">
        <v>1</v>
      </c>
      <c r="I54" s="38"/>
      <c r="J54" s="34"/>
    </row>
    <row r="55" spans="2:39" ht="16.2" thickBot="1" x14ac:dyDescent="0.35">
      <c r="B55" s="25" cm="1">
        <f t="array" ref="B55">SUMPRODUCT(MMULT(BY6:CC30*C6:C30*L6:L30*POWER(F6:F30,O6:O30),I33:I37))</f>
        <v>6943.0043927394327</v>
      </c>
      <c r="C55" s="26"/>
      <c r="D55" s="26"/>
      <c r="E55" s="26"/>
      <c r="F55" s="27"/>
      <c r="H55" s="25" t="s">
        <v>1160</v>
      </c>
      <c r="I55" s="26"/>
      <c r="J55" s="27"/>
    </row>
    <row r="56" spans="2:39" ht="16.2" thickBot="1" x14ac:dyDescent="0.35"/>
    <row r="57" spans="2:3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39" x14ac:dyDescent="0.3">
      <c r="B58" s="7"/>
      <c r="AM58" s="9"/>
    </row>
    <row r="59" spans="2:39" x14ac:dyDescent="0.3">
      <c r="B59" s="7"/>
      <c r="AM59" s="9"/>
    </row>
    <row r="60" spans="2:39" x14ac:dyDescent="0.3">
      <c r="B60" s="7"/>
      <c r="AM60" s="9"/>
    </row>
    <row r="61" spans="2:39" x14ac:dyDescent="0.3">
      <c r="B61" s="7"/>
      <c r="AM61" s="9"/>
    </row>
    <row r="62" spans="2:3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</row>
    <row r="63" spans="2:39" x14ac:dyDescent="0.3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1</v>
      </c>
      <c r="I63" s="1" t="s">
        <v>24</v>
      </c>
      <c r="J63" s="1">
        <v>0</v>
      </c>
      <c r="M63" s="1" cm="1">
        <f t="array" ref="M63">SUM(AA6:AE6*BR6:BV6-U6*BK6:BO6)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</row>
    <row r="64" spans="2:39" x14ac:dyDescent="0.3">
      <c r="B64" s="7"/>
      <c r="C64" s="1">
        <f t="shared" ref="C64:C86" si="11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4</v>
      </c>
      <c r="I64" s="1" t="s">
        <v>24</v>
      </c>
      <c r="J64" s="1">
        <v>0</v>
      </c>
      <c r="M64" s="1" cm="1">
        <f t="array" ref="M64">SUM(AA7:AE7*BR7:BV7-U7*BK7:BO7)</f>
        <v>-14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G64" s="1" t="s">
        <v>21</v>
      </c>
      <c r="AM64" s="9"/>
    </row>
    <row r="65" spans="2:39" x14ac:dyDescent="0.3">
      <c r="B65" s="7"/>
      <c r="C65" s="1">
        <f t="shared" si="11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-2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INDIRECT(ADDRESS(5+$B43,62+COLUMNS($A3:A3)))+INDIRECT(ADDRESS(5+$C43,62+COLUMNS($A3:A3)))</f>
        <v>0</v>
      </c>
      <c r="AC65" s="1" cm="1">
        <f t="array" aca="1" ref="AC65" ca="1">INDIRECT(ADDRESS(5+$B43,62+COLUMNS($A3:B3)))+INDIRECT(ADDRESS(5+$C43,62+COLUMNS($A3:B3)))</f>
        <v>0</v>
      </c>
      <c r="AD65" s="1" cm="1">
        <f t="array" aca="1" ref="AD65" ca="1">INDIRECT(ADDRESS(5+$B43,62+COLUMNS($A3:C3)))+INDIRECT(ADDRESS(5+$C43,62+COLUMNS($A3:C3)))</f>
        <v>0</v>
      </c>
      <c r="AE65" s="1" cm="1">
        <f t="array" aca="1" ref="AE65" ca="1">INDIRECT(ADDRESS(5+$B43,62+COLUMNS($A3:D3)))+INDIRECT(ADDRESS(5+$C43,62+COLUMNS($A3:D3)))</f>
        <v>0</v>
      </c>
      <c r="AF65" s="1" cm="1">
        <f t="array" aca="1" ref="AF65" ca="1">INDIRECT(ADDRESS(5+$B43,62+COLUMNS($A3:E3)))+INDIRECT(ADDRESS(5+$C43,62+COLUMNS($A3:E3)))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</row>
    <row r="66" spans="2:39" x14ac:dyDescent="0.3">
      <c r="B66" s="7"/>
      <c r="C66" s="1">
        <f t="shared" si="11"/>
        <v>1</v>
      </c>
      <c r="D66" s="1" t="s">
        <v>21</v>
      </c>
      <c r="E66" s="1">
        <v>1</v>
      </c>
      <c r="H66" s="1" cm="1">
        <f t="array" ref="H66">SUM(AA9:AE9*BR9:BV9-R9*BK9:BO9)</f>
        <v>3</v>
      </c>
      <c r="I66" s="1" t="s">
        <v>24</v>
      </c>
      <c r="J66" s="1">
        <v>0</v>
      </c>
      <c r="M66" s="1" cm="1">
        <f t="array" ref="M66">SUM(AA9:AE9*BR9:BV9-U9*BK9:BO9)</f>
        <v>-5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1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1"/>
        <v>1</v>
      </c>
      <c r="D68" s="1" t="s">
        <v>21</v>
      </c>
      <c r="E68" s="1">
        <v>1</v>
      </c>
      <c r="F68" s="38"/>
      <c r="H68" s="1" cm="1">
        <f t="array" ref="H68">SUM(AA11:AE11*BR11:BV11-R11*BK11:BO11)</f>
        <v>3</v>
      </c>
      <c r="I68" s="1" t="s">
        <v>24</v>
      </c>
      <c r="J68" s="1">
        <v>0</v>
      </c>
      <c r="M68" s="1" cm="1">
        <f t="array" ref="M68">SUM(AA11:AE11*BR11:BV11-U11*BK11:BO11)</f>
        <v>-17</v>
      </c>
      <c r="N68" s="1" t="s">
        <v>21</v>
      </c>
      <c r="O68" s="1">
        <v>0</v>
      </c>
      <c r="AM68" s="9"/>
    </row>
    <row r="69" spans="2:39" x14ac:dyDescent="0.3">
      <c r="B69" s="10"/>
      <c r="C69" s="1">
        <f t="shared" si="11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39" x14ac:dyDescent="0.3">
      <c r="B70" s="10"/>
      <c r="C70" s="1">
        <f t="shared" si="11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1</v>
      </c>
      <c r="I70" s="1" t="s">
        <v>24</v>
      </c>
      <c r="J70" s="1">
        <v>0</v>
      </c>
      <c r="M70" s="1" cm="1">
        <f t="array" ref="M70">SUM(AA13:AE13*BR13:BV13-U13*BK13:BO13)</f>
        <v>-16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1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V71" s="1" t="s">
        <v>1173</v>
      </c>
      <c r="AM71" s="9"/>
    </row>
    <row r="72" spans="2:39" x14ac:dyDescent="0.3">
      <c r="B72" s="10"/>
      <c r="C72" s="1">
        <f t="shared" si="11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8</v>
      </c>
      <c r="I72" s="1" t="s">
        <v>24</v>
      </c>
      <c r="J72" s="1">
        <v>0</v>
      </c>
      <c r="M72" s="1" cm="1">
        <f t="array" ref="M72">SUM(AA15:AE15*BR15:BV15-U15*BK15:BO15)</f>
        <v>-2</v>
      </c>
      <c r="N72" s="1" t="s">
        <v>21</v>
      </c>
      <c r="O72" s="1">
        <v>0</v>
      </c>
      <c r="W72" s="1" cm="1">
        <f t="array" aca="1" ref="W72" ca="1">INDIRECT(ADDRESS(8,62+ROWS($A$1:A1)))-INDIRECT(ADDRESS(13,62+ROWS($A$1:A1)))</f>
        <v>0</v>
      </c>
      <c r="X72" s="1" t="s">
        <v>25</v>
      </c>
      <c r="Y72" s="1">
        <v>0</v>
      </c>
      <c r="AM72" s="9"/>
    </row>
    <row r="73" spans="2:39" x14ac:dyDescent="0.3">
      <c r="B73" s="10"/>
      <c r="C73" s="1">
        <f t="shared" si="11"/>
        <v>1</v>
      </c>
      <c r="D73" s="1" t="s">
        <v>21</v>
      </c>
      <c r="E73" s="1">
        <v>1</v>
      </c>
      <c r="F73" s="38"/>
      <c r="H73" s="1" cm="1">
        <f t="array" ref="H73">SUM(AA16:AE16*BR16:BV16-R16*BK16:BO16)</f>
        <v>4</v>
      </c>
      <c r="I73" s="1" t="s">
        <v>24</v>
      </c>
      <c r="J73" s="1">
        <v>0</v>
      </c>
      <c r="M73" s="1" cm="1">
        <f t="array" ref="M73">SUM(AA16:AE16*BR16:BV16-U16*BK16:BO16)</f>
        <v>-11</v>
      </c>
      <c r="N73" s="1" t="s">
        <v>21</v>
      </c>
      <c r="O73" s="1">
        <v>0</v>
      </c>
      <c r="W73" s="1" cm="1">
        <f t="array" aca="1" ref="W73" ca="1">INDIRECT(ADDRESS(8,62+ROWS($A$1:A2)))-INDIRECT(ADDRESS(13,62+ROWS($A$1:A2)))</f>
        <v>0</v>
      </c>
      <c r="X73" s="1" t="s">
        <v>25</v>
      </c>
      <c r="Y73" s="1">
        <v>0</v>
      </c>
      <c r="AM73" s="9"/>
    </row>
    <row r="74" spans="2:39" x14ac:dyDescent="0.3">
      <c r="B74" s="10"/>
      <c r="C74" s="1">
        <f t="shared" si="11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W74" s="1" cm="1">
        <f t="array" aca="1" ref="W74" ca="1">INDIRECT(ADDRESS(8,62+ROWS($A$1:A3)))-INDIRECT(ADDRESS(13,62+ROWS($A$1:A3)))</f>
        <v>0</v>
      </c>
      <c r="X74" s="1" t="s">
        <v>25</v>
      </c>
      <c r="Y74" s="1">
        <v>0</v>
      </c>
      <c r="AM74" s="9"/>
    </row>
    <row r="75" spans="2:39" x14ac:dyDescent="0.3">
      <c r="B75" s="10"/>
      <c r="C75" s="1">
        <f t="shared" si="11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W75" s="1" cm="1">
        <f t="array" aca="1" ref="W75" ca="1">INDIRECT(ADDRESS(8,62+ROWS($A$1:A4)))-INDIRECT(ADDRESS(13,62+ROWS($A$1:A4)))</f>
        <v>0</v>
      </c>
      <c r="X75" s="1" t="s">
        <v>25</v>
      </c>
      <c r="Y75" s="1">
        <v>0</v>
      </c>
      <c r="AM75" s="9"/>
    </row>
    <row r="76" spans="2:39" x14ac:dyDescent="0.3">
      <c r="B76" s="7"/>
      <c r="C76" s="1">
        <f t="shared" si="11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W76" s="1" cm="1">
        <f t="array" aca="1" ref="W76" ca="1">INDIRECT(ADDRESS(8,62+ROWS($A$1:A5)))-INDIRECT(ADDRESS(13,62+ROWS($A$1:A5)))</f>
        <v>0</v>
      </c>
      <c r="X76" s="1" t="s">
        <v>25</v>
      </c>
      <c r="Y76" s="1">
        <v>0</v>
      </c>
      <c r="AM76" s="9"/>
    </row>
    <row r="77" spans="2:39" x14ac:dyDescent="0.3">
      <c r="B77" s="7"/>
      <c r="C77" s="1">
        <f t="shared" si="11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1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1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1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1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1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1"/>
        <v>1</v>
      </c>
      <c r="D83" s="1" t="s">
        <v>21</v>
      </c>
      <c r="E83" s="1">
        <v>1</v>
      </c>
      <c r="H83" s="1" cm="1">
        <f t="array" ref="H83">SUM(AA26:AE26*BR26:BV26-R26*BK26:BO26)</f>
        <v>4</v>
      </c>
      <c r="I83" s="1" t="s">
        <v>24</v>
      </c>
      <c r="J83" s="1">
        <v>0</v>
      </c>
      <c r="M83" s="1" cm="1">
        <f t="array" ref="M83">SUM(AA26:AE26*BR26:BV26-U26*BK26:BO26)</f>
        <v>-18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1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1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1"/>
        <v>1</v>
      </c>
      <c r="D86" s="1" t="s">
        <v>21</v>
      </c>
      <c r="E86" s="1">
        <v>1</v>
      </c>
      <c r="H86" s="1" cm="1">
        <f t="array" ref="H86">SUM(AA29:AE29*BR29:BV29-R29*BK29:BO29)</f>
        <v>11</v>
      </c>
      <c r="I86" s="1" t="s">
        <v>24</v>
      </c>
      <c r="J86" s="1">
        <v>0</v>
      </c>
      <c r="M86" s="1" cm="1">
        <f t="array" ref="M86">SUM(AA29:AE29*BR29:BV29-U29*BK29:BO29)</f>
        <v>-4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105EF9-87DC-400D-AF3A-CEFE01235C70}">
  <ds:schemaRefs>
    <ds:schemaRef ds:uri="http://www.w3.org/XML/1998/namespace"/>
    <ds:schemaRef ds:uri="http://schemas.openxmlformats.org/package/2006/metadata/core-properties"/>
    <ds:schemaRef ds:uri="http://purl.org/dc/elements/1.1/"/>
    <ds:schemaRef ds:uri="b79073fe-1e48-4a97-9229-baaa8603d15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Sayfa1 Sensitivity</vt:lpstr>
      <vt:lpstr>Q2</vt:lpstr>
      <vt:lpstr>Q3</vt:lpstr>
      <vt:lpstr>Q4</vt:lpstr>
      <vt:lpstr>Q5</vt:lpstr>
      <vt:lpstr>Q6-115cm</vt:lpstr>
      <vt:lpstr>Q6-120cm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2021-01-24T09:20:38Z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