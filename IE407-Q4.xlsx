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ErenYılmaz\Downloads\"/>
    </mc:Choice>
  </mc:AlternateContent>
  <xr:revisionPtr revIDLastSave="0" documentId="13_ncr:1_{B87ACC3B-755C-45C9-9BAF-33869E11911C}" xr6:coauthVersionLast="45" xr6:coauthVersionMax="46" xr10:uidLastSave="{00000000-0000-0000-0000-000000000000}"/>
  <bookViews>
    <workbookView xWindow="-118" yWindow="-118" windowWidth="25370" windowHeight="14374" activeTab="1" xr2:uid="{29C75357-6D86-4F34-87D3-5ABA805A4EC9}"/>
  </bookViews>
  <sheets>
    <sheet name="Sayfa1 Sensitivity" sheetId="2" r:id="rId1"/>
    <sheet name="Sayfa1" sheetId="1" r:id="rId2"/>
  </sheets>
  <definedNames>
    <definedName name="OpenSolver_ChosenSolver" localSheetId="1" hidden="1">CBC</definedName>
    <definedName name="OpenSolver_DualsNewSheet" localSheetId="1" hidden="1">1</definedName>
    <definedName name="OpenSolver_LinearityCheck" localSheetId="1" hidden="1">1</definedName>
    <definedName name="OpenSolver_UpdateSensitivity" localSheetId="1" hidden="1">0</definedName>
    <definedName name="solver_adj" localSheetId="1" hidden="1">Sayfa1!$AI$6:$AN$30,Sayfa1!$AP$6:$AU$30,Sayfa1!$AW$6:$BB$30,Sayfa1!$BD$6:$BI$30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Sayfa1!$C$63:$C$87</definedName>
    <definedName name="solver_lhs10" localSheetId="1" hidden="1">Sayfa1!$BD$6:$BI$30</definedName>
    <definedName name="solver_lhs2" localSheetId="1" hidden="1">Sayfa1!$H$63:$H$87</definedName>
    <definedName name="solver_lhs3" localSheetId="1" hidden="1">Sayfa1!$M$63:$M$87</definedName>
    <definedName name="solver_lhs4" localSheetId="1" hidden="1">Sayfa1!$R$63:$R$68</definedName>
    <definedName name="solver_lhs5" localSheetId="1" hidden="1">Sayfa1!$W$63:$W$66</definedName>
    <definedName name="solver_lhs6" localSheetId="1" hidden="1">Sayfa1!$AB$63:$AF$65</definedName>
    <definedName name="solver_lhs7" localSheetId="1" hidden="1">Sayfa1!$AI$6:$AN$30</definedName>
    <definedName name="solver_lhs8" localSheetId="1" hidden="1">Sayfa1!$AP$6:$AU$30</definedName>
    <definedName name="solver_lhs9" localSheetId="1" hidden="1">Sayfa1!$AW$6:$BB$30</definedName>
    <definedName name="solver_neg" localSheetId="1" hidden="1">1</definedName>
    <definedName name="solver_num" localSheetId="1" hidden="1">10</definedName>
    <definedName name="solver_nwt" localSheetId="1" hidden="1">1</definedName>
    <definedName name="solver_opt" localSheetId="1" hidden="1">Sayfa1!$B$55</definedName>
    <definedName name="solver_rel1" localSheetId="1" hidden="1">1</definedName>
    <definedName name="solver_rel10" localSheetId="1" hidden="1">5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Sayfa1!$E$63:$E$87</definedName>
    <definedName name="solver_rhs10" localSheetId="1" hidden="1">binary</definedName>
    <definedName name="solver_rhs2" localSheetId="1" hidden="1">Sayfa1!$J$63:$J$87</definedName>
    <definedName name="solver_rhs3" localSheetId="1" hidden="1">Sayfa1!$O$63:$O$87</definedName>
    <definedName name="solver_rhs4" localSheetId="1" hidden="1">Sayfa1!$T$63:$T$68</definedName>
    <definedName name="solver_rhs5" localSheetId="1" hidden="1">Sayfa1!$Y$63:$Y$66</definedName>
    <definedName name="solver_rhs6" localSheetId="1" hidden="1">Sayfa1!$AH$63:$AL$65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0.05</definedName>
    <definedName name="solver_typ" localSheetId="1" hidden="1">1</definedName>
    <definedName name="solver_val" localSheetId="1" hidden="1">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30" i="1" l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AF25" i="1"/>
  <c r="AF30" i="1"/>
  <c r="AF29" i="1"/>
  <c r="AF28" i="1"/>
  <c r="AF27" i="1"/>
  <c r="AF26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R68" i="1" a="1"/>
  <c r="R68" i="1" l="1"/>
  <c r="C65" i="1"/>
  <c r="C63" i="1" l="1"/>
  <c r="BR35" i="1"/>
  <c r="BK35" i="1"/>
  <c r="BU29" i="1"/>
  <c r="BR7" i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V29" i="1"/>
  <c r="BR30" i="1"/>
  <c r="BS30" i="1"/>
  <c r="BT30" i="1"/>
  <c r="BU30" i="1"/>
  <c r="BV30" i="1"/>
  <c r="BU6" i="1"/>
  <c r="BS6" i="1"/>
  <c r="BT6" i="1"/>
  <c r="BV6" i="1"/>
  <c r="BR6" i="1"/>
  <c r="BK7" i="1"/>
  <c r="BL7" i="1"/>
  <c r="BM7" i="1"/>
  <c r="BN7" i="1"/>
  <c r="BO7" i="1"/>
  <c r="BK8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O6" i="1"/>
  <c r="BK6" i="1"/>
  <c r="C87" i="1"/>
  <c r="C64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D35" i="1"/>
  <c r="AW35" i="1"/>
  <c r="R63" i="1" a="1"/>
  <c r="AB65" i="1" a="1"/>
  <c r="AB63" i="1" a="1"/>
  <c r="AE65" i="1" a="1"/>
  <c r="W66" i="1"/>
  <c r="AF65" i="1" a="1"/>
  <c r="AD64" i="1" a="1"/>
  <c r="AC65" i="1" a="1"/>
  <c r="R64" i="1" a="1"/>
  <c r="R65" i="1" a="1"/>
  <c r="W64" i="1"/>
  <c r="R66" i="1" a="1"/>
  <c r="W65" i="1"/>
  <c r="AC63" i="1" a="1"/>
  <c r="AD63" i="1" a="1"/>
  <c r="AF63" i="1" a="1"/>
  <c r="AD65" i="1" a="1"/>
  <c r="AB64" i="1" a="1"/>
  <c r="AF64" i="1" a="1"/>
  <c r="R67" i="1" a="1"/>
  <c r="AE63" i="1" a="1"/>
  <c r="AC64" i="1" a="1"/>
  <c r="AE64" i="1" a="1"/>
  <c r="W63" i="1"/>
  <c r="B55" i="1" l="1" a="1"/>
  <c r="B55" i="1" s="1"/>
  <c r="R63" i="1"/>
  <c r="R67" i="1"/>
  <c r="R64" i="1"/>
  <c r="AE64" i="1"/>
  <c r="AC65" i="1"/>
  <c r="AD64" i="1"/>
  <c r="AF65" i="1"/>
  <c r="AB65" i="1"/>
  <c r="AC64" i="1"/>
  <c r="AD65" i="1"/>
  <c r="AE65" i="1"/>
  <c r="AF64" i="1"/>
  <c r="AB64" i="1"/>
  <c r="AF63" i="1"/>
  <c r="AE63" i="1"/>
  <c r="AD63" i="1"/>
  <c r="AC63" i="1"/>
  <c r="AB63" i="1"/>
  <c r="R65" i="1"/>
  <c r="R66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AH49" i="1"/>
  <c r="AH52" i="1"/>
  <c r="AH50" i="1"/>
  <c r="AH51" i="1"/>
  <c r="AH53" i="1"/>
  <c r="H78" i="1" l="1" a="1"/>
  <c r="H78" i="1" s="1"/>
  <c r="M86" i="1" a="1"/>
  <c r="M86" i="1" s="1"/>
  <c r="M70" i="1" a="1"/>
  <c r="M70" i="1" s="1"/>
  <c r="M65" i="1" a="1"/>
  <c r="M65" i="1" s="1"/>
  <c r="H84" i="1" a="1"/>
  <c r="H84" i="1" s="1"/>
  <c r="M76" i="1" a="1"/>
  <c r="M76" i="1" s="1"/>
  <c r="H68" i="1" a="1"/>
  <c r="H68" i="1" s="1"/>
  <c r="H63" i="1" a="1"/>
  <c r="H63" i="1" s="1"/>
  <c r="H87" i="1" a="1"/>
  <c r="H87" i="1" s="1"/>
  <c r="H79" i="1" a="1"/>
  <c r="H79" i="1" s="1"/>
  <c r="H71" i="1" a="1"/>
  <c r="H71" i="1" s="1"/>
  <c r="H66" i="1" a="1"/>
  <c r="H66" i="1" s="1"/>
  <c r="M82" i="1" a="1"/>
  <c r="M82" i="1" s="1"/>
  <c r="M78" i="1" a="1"/>
  <c r="M78" i="1" s="1"/>
  <c r="H77" i="1" a="1"/>
  <c r="H77" i="1" s="1"/>
  <c r="M69" i="1" a="1"/>
  <c r="M69" i="1" s="1"/>
  <c r="M73" i="1" a="1"/>
  <c r="M73" i="1" s="1"/>
  <c r="M66" i="1" a="1"/>
  <c r="M66" i="1" s="1"/>
  <c r="H75" i="1" a="1"/>
  <c r="H75" i="1" s="1"/>
  <c r="H72" i="1" a="1"/>
  <c r="H72" i="1" s="1"/>
  <c r="M67" i="1" a="1"/>
  <c r="M67" i="1" s="1"/>
  <c r="M64" i="1" a="1"/>
  <c r="M64" i="1" s="1"/>
  <c r="H81" i="1" a="1"/>
  <c r="H81" i="1" s="1"/>
  <c r="H74" i="1" a="1"/>
  <c r="H74" i="1" s="1"/>
  <c r="H85" i="1" a="1"/>
  <c r="H85" i="1" s="1"/>
  <c r="M80" i="1" a="1"/>
  <c r="M80" i="1" s="1"/>
  <c r="M83" i="1" a="1"/>
  <c r="M83" i="1" s="1"/>
  <c r="M75" i="1" a="1"/>
  <c r="M75" i="1" s="1"/>
  <c r="H67" i="1" a="1"/>
  <c r="H67" i="1" s="1"/>
  <c r="M71" i="1" a="1"/>
  <c r="M71" i="1" s="1"/>
  <c r="M81" i="1" a="1"/>
  <c r="M81" i="1" s="1"/>
  <c r="H70" i="1" a="1"/>
  <c r="H70" i="1" s="1"/>
  <c r="M74" i="1" a="1"/>
  <c r="M74" i="1" s="1"/>
  <c r="M72" i="1" a="1"/>
  <c r="M72" i="1" s="1"/>
  <c r="H86" i="1" a="1"/>
  <c r="H86" i="1" s="1"/>
  <c r="M84" i="1" a="1"/>
  <c r="M84" i="1" s="1"/>
  <c r="H69" i="1" a="1"/>
  <c r="H69" i="1" s="1"/>
  <c r="M87" i="1" a="1"/>
  <c r="M87" i="1" s="1"/>
  <c r="H65" i="1" a="1"/>
  <c r="H65" i="1" s="1"/>
  <c r="H83" i="1" a="1"/>
  <c r="H83" i="1" s="1"/>
  <c r="H73" i="1" a="1"/>
  <c r="H73" i="1" s="1"/>
  <c r="M79" i="1" a="1"/>
  <c r="M79" i="1" s="1"/>
  <c r="M68" i="1" a="1"/>
  <c r="M68" i="1" s="1"/>
  <c r="H80" i="1" a="1"/>
  <c r="H80" i="1" s="1"/>
  <c r="M63" i="1" a="1"/>
  <c r="M63" i="1" s="1"/>
  <c r="M85" i="1" a="1"/>
  <c r="M85" i="1" s="1"/>
  <c r="H82" i="1" a="1"/>
  <c r="H82" i="1" s="1"/>
  <c r="M77" i="1" a="1"/>
  <c r="M77" i="1" s="1"/>
  <c r="H76" i="1" a="1"/>
  <c r="H76" i="1" s="1"/>
  <c r="H64" i="1" a="1"/>
  <c r="H6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<sst xmlns="http://schemas.openxmlformats.org/spreadsheetml/2006/main" count="1858" uniqueCount="1162">
  <si>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</si>
  <si>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</si>
  <si>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</si>
  <si>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</si>
  <si>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</si>
  <si>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</si>
  <si>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</si>
  <si>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</si>
  <si>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</si>
  <si>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</si>
  <si>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</si>
  <si>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</si>
  <si>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</si>
  <si>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</si>
  <si>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</si>
  <si>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</si>
  <si>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</si>
  <si>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</si>
  <si>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</si>
  <si>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</si>
  <si>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</si>
  <si>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</si>
  <si>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</si>
  <si>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helpful formula delete later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</si>
  <si>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</si>
  <si>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</si>
  <si>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</si>
  <si>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</si>
  <si>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</si>
  <si>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</si>
  <si>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</si>
  <si>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</si>
  <si>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</si>
  <si>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</si>
  <si>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</si>
  <si>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</si>
  <si>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f(i,k)=j from 1 to 4 sum of j*X(i,j,k)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</si>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</sst>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2" fillId="0" borderId="4" xfId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1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40</xdr:col>
      <xdr:colOff>0</xdr:colOff>
      <xdr:row>30</xdr:row>
      <xdr:rowOff>1</xdr:rowOff>
    </xdr:to>
    <xdr:sp macro="" textlink="">
      <xdr:nvSpPr>
        <xdr:cNvPr id="268" name="OpenSolver1">
          <a:extLst>
            <a:ext uri="{FF2B5EF4-FFF2-40B4-BE49-F238E27FC236}">
              <a16:creationId xmlns:a16="http://schemas.microsoft.com/office/drawing/2014/main" id="{2AB117CE-6922-49EF-A4D7-91BBDC123D3D}"/>
            </a:ext>
          </a:extLst>
        </xdr:cNvPr>
        <xdr:cNvSpPr/>
      </xdr:nvSpPr>
      <xdr:spPr>
        <a:xfrm>
          <a:off x="24281476" y="1005840"/>
          <a:ext cx="4172989" cy="498763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0</xdr:colOff>
      <xdr:row>5</xdr:row>
      <xdr:rowOff>0</xdr:rowOff>
    </xdr:from>
    <xdr:to>
      <xdr:col>47</xdr:col>
      <xdr:colOff>-1</xdr:colOff>
      <xdr:row>30</xdr:row>
      <xdr:rowOff>1</xdr:rowOff>
    </xdr:to>
    <xdr:sp macro="" textlink="">
      <xdr:nvSpPr>
        <xdr:cNvPr id="269" name="OpenSolver2">
          <a:extLst>
            <a:ext uri="{FF2B5EF4-FFF2-40B4-BE49-F238E27FC236}">
              <a16:creationId xmlns:a16="http://schemas.microsoft.com/office/drawing/2014/main" id="{32456A7D-D4D6-451B-8E16-7EEA774A6805}"/>
            </a:ext>
          </a:extLst>
        </xdr:cNvPr>
        <xdr:cNvSpPr/>
      </xdr:nvSpPr>
      <xdr:spPr>
        <a:xfrm>
          <a:off x="29319478" y="987747"/>
          <a:ext cx="4087905" cy="4889841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2</xdr:colOff>
      <xdr:row>5</xdr:row>
      <xdr:rowOff>0</xdr:rowOff>
    </xdr:from>
    <xdr:to>
      <xdr:col>54</xdr:col>
      <xdr:colOff>2</xdr:colOff>
      <xdr:row>30</xdr:row>
      <xdr:rowOff>1</xdr:rowOff>
    </xdr:to>
    <xdr:sp macro="" textlink="">
      <xdr:nvSpPr>
        <xdr:cNvPr id="270" name="OpenSolver3">
          <a:extLst>
            <a:ext uri="{FF2B5EF4-FFF2-40B4-BE49-F238E27FC236}">
              <a16:creationId xmlns:a16="http://schemas.microsoft.com/office/drawing/2014/main" id="{6D833A8A-2412-4788-9FD6-5F3A8ADC0498}"/>
            </a:ext>
          </a:extLst>
        </xdr:cNvPr>
        <xdr:cNvSpPr/>
      </xdr:nvSpPr>
      <xdr:spPr>
        <a:xfrm>
          <a:off x="34073871" y="1005840"/>
          <a:ext cx="3990109" cy="498763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5</xdr:row>
      <xdr:rowOff>0</xdr:rowOff>
    </xdr:from>
    <xdr:to>
      <xdr:col>61</xdr:col>
      <xdr:colOff>1</xdr:colOff>
      <xdr:row>30</xdr:row>
      <xdr:rowOff>1</xdr:rowOff>
    </xdr:to>
    <xdr:sp macro="" textlink="">
      <xdr:nvSpPr>
        <xdr:cNvPr id="271" name="OpenSolver4">
          <a:extLst>
            <a:ext uri="{FF2B5EF4-FFF2-40B4-BE49-F238E27FC236}">
              <a16:creationId xmlns:a16="http://schemas.microsoft.com/office/drawing/2014/main" id="{19FE1562-2C2C-4E83-BFD3-DA826392212F}"/>
            </a:ext>
          </a:extLst>
        </xdr:cNvPr>
        <xdr:cNvSpPr/>
      </xdr:nvSpPr>
      <xdr:spPr>
        <a:xfrm>
          <a:off x="38803811" y="1005840"/>
          <a:ext cx="3990110" cy="498763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1</xdr:rowOff>
    </xdr:to>
    <xdr:sp macro="" textlink="">
      <xdr:nvSpPr>
        <xdr:cNvPr id="272" name="OpenSolver5">
          <a:extLst>
            <a:ext uri="{FF2B5EF4-FFF2-40B4-BE49-F238E27FC236}">
              <a16:creationId xmlns:a16="http://schemas.microsoft.com/office/drawing/2014/main" id="{CC100BF9-D9F7-49B2-9385-65E0C7430F39}"/>
            </a:ext>
          </a:extLst>
        </xdr:cNvPr>
        <xdr:cNvSpPr/>
      </xdr:nvSpPr>
      <xdr:spPr>
        <a:xfrm>
          <a:off x="764771" y="10814858"/>
          <a:ext cx="856211" cy="20781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749300</xdr:colOff>
      <xdr:row>53</xdr:row>
      <xdr:rowOff>137160</xdr:rowOff>
    </xdr:from>
    <xdr:to>
      <xdr:col>1</xdr:col>
      <xdr:colOff>233764</xdr:colOff>
      <xdr:row>54</xdr:row>
      <xdr:rowOff>56342</xdr:rowOff>
    </xdr:to>
    <xdr:sp macro="" textlink="">
      <xdr:nvSpPr>
        <xdr:cNvPr id="273" name="OpenSolver6">
          <a:extLst>
            <a:ext uri="{FF2B5EF4-FFF2-40B4-BE49-F238E27FC236}">
              <a16:creationId xmlns:a16="http://schemas.microsoft.com/office/drawing/2014/main" id="{F5A09B47-5639-4877-B823-27B12F8ADFE5}"/>
            </a:ext>
          </a:extLst>
        </xdr:cNvPr>
        <xdr:cNvSpPr/>
      </xdr:nvSpPr>
      <xdr:spPr>
        <a:xfrm>
          <a:off x="749300" y="107442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86</xdr:row>
      <xdr:rowOff>199505</xdr:rowOff>
    </xdr:to>
    <xdr:sp macro="" textlink="">
      <xdr:nvSpPr>
        <xdr:cNvPr id="274" name="OpenSolver7">
          <a:extLst>
            <a:ext uri="{FF2B5EF4-FFF2-40B4-BE49-F238E27FC236}">
              <a16:creationId xmlns:a16="http://schemas.microsoft.com/office/drawing/2014/main" id="{4DDA4CCF-B773-4480-9F70-B85ADDFD0C9C}"/>
            </a:ext>
          </a:extLst>
        </xdr:cNvPr>
        <xdr:cNvSpPr/>
      </xdr:nvSpPr>
      <xdr:spPr>
        <a:xfrm>
          <a:off x="1620982" y="12427527"/>
          <a:ext cx="822960" cy="4987636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86</xdr:row>
      <xdr:rowOff>199505</xdr:rowOff>
    </xdr:to>
    <xdr:sp macro="" textlink="">
      <xdr:nvSpPr>
        <xdr:cNvPr id="275" name="OpenSolver8">
          <a:extLst>
            <a:ext uri="{FF2B5EF4-FFF2-40B4-BE49-F238E27FC236}">
              <a16:creationId xmlns:a16="http://schemas.microsoft.com/office/drawing/2014/main" id="{6D0D35CE-B8AE-47C5-B649-853A37BBE876}"/>
            </a:ext>
          </a:extLst>
        </xdr:cNvPr>
        <xdr:cNvSpPr/>
      </xdr:nvSpPr>
      <xdr:spPr>
        <a:xfrm>
          <a:off x="3391593" y="12427527"/>
          <a:ext cx="673331" cy="4987636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99752</xdr:rowOff>
    </xdr:from>
    <xdr:to>
      <xdr:col>4</xdr:col>
      <xdr:colOff>0</xdr:colOff>
      <xdr:row>74</xdr:row>
      <xdr:rowOff>99752</xdr:rowOff>
    </xdr:to>
    <xdr:cxnSp macro="">
      <xdr:nvCxnSpPr>
        <xdr:cNvPr id="276" name="OpenSolver9">
          <a:extLst>
            <a:ext uri="{FF2B5EF4-FFF2-40B4-BE49-F238E27FC236}">
              <a16:creationId xmlns:a16="http://schemas.microsoft.com/office/drawing/2014/main" id="{5DE53E98-BDF0-42A4-B171-3FF0604BB3D4}"/>
            </a:ext>
          </a:extLst>
        </xdr:cNvPr>
        <xdr:cNvCxnSpPr>
          <a:stCxn id="274" idx="3"/>
          <a:endCxn id="275" idx="1"/>
        </xdr:cNvCxnSpPr>
      </xdr:nvCxnSpPr>
      <xdr:spPr>
        <a:xfrm>
          <a:off x="2443942" y="14921345"/>
          <a:ext cx="947651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283325</xdr:colOff>
      <xdr:row>73</xdr:row>
      <xdr:rowOff>172258</xdr:rowOff>
    </xdr:from>
    <xdr:to>
      <xdr:col>3</xdr:col>
      <xdr:colOff>664325</xdr:colOff>
      <xdr:row>75</xdr:row>
      <xdr:rowOff>27247</xdr:rowOff>
    </xdr:to>
    <xdr:sp macro="" textlink="">
      <xdr:nvSpPr>
        <xdr:cNvPr id="277" name="OpenSolver10">
          <a:extLst>
            <a:ext uri="{FF2B5EF4-FFF2-40B4-BE49-F238E27FC236}">
              <a16:creationId xmlns:a16="http://schemas.microsoft.com/office/drawing/2014/main" id="{A6624AC6-0B87-4E6A-99C9-0E07FCDF6BC8}"/>
            </a:ext>
          </a:extLst>
        </xdr:cNvPr>
        <xdr:cNvSpPr/>
      </xdr:nvSpPr>
      <xdr:spPr>
        <a:xfrm>
          <a:off x="2727267" y="1479434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86</xdr:row>
      <xdr:rowOff>199505</xdr:rowOff>
    </xdr:to>
    <xdr:sp macro="" textlink="">
      <xdr:nvSpPr>
        <xdr:cNvPr id="278" name="OpenSolver11">
          <a:extLst>
            <a:ext uri="{FF2B5EF4-FFF2-40B4-BE49-F238E27FC236}">
              <a16:creationId xmlns:a16="http://schemas.microsoft.com/office/drawing/2014/main" id="{CF193BF0-B016-4492-BD73-97B3342DA0A9}"/>
            </a:ext>
          </a:extLst>
        </xdr:cNvPr>
        <xdr:cNvSpPr/>
      </xdr:nvSpPr>
      <xdr:spPr>
        <a:xfrm>
          <a:off x="5569527" y="12427527"/>
          <a:ext cx="673331" cy="4987636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1</xdr:colOff>
      <xdr:row>62</xdr:row>
      <xdr:rowOff>0</xdr:rowOff>
    </xdr:from>
    <xdr:to>
      <xdr:col>10</xdr:col>
      <xdr:colOff>1</xdr:colOff>
      <xdr:row>86</xdr:row>
      <xdr:rowOff>199505</xdr:rowOff>
    </xdr:to>
    <xdr:sp macro="" textlink="">
      <xdr:nvSpPr>
        <xdr:cNvPr id="279" name="OpenSolver12">
          <a:extLst>
            <a:ext uri="{FF2B5EF4-FFF2-40B4-BE49-F238E27FC236}">
              <a16:creationId xmlns:a16="http://schemas.microsoft.com/office/drawing/2014/main" id="{10CA4E6D-F4FF-4606-BF68-418BBE7C6EE0}"/>
            </a:ext>
          </a:extLst>
        </xdr:cNvPr>
        <xdr:cNvSpPr/>
      </xdr:nvSpPr>
      <xdr:spPr>
        <a:xfrm>
          <a:off x="7148946" y="12427527"/>
          <a:ext cx="673331" cy="4987636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99752</xdr:rowOff>
    </xdr:from>
    <xdr:to>
      <xdr:col>9</xdr:col>
      <xdr:colOff>1</xdr:colOff>
      <xdr:row>74</xdr:row>
      <xdr:rowOff>99752</xdr:rowOff>
    </xdr:to>
    <xdr:cxnSp macro="">
      <xdr:nvCxnSpPr>
        <xdr:cNvPr id="280" name="OpenSolver13">
          <a:extLst>
            <a:ext uri="{FF2B5EF4-FFF2-40B4-BE49-F238E27FC236}">
              <a16:creationId xmlns:a16="http://schemas.microsoft.com/office/drawing/2014/main" id="{B2C27C5B-95C5-4152-9F38-981DD434C068}"/>
            </a:ext>
          </a:extLst>
        </xdr:cNvPr>
        <xdr:cNvCxnSpPr>
          <a:stCxn id="278" idx="3"/>
          <a:endCxn id="279" idx="1"/>
        </xdr:cNvCxnSpPr>
      </xdr:nvCxnSpPr>
      <xdr:spPr>
        <a:xfrm>
          <a:off x="6242858" y="14921345"/>
          <a:ext cx="906088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262544</xdr:colOff>
      <xdr:row>73</xdr:row>
      <xdr:rowOff>172258</xdr:rowOff>
    </xdr:from>
    <xdr:to>
      <xdr:col>8</xdr:col>
      <xdr:colOff>643544</xdr:colOff>
      <xdr:row>75</xdr:row>
      <xdr:rowOff>27247</xdr:rowOff>
    </xdr:to>
    <xdr:sp macro="" textlink="">
      <xdr:nvSpPr>
        <xdr:cNvPr id="281" name="OpenSolver14">
          <a:extLst>
            <a:ext uri="{FF2B5EF4-FFF2-40B4-BE49-F238E27FC236}">
              <a16:creationId xmlns:a16="http://schemas.microsoft.com/office/drawing/2014/main" id="{F4A51408-D3A4-4F49-95C7-5A7E70D31CB9}"/>
            </a:ext>
          </a:extLst>
        </xdr:cNvPr>
        <xdr:cNvSpPr/>
      </xdr:nvSpPr>
      <xdr:spPr>
        <a:xfrm>
          <a:off x="6505402" y="1479434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86</xdr:row>
      <xdr:rowOff>199505</xdr:rowOff>
    </xdr:to>
    <xdr:sp macro="" textlink="">
      <xdr:nvSpPr>
        <xdr:cNvPr id="282" name="OpenSolver15">
          <a:extLst>
            <a:ext uri="{FF2B5EF4-FFF2-40B4-BE49-F238E27FC236}">
              <a16:creationId xmlns:a16="http://schemas.microsoft.com/office/drawing/2014/main" id="{98472E78-F845-46A7-AEE0-2EA980F5C9C7}"/>
            </a:ext>
          </a:extLst>
        </xdr:cNvPr>
        <xdr:cNvSpPr/>
      </xdr:nvSpPr>
      <xdr:spPr>
        <a:xfrm>
          <a:off x="9168938" y="12427527"/>
          <a:ext cx="673331" cy="4987636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86</xdr:row>
      <xdr:rowOff>199505</xdr:rowOff>
    </xdr:to>
    <xdr:sp macro="" textlink="">
      <xdr:nvSpPr>
        <xdr:cNvPr id="283" name="OpenSolver16">
          <a:extLst>
            <a:ext uri="{FF2B5EF4-FFF2-40B4-BE49-F238E27FC236}">
              <a16:creationId xmlns:a16="http://schemas.microsoft.com/office/drawing/2014/main" id="{52CE600E-5B0B-40E2-B6A2-65E459DDDBD0}"/>
            </a:ext>
          </a:extLst>
        </xdr:cNvPr>
        <xdr:cNvSpPr/>
      </xdr:nvSpPr>
      <xdr:spPr>
        <a:xfrm>
          <a:off x="10515600" y="12427527"/>
          <a:ext cx="673331" cy="4987636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99752</xdr:rowOff>
    </xdr:from>
    <xdr:to>
      <xdr:col>14</xdr:col>
      <xdr:colOff>0</xdr:colOff>
      <xdr:row>74</xdr:row>
      <xdr:rowOff>99752</xdr:rowOff>
    </xdr:to>
    <xdr:cxnSp macro="">
      <xdr:nvCxnSpPr>
        <xdr:cNvPr id="284" name="OpenSolver17">
          <a:extLst>
            <a:ext uri="{FF2B5EF4-FFF2-40B4-BE49-F238E27FC236}">
              <a16:creationId xmlns:a16="http://schemas.microsoft.com/office/drawing/2014/main" id="{A9ADE25D-CE61-4376-82D8-41C02809D4C4}"/>
            </a:ext>
          </a:extLst>
        </xdr:cNvPr>
        <xdr:cNvCxnSpPr>
          <a:stCxn id="282" idx="3"/>
          <a:endCxn id="283" idx="1"/>
        </xdr:cNvCxnSpPr>
      </xdr:nvCxnSpPr>
      <xdr:spPr>
        <a:xfrm>
          <a:off x="9842269" y="14921345"/>
          <a:ext cx="673331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146166</xdr:colOff>
      <xdr:row>73</xdr:row>
      <xdr:rowOff>172258</xdr:rowOff>
    </xdr:from>
    <xdr:to>
      <xdr:col>13</xdr:col>
      <xdr:colOff>527166</xdr:colOff>
      <xdr:row>75</xdr:row>
      <xdr:rowOff>27247</xdr:rowOff>
    </xdr:to>
    <xdr:sp macro="" textlink="">
      <xdr:nvSpPr>
        <xdr:cNvPr id="285" name="OpenSolver18">
          <a:extLst>
            <a:ext uri="{FF2B5EF4-FFF2-40B4-BE49-F238E27FC236}">
              <a16:creationId xmlns:a16="http://schemas.microsoft.com/office/drawing/2014/main" id="{19BA0D40-3DF4-4C58-8FA6-FEC4632EF6BC}"/>
            </a:ext>
          </a:extLst>
        </xdr:cNvPr>
        <xdr:cNvSpPr/>
      </xdr:nvSpPr>
      <xdr:spPr>
        <a:xfrm>
          <a:off x="9988435" y="1479434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748145</xdr:colOff>
      <xdr:row>62</xdr:row>
      <xdr:rowOff>0</xdr:rowOff>
    </xdr:from>
    <xdr:to>
      <xdr:col>18</xdr:col>
      <xdr:colOff>0</xdr:colOff>
      <xdr:row>68</xdr:row>
      <xdr:rowOff>1</xdr:rowOff>
    </xdr:to>
    <xdr:sp macro="" textlink="">
      <xdr:nvSpPr>
        <xdr:cNvPr id="286" name="OpenSolver19">
          <a:extLst>
            <a:ext uri="{FF2B5EF4-FFF2-40B4-BE49-F238E27FC236}">
              <a16:creationId xmlns:a16="http://schemas.microsoft.com/office/drawing/2014/main" id="{3E838E3B-AC6F-44A6-B902-1AD53B825974}"/>
            </a:ext>
          </a:extLst>
        </xdr:cNvPr>
        <xdr:cNvSpPr/>
      </xdr:nvSpPr>
      <xdr:spPr>
        <a:xfrm>
          <a:off x="12602094" y="12427527"/>
          <a:ext cx="673331" cy="1197034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0</xdr:colOff>
      <xdr:row>68</xdr:row>
      <xdr:rowOff>1</xdr:rowOff>
    </xdr:to>
    <xdr:sp macro="" textlink="">
      <xdr:nvSpPr>
        <xdr:cNvPr id="287" name="OpenSolver20">
          <a:extLst>
            <a:ext uri="{FF2B5EF4-FFF2-40B4-BE49-F238E27FC236}">
              <a16:creationId xmlns:a16="http://schemas.microsoft.com/office/drawing/2014/main" id="{0EB58A3D-3CC8-457E-B1CA-69E913D36453}"/>
            </a:ext>
          </a:extLst>
        </xdr:cNvPr>
        <xdr:cNvSpPr/>
      </xdr:nvSpPr>
      <xdr:spPr>
        <a:xfrm>
          <a:off x="13940444" y="12427527"/>
          <a:ext cx="673331" cy="1197034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65</xdr:row>
      <xdr:rowOff>0</xdr:rowOff>
    </xdr:from>
    <xdr:to>
      <xdr:col>19</xdr:col>
      <xdr:colOff>0</xdr:colOff>
      <xdr:row>65</xdr:row>
      <xdr:rowOff>0</xdr:rowOff>
    </xdr:to>
    <xdr:cxnSp macro="">
      <xdr:nvCxnSpPr>
        <xdr:cNvPr id="288" name="OpenSolver21">
          <a:extLst>
            <a:ext uri="{FF2B5EF4-FFF2-40B4-BE49-F238E27FC236}">
              <a16:creationId xmlns:a16="http://schemas.microsoft.com/office/drawing/2014/main" id="{E36A2A06-F7F0-47E4-A487-EF39542E02BB}"/>
            </a:ext>
          </a:extLst>
        </xdr:cNvPr>
        <xdr:cNvCxnSpPr>
          <a:stCxn id="286" idx="3"/>
          <a:endCxn id="287" idx="1"/>
        </xdr:cNvCxnSpPr>
      </xdr:nvCxnSpPr>
      <xdr:spPr>
        <a:xfrm>
          <a:off x="13275425" y="13026044"/>
          <a:ext cx="665019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142010</xdr:colOff>
      <xdr:row>64</xdr:row>
      <xdr:rowOff>72506</xdr:rowOff>
    </xdr:from>
    <xdr:to>
      <xdr:col>18</xdr:col>
      <xdr:colOff>523010</xdr:colOff>
      <xdr:row>65</xdr:row>
      <xdr:rowOff>127000</xdr:rowOff>
    </xdr:to>
    <xdr:sp macro="" textlink="">
      <xdr:nvSpPr>
        <xdr:cNvPr id="289" name="OpenSolver22">
          <a:extLst>
            <a:ext uri="{FF2B5EF4-FFF2-40B4-BE49-F238E27FC236}">
              <a16:creationId xmlns:a16="http://schemas.microsoft.com/office/drawing/2014/main" id="{8A76557C-7D63-4824-B564-FD20ECB5915A}"/>
            </a:ext>
          </a:extLst>
        </xdr:cNvPr>
        <xdr:cNvSpPr/>
      </xdr:nvSpPr>
      <xdr:spPr>
        <a:xfrm>
          <a:off x="13417435" y="12899044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66</xdr:row>
      <xdr:rowOff>0</xdr:rowOff>
    </xdr:to>
    <xdr:sp macro="" textlink="">
      <xdr:nvSpPr>
        <xdr:cNvPr id="290" name="OpenSolver23">
          <a:extLst>
            <a:ext uri="{FF2B5EF4-FFF2-40B4-BE49-F238E27FC236}">
              <a16:creationId xmlns:a16="http://schemas.microsoft.com/office/drawing/2014/main" id="{5FF77119-8248-40BF-844B-AFCFAD40693E}"/>
            </a:ext>
          </a:extLst>
        </xdr:cNvPr>
        <xdr:cNvSpPr/>
      </xdr:nvSpPr>
      <xdr:spPr>
        <a:xfrm>
          <a:off x="15952124" y="12427527"/>
          <a:ext cx="673331" cy="798022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66</xdr:row>
      <xdr:rowOff>0</xdr:rowOff>
    </xdr:to>
    <xdr:sp macro="" textlink="">
      <xdr:nvSpPr>
        <xdr:cNvPr id="291" name="OpenSolver24">
          <a:extLst>
            <a:ext uri="{FF2B5EF4-FFF2-40B4-BE49-F238E27FC236}">
              <a16:creationId xmlns:a16="http://schemas.microsoft.com/office/drawing/2014/main" id="{ECC61E1A-9492-4B1B-9F54-82A485148C91}"/>
            </a:ext>
          </a:extLst>
        </xdr:cNvPr>
        <xdr:cNvSpPr/>
      </xdr:nvSpPr>
      <xdr:spPr>
        <a:xfrm>
          <a:off x="17373600" y="12427527"/>
          <a:ext cx="673331" cy="798022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92" name="OpenSolver25">
          <a:extLst>
            <a:ext uri="{FF2B5EF4-FFF2-40B4-BE49-F238E27FC236}">
              <a16:creationId xmlns:a16="http://schemas.microsoft.com/office/drawing/2014/main" id="{F3B450B6-A307-41FF-9984-BDF48E057EC4}"/>
            </a:ext>
          </a:extLst>
        </xdr:cNvPr>
        <xdr:cNvCxnSpPr>
          <a:stCxn id="290" idx="3"/>
          <a:endCxn id="291" idx="1"/>
        </xdr:cNvCxnSpPr>
      </xdr:nvCxnSpPr>
      <xdr:spPr>
        <a:xfrm>
          <a:off x="16625455" y="12826538"/>
          <a:ext cx="748145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183572</xdr:colOff>
      <xdr:row>63</xdr:row>
      <xdr:rowOff>72505</xdr:rowOff>
    </xdr:from>
    <xdr:to>
      <xdr:col>23</xdr:col>
      <xdr:colOff>564572</xdr:colOff>
      <xdr:row>64</xdr:row>
      <xdr:rowOff>127000</xdr:rowOff>
    </xdr:to>
    <xdr:sp macro="" textlink="">
      <xdr:nvSpPr>
        <xdr:cNvPr id="293" name="OpenSolver26">
          <a:extLst>
            <a:ext uri="{FF2B5EF4-FFF2-40B4-BE49-F238E27FC236}">
              <a16:creationId xmlns:a16="http://schemas.microsoft.com/office/drawing/2014/main" id="{ABE64D90-5F8D-4BBA-AD08-D56474FD8722}"/>
            </a:ext>
          </a:extLst>
        </xdr:cNvPr>
        <xdr:cNvSpPr/>
      </xdr:nvSpPr>
      <xdr:spPr>
        <a:xfrm>
          <a:off x="16809027" y="12699538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94" name="OpenSolver27">
          <a:extLst>
            <a:ext uri="{FF2B5EF4-FFF2-40B4-BE49-F238E27FC236}">
              <a16:creationId xmlns:a16="http://schemas.microsoft.com/office/drawing/2014/main" id="{9D1748F5-4907-48C1-BAE7-34D52A52D560}"/>
            </a:ext>
          </a:extLst>
        </xdr:cNvPr>
        <xdr:cNvSpPr/>
      </xdr:nvSpPr>
      <xdr:spPr>
        <a:xfrm>
          <a:off x="19393593" y="12427527"/>
          <a:ext cx="3416531" cy="598517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37</xdr:col>
      <xdr:colOff>739832</xdr:colOff>
      <xdr:row>65</xdr:row>
      <xdr:rowOff>0</xdr:rowOff>
    </xdr:to>
    <xdr:sp macro="" textlink="">
      <xdr:nvSpPr>
        <xdr:cNvPr id="295" name="OpenSolver28">
          <a:extLst>
            <a:ext uri="{FF2B5EF4-FFF2-40B4-BE49-F238E27FC236}">
              <a16:creationId xmlns:a16="http://schemas.microsoft.com/office/drawing/2014/main" id="{BC369B9F-2DB3-4AE8-9680-B2C5C40786CF}"/>
            </a:ext>
          </a:extLst>
        </xdr:cNvPr>
        <xdr:cNvSpPr/>
      </xdr:nvSpPr>
      <xdr:spPr>
        <a:xfrm>
          <a:off x="23483455" y="12427527"/>
          <a:ext cx="3624348" cy="598517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99753</xdr:rowOff>
    </xdr:from>
    <xdr:to>
      <xdr:col>33</xdr:col>
      <xdr:colOff>0</xdr:colOff>
      <xdr:row>63</xdr:row>
      <xdr:rowOff>99753</xdr:rowOff>
    </xdr:to>
    <xdr:cxnSp macro="">
      <xdr:nvCxnSpPr>
        <xdr:cNvPr id="296" name="OpenSolver29">
          <a:extLst>
            <a:ext uri="{FF2B5EF4-FFF2-40B4-BE49-F238E27FC236}">
              <a16:creationId xmlns:a16="http://schemas.microsoft.com/office/drawing/2014/main" id="{AFB0D04B-95B9-4B41-9F69-6AAE4C3A7515}"/>
            </a:ext>
          </a:extLst>
        </xdr:cNvPr>
        <xdr:cNvCxnSpPr>
          <a:stCxn id="294" idx="3"/>
          <a:endCxn id="295" idx="1"/>
        </xdr:cNvCxnSpPr>
      </xdr:nvCxnSpPr>
      <xdr:spPr>
        <a:xfrm>
          <a:off x="22810124" y="12726786"/>
          <a:ext cx="673331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146165</xdr:colOff>
      <xdr:row>62</xdr:row>
      <xdr:rowOff>172259</xdr:rowOff>
    </xdr:from>
    <xdr:to>
      <xdr:col>32</xdr:col>
      <xdr:colOff>527165</xdr:colOff>
      <xdr:row>64</xdr:row>
      <xdr:rowOff>27248</xdr:rowOff>
    </xdr:to>
    <xdr:sp macro="" textlink="">
      <xdr:nvSpPr>
        <xdr:cNvPr id="297" name="OpenSolver30">
          <a:extLst>
            <a:ext uri="{FF2B5EF4-FFF2-40B4-BE49-F238E27FC236}">
              <a16:creationId xmlns:a16="http://schemas.microsoft.com/office/drawing/2014/main" id="{E90BC55C-3FA9-4839-9B01-37A5EBD5943F}"/>
            </a:ext>
          </a:extLst>
        </xdr:cNvPr>
        <xdr:cNvSpPr/>
      </xdr:nvSpPr>
      <xdr:spPr>
        <a:xfrm>
          <a:off x="22956289" y="12599786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40</xdr:col>
      <xdr:colOff>0</xdr:colOff>
      <xdr:row>30</xdr:row>
      <xdr:rowOff>1</xdr:rowOff>
    </xdr:to>
    <xdr:sp macro="" textlink="">
      <xdr:nvSpPr>
        <xdr:cNvPr id="298" name="OpenSolver31">
          <a:extLst>
            <a:ext uri="{FF2B5EF4-FFF2-40B4-BE49-F238E27FC236}">
              <a16:creationId xmlns:a16="http://schemas.microsoft.com/office/drawing/2014/main" id="{66CC05EE-CE82-4656-B6F3-5B719DEA3668}"/>
            </a:ext>
          </a:extLst>
        </xdr:cNvPr>
        <xdr:cNvSpPr/>
      </xdr:nvSpPr>
      <xdr:spPr>
        <a:xfrm>
          <a:off x="24294176" y="1018540"/>
          <a:ext cx="4160289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924</xdr:colOff>
      <xdr:row>4</xdr:row>
      <xdr:rowOff>133465</xdr:rowOff>
    </xdr:from>
    <xdr:to>
      <xdr:col>34</xdr:col>
      <xdr:colOff>322166</xdr:colOff>
      <xdr:row>5</xdr:row>
      <xdr:rowOff>60960</xdr:rowOff>
    </xdr:to>
    <xdr:sp macro="" textlink="">
      <xdr:nvSpPr>
        <xdr:cNvPr id="299" name="OpenSolver32">
          <a:extLst>
            <a:ext uri="{FF2B5EF4-FFF2-40B4-BE49-F238E27FC236}">
              <a16:creationId xmlns:a16="http://schemas.microsoft.com/office/drawing/2014/main" id="{039F74EA-05ED-4720-A309-89B858FEC5F3}"/>
            </a:ext>
          </a:extLst>
        </xdr:cNvPr>
        <xdr:cNvSpPr/>
      </xdr:nvSpPr>
      <xdr:spPr>
        <a:xfrm>
          <a:off x="242824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12700</xdr:colOff>
      <xdr:row>5</xdr:row>
      <xdr:rowOff>12700</xdr:rowOff>
    </xdr:from>
    <xdr:to>
      <xdr:col>47</xdr:col>
      <xdr:colOff>1</xdr:colOff>
      <xdr:row>30</xdr:row>
      <xdr:rowOff>1</xdr:rowOff>
    </xdr:to>
    <xdr:sp macro="" textlink="">
      <xdr:nvSpPr>
        <xdr:cNvPr id="300" name="OpenSolver33">
          <a:extLst>
            <a:ext uri="{FF2B5EF4-FFF2-40B4-BE49-F238E27FC236}">
              <a16:creationId xmlns:a16="http://schemas.microsoft.com/office/drawing/2014/main" id="{32AC5EEA-BDE0-4FB1-8516-CD8B25738620}"/>
            </a:ext>
          </a:extLst>
        </xdr:cNvPr>
        <xdr:cNvSpPr/>
      </xdr:nvSpPr>
      <xdr:spPr>
        <a:xfrm>
          <a:off x="29265187" y="1018540"/>
          <a:ext cx="4068850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793635</xdr:colOff>
      <xdr:row>4</xdr:row>
      <xdr:rowOff>133465</xdr:rowOff>
    </xdr:from>
    <xdr:to>
      <xdr:col>41</xdr:col>
      <xdr:colOff>316855</xdr:colOff>
      <xdr:row>5</xdr:row>
      <xdr:rowOff>60960</xdr:rowOff>
    </xdr:to>
    <xdr:sp macro="" textlink="">
      <xdr:nvSpPr>
        <xdr:cNvPr id="301" name="OpenSolver34">
          <a:extLst>
            <a:ext uri="{FF2B5EF4-FFF2-40B4-BE49-F238E27FC236}">
              <a16:creationId xmlns:a16="http://schemas.microsoft.com/office/drawing/2014/main" id="{E2676719-6E65-45F1-9964-9801D6CAA0CD}"/>
            </a:ext>
          </a:extLst>
        </xdr:cNvPr>
        <xdr:cNvSpPr/>
      </xdr:nvSpPr>
      <xdr:spPr>
        <a:xfrm>
          <a:off x="29248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12702</xdr:colOff>
      <xdr:row>5</xdr:row>
      <xdr:rowOff>12700</xdr:rowOff>
    </xdr:from>
    <xdr:to>
      <xdr:col>54</xdr:col>
      <xdr:colOff>2</xdr:colOff>
      <xdr:row>30</xdr:row>
      <xdr:rowOff>1</xdr:rowOff>
    </xdr:to>
    <xdr:sp macro="" textlink="">
      <xdr:nvSpPr>
        <xdr:cNvPr id="302" name="OpenSolver35">
          <a:extLst>
            <a:ext uri="{FF2B5EF4-FFF2-40B4-BE49-F238E27FC236}">
              <a16:creationId xmlns:a16="http://schemas.microsoft.com/office/drawing/2014/main" id="{97BA6E1A-0207-4822-B229-95787E55C624}"/>
            </a:ext>
          </a:extLst>
        </xdr:cNvPr>
        <xdr:cNvSpPr/>
      </xdr:nvSpPr>
      <xdr:spPr>
        <a:xfrm>
          <a:off x="34086571" y="1018540"/>
          <a:ext cx="3977409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231</xdr:colOff>
      <xdr:row>4</xdr:row>
      <xdr:rowOff>133465</xdr:rowOff>
    </xdr:from>
    <xdr:to>
      <xdr:col>48</xdr:col>
      <xdr:colOff>321473</xdr:colOff>
      <xdr:row>5</xdr:row>
      <xdr:rowOff>60960</xdr:rowOff>
    </xdr:to>
    <xdr:sp macro="" textlink="">
      <xdr:nvSpPr>
        <xdr:cNvPr id="303" name="OpenSolver36">
          <a:extLst>
            <a:ext uri="{FF2B5EF4-FFF2-40B4-BE49-F238E27FC236}">
              <a16:creationId xmlns:a16="http://schemas.microsoft.com/office/drawing/2014/main" id="{08DB6F3F-1521-4F5E-AB61-DF08C3D764F8}"/>
            </a:ext>
          </a:extLst>
        </xdr:cNvPr>
        <xdr:cNvSpPr/>
      </xdr:nvSpPr>
      <xdr:spPr>
        <a:xfrm>
          <a:off x="34074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12700</xdr:colOff>
      <xdr:row>5</xdr:row>
      <xdr:rowOff>12700</xdr:rowOff>
    </xdr:from>
    <xdr:to>
      <xdr:col>61</xdr:col>
      <xdr:colOff>1</xdr:colOff>
      <xdr:row>30</xdr:row>
      <xdr:rowOff>1</xdr:rowOff>
    </xdr:to>
    <xdr:sp macro="" textlink="">
      <xdr:nvSpPr>
        <xdr:cNvPr id="304" name="OpenSolver37">
          <a:extLst>
            <a:ext uri="{FF2B5EF4-FFF2-40B4-BE49-F238E27FC236}">
              <a16:creationId xmlns:a16="http://schemas.microsoft.com/office/drawing/2014/main" id="{FB45F711-F904-439E-A62E-FA36847025AE}"/>
            </a:ext>
          </a:extLst>
        </xdr:cNvPr>
        <xdr:cNvSpPr/>
      </xdr:nvSpPr>
      <xdr:spPr>
        <a:xfrm>
          <a:off x="38816511" y="1018540"/>
          <a:ext cx="3977410" cy="4974937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54</xdr:col>
      <xdr:colOff>734522</xdr:colOff>
      <xdr:row>4</xdr:row>
      <xdr:rowOff>133465</xdr:rowOff>
    </xdr:from>
    <xdr:to>
      <xdr:col>55</xdr:col>
      <xdr:colOff>315931</xdr:colOff>
      <xdr:row>5</xdr:row>
      <xdr:rowOff>60960</xdr:rowOff>
    </xdr:to>
    <xdr:sp macro="" textlink="">
      <xdr:nvSpPr>
        <xdr:cNvPr id="305" name="OpenSolver38">
          <a:extLst>
            <a:ext uri="{FF2B5EF4-FFF2-40B4-BE49-F238E27FC236}">
              <a16:creationId xmlns:a16="http://schemas.microsoft.com/office/drawing/2014/main" id="{F6A4AB57-2A65-4DB3-AC8D-E0F298A31C47}"/>
            </a:ext>
          </a:extLst>
        </xdr:cNvPr>
        <xdr:cNvSpPr/>
      </xdr:nvSpPr>
      <xdr:spPr>
        <a:xfrm>
          <a:off x="387985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workbookViewId="0">
      <selection activeCell="C3" sqref="C3"/>
    </sheetView>
  </sheetViews>
  <sheetFormatPr defaultRowHeight="15.05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x14ac:dyDescent="0.3">
      <c r="A1" s="56" t="s">
        <v>41</v>
      </c>
    </row>
    <row r="2" spans="1:8" x14ac:dyDescent="0.3">
      <c r="A2" s="56" t="s">
        <v>42</v>
      </c>
      <c r="B2" s="46"/>
      <c r="C2" s="46"/>
      <c r="D2" s="46"/>
      <c r="E2" s="46"/>
      <c r="F2" s="46"/>
      <c r="G2" s="46"/>
      <c r="H2" s="46"/>
    </row>
    <row r="3" spans="1:8" x14ac:dyDescent="0.3">
      <c r="A3" s="56" t="s">
        <v>1161</v>
      </c>
      <c r="B3" s="46"/>
      <c r="C3" s="46"/>
      <c r="D3" s="46"/>
      <c r="E3" s="46"/>
      <c r="F3" s="46"/>
      <c r="G3" s="46"/>
      <c r="H3" s="46"/>
    </row>
    <row r="4" spans="1:8" x14ac:dyDescent="0.3">
      <c r="B4" s="46"/>
      <c r="C4" s="46"/>
      <c r="D4" s="46"/>
      <c r="E4" s="46"/>
      <c r="F4" s="46"/>
      <c r="G4" s="46"/>
      <c r="H4" s="46"/>
    </row>
    <row r="5" spans="1:8" ht="15.75" thickBot="1" x14ac:dyDescent="0.35">
      <c r="A5" s="56" t="s">
        <v>43</v>
      </c>
      <c r="B5" s="46"/>
      <c r="C5" s="46"/>
      <c r="D5" s="46"/>
      <c r="E5" s="46"/>
      <c r="F5" s="46"/>
      <c r="G5" s="46"/>
      <c r="H5" s="46"/>
    </row>
    <row r="6" spans="1:8" ht="15.75" thickBot="1" x14ac:dyDescent="0.35">
      <c r="B6" s="53" t="s">
        <v>44</v>
      </c>
      <c r="C6" s="54" t="s">
        <v>45</v>
      </c>
      <c r="D6" s="54" t="s">
        <v>46</v>
      </c>
      <c r="E6" s="54" t="s">
        <v>47</v>
      </c>
      <c r="F6" s="54" t="s">
        <v>48</v>
      </c>
      <c r="G6" s="54" t="s">
        <v>49</v>
      </c>
      <c r="H6" s="55" t="s">
        <v>50</v>
      </c>
    </row>
    <row r="7" spans="1:8" x14ac:dyDescent="0.3">
      <c r="B7" s="47" t="s">
        <v>51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x14ac:dyDescent="0.3">
      <c r="B8" s="47" t="s">
        <v>52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x14ac:dyDescent="0.3">
      <c r="B9" s="47" t="s">
        <v>53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x14ac:dyDescent="0.3">
      <c r="B10" s="47" t="s">
        <v>54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x14ac:dyDescent="0.3">
      <c r="B11" s="47" t="s">
        <v>55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x14ac:dyDescent="0.3">
      <c r="B12" s="47" t="s">
        <v>56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x14ac:dyDescent="0.3">
      <c r="B13" s="47" t="s">
        <v>57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x14ac:dyDescent="0.3">
      <c r="B14" s="47" t="s">
        <v>58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x14ac:dyDescent="0.3">
      <c r="B15" s="47" t="s">
        <v>59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x14ac:dyDescent="0.3">
      <c r="B16" s="47" t="s">
        <v>60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x14ac:dyDescent="0.3">
      <c r="B17" s="47" t="s">
        <v>61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x14ac:dyDescent="0.3">
      <c r="B18" s="47" t="s">
        <v>62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x14ac:dyDescent="0.3">
      <c r="B19" s="47" t="s">
        <v>63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x14ac:dyDescent="0.3">
      <c r="B20" s="47" t="s">
        <v>64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x14ac:dyDescent="0.3">
      <c r="B21" s="47" t="s">
        <v>65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x14ac:dyDescent="0.3">
      <c r="B22" s="47" t="s">
        <v>66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x14ac:dyDescent="0.3">
      <c r="B23" s="47" t="s">
        <v>67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x14ac:dyDescent="0.3">
      <c r="B24" s="47" t="s">
        <v>68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x14ac:dyDescent="0.3">
      <c r="B25" s="47" t="s">
        <v>69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x14ac:dyDescent="0.3">
      <c r="B26" s="47" t="s">
        <v>70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x14ac:dyDescent="0.3">
      <c r="B27" s="47" t="s">
        <v>71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x14ac:dyDescent="0.3">
      <c r="B28" s="47" t="s">
        <v>72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73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74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75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76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77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78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79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80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81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82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83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84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85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86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87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88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89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90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91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92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93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94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95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96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97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98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99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100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101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102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103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104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105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106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107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108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109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110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111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112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113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114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115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116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117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118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119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120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121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122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123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124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125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126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127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128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129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130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131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132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133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134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135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136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137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138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139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140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141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142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143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144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145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146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147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148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149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150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151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152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153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154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155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156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157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158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159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160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161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162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163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164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165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166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167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168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169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170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171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172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173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174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175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176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177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178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179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180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181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182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183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184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185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186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187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188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189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190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191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192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193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194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195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196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197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198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199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200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201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202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203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204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205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206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207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208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209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210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211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212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213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214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215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216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217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218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219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220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221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222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223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224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225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226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227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228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229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230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231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232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233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234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235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236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237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238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239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240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241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242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243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244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245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246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247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248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249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250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251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252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253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254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255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256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257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258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259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260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261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262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263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264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265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266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267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268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269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270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271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272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273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274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275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276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277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278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279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280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281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282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283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284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285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286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287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288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289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290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291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292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293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294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295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296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297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298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299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300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301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302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303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304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305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306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307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308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309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310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311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312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313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314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315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316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317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318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319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320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321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322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323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324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325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326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327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328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329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330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331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332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333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334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335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336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337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338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339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340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341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342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343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344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345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346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347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348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349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350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351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352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353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354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355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356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357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358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359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360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361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362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363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364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365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366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367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368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369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370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371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372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373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374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375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376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377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378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379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380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381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382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383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384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385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386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387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388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389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390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391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392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393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394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395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396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397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398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399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400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401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402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403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404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405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406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407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408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409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410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411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412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413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414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415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416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417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418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419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420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421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422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423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424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425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426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427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428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429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430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431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432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433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434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435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436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437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438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439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440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441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442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443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444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445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446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447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448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449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450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451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452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453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454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455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456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457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458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459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460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461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462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463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464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465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466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467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468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469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470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471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472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473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474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475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476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477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478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479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480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481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482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483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484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485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486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487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488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489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490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491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492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493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494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495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496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497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498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499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500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501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502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503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504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505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506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507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508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509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510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511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512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513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514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515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516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517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518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519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520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521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522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523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524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525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526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527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528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529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530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531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532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533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534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535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536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537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538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539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540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541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542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543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544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545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546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547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548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549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.75" thickBot="1" x14ac:dyDescent="0.35">
      <c r="B506" s="50" t="s">
        <v>550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.75" thickBot="1" x14ac:dyDescent="0.35">
      <c r="A508" s="56" t="s">
        <v>551</v>
      </c>
      <c r="B508" s="46"/>
      <c r="C508" s="46"/>
      <c r="D508" s="46"/>
      <c r="E508" s="46"/>
      <c r="F508" s="46"/>
      <c r="G508" s="46"/>
      <c r="H508" s="46"/>
    </row>
    <row r="509" spans="1:8" ht="15.75" thickBot="1" x14ac:dyDescent="0.35">
      <c r="B509" s="53" t="s">
        <v>44</v>
      </c>
      <c r="C509" s="54" t="s">
        <v>45</v>
      </c>
      <c r="D509" s="54" t="s">
        <v>46</v>
      </c>
      <c r="E509" s="54" t="s">
        <v>552</v>
      </c>
      <c r="F509" s="54" t="s">
        <v>553</v>
      </c>
      <c r="G509" s="54" t="s">
        <v>49</v>
      </c>
      <c r="H509" s="55" t="s">
        <v>50</v>
      </c>
    </row>
    <row r="510" spans="1:8" x14ac:dyDescent="0.3">
      <c r="B510" s="47" t="s">
        <v>554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555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556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557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558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559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560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561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562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563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564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565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566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567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568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569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570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571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572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573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574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575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576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577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578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579</v>
      </c>
      <c r="C535" s="48" t="s">
        <v>580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581</v>
      </c>
      <c r="C536" s="48" t="s">
        <v>580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582</v>
      </c>
      <c r="C537" s="48" t="s">
        <v>580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583</v>
      </c>
      <c r="C538" s="48" t="s">
        <v>580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584</v>
      </c>
      <c r="C539" s="48" t="s">
        <v>580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585</v>
      </c>
      <c r="C540" s="48" t="s">
        <v>580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586</v>
      </c>
      <c r="C541" s="48" t="s">
        <v>580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587</v>
      </c>
      <c r="C542" s="48" t="s">
        <v>580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588</v>
      </c>
      <c r="C543" s="48" t="s">
        <v>580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589</v>
      </c>
      <c r="C544" s="48" t="s">
        <v>580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590</v>
      </c>
      <c r="C545" s="48" t="s">
        <v>580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591</v>
      </c>
      <c r="C546" s="48" t="s">
        <v>580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592</v>
      </c>
      <c r="C547" s="48" t="s">
        <v>580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593</v>
      </c>
      <c r="C548" s="48" t="s">
        <v>580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594</v>
      </c>
      <c r="C549" s="48" t="s">
        <v>580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595</v>
      </c>
      <c r="C550" s="48" t="s">
        <v>580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596</v>
      </c>
      <c r="C551" s="48" t="s">
        <v>580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597</v>
      </c>
      <c r="C552" s="48" t="s">
        <v>580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598</v>
      </c>
      <c r="C553" s="48" t="s">
        <v>580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599</v>
      </c>
      <c r="C554" s="48" t="s">
        <v>580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600</v>
      </c>
      <c r="C555" s="48" t="s">
        <v>580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601</v>
      </c>
      <c r="C556" s="48" t="s">
        <v>580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602</v>
      </c>
      <c r="C557" s="48" t="s">
        <v>580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603</v>
      </c>
      <c r="C558" s="48" t="s">
        <v>580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604</v>
      </c>
      <c r="C559" s="48" t="s">
        <v>580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605</v>
      </c>
      <c r="C560" s="48" t="s">
        <v>25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606</v>
      </c>
      <c r="C561" s="48" t="s">
        <v>25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607</v>
      </c>
      <c r="C562" s="48" t="s">
        <v>25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608</v>
      </c>
      <c r="C563" s="48" t="s">
        <v>25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609</v>
      </c>
      <c r="C564" s="48" t="s">
        <v>25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610</v>
      </c>
      <c r="C565" s="48" t="s">
        <v>25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611</v>
      </c>
      <c r="C566" s="48" t="s">
        <v>25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612</v>
      </c>
      <c r="C567" s="48" t="s">
        <v>25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613</v>
      </c>
      <c r="C568" s="48" t="s">
        <v>25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614</v>
      </c>
      <c r="C569" s="48" t="s">
        <v>25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615</v>
      </c>
      <c r="C570" s="48" t="s">
        <v>25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616</v>
      </c>
      <c r="C571" s="48" t="s">
        <v>25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617</v>
      </c>
      <c r="C572" s="48" t="s">
        <v>25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618</v>
      </c>
      <c r="C573" s="48" t="s">
        <v>25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619</v>
      </c>
      <c r="C574" s="48" t="s">
        <v>25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620</v>
      </c>
      <c r="C575" s="48" t="s">
        <v>25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621</v>
      </c>
      <c r="C576" s="48" t="s">
        <v>25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622</v>
      </c>
      <c r="C577" s="48" t="s">
        <v>25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623</v>
      </c>
      <c r="C578" s="48" t="s">
        <v>25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624</v>
      </c>
      <c r="C579" s="48" t="s">
        <v>25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625</v>
      </c>
      <c r="C580" s="48" t="s">
        <v>25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626</v>
      </c>
      <c r="C581" s="48" t="s">
        <v>25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627</v>
      </c>
      <c r="C582" s="48" t="s">
        <v>25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628</v>
      </c>
      <c r="C583" s="48" t="s">
        <v>25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629</v>
      </c>
      <c r="C584" s="48" t="s">
        <v>25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630</v>
      </c>
      <c r="C585" s="48" t="s">
        <v>631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632</v>
      </c>
      <c r="C586" s="48" t="s">
        <v>631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633</v>
      </c>
      <c r="C587" s="48" t="s">
        <v>631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634</v>
      </c>
      <c r="C588" s="48" t="s">
        <v>631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635</v>
      </c>
      <c r="C589" s="48" t="s">
        <v>631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636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637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638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639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640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641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642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643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644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645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646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647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648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649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650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651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652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653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654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655</v>
      </c>
      <c r="C609" s="48" t="s">
        <v>656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657</v>
      </c>
      <c r="C610" s="48" t="s">
        <v>658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659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660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661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662</v>
      </c>
      <c r="C614" s="48" t="s">
        <v>656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663</v>
      </c>
      <c r="C615" s="48" t="s">
        <v>658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664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665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666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667</v>
      </c>
      <c r="C619" s="48" t="s">
        <v>656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668</v>
      </c>
      <c r="C620" s="48" t="s">
        <v>658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669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670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671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672</v>
      </c>
      <c r="C624" s="48" t="s">
        <v>656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673</v>
      </c>
      <c r="C625" s="48" t="s">
        <v>658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674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675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676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677</v>
      </c>
      <c r="C629" s="48" t="s">
        <v>656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678</v>
      </c>
      <c r="C630" s="48" t="s">
        <v>658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679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680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681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682</v>
      </c>
      <c r="C634" s="48" t="s">
        <v>656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683</v>
      </c>
      <c r="C635" s="48" t="s">
        <v>658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684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685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686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687</v>
      </c>
      <c r="C639" s="48" t="s">
        <v>656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688</v>
      </c>
      <c r="C640" s="48" t="s">
        <v>658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689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690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691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692</v>
      </c>
      <c r="C644" s="48" t="s">
        <v>656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693</v>
      </c>
      <c r="C645" s="48" t="s">
        <v>658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694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695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696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697</v>
      </c>
      <c r="C649" s="48" t="s">
        <v>656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698</v>
      </c>
      <c r="C650" s="48" t="s">
        <v>658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699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700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701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702</v>
      </c>
      <c r="C654" s="48" t="s">
        <v>656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703</v>
      </c>
      <c r="C655" s="48" t="s">
        <v>658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704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705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706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707</v>
      </c>
      <c r="C659" s="48" t="s">
        <v>656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708</v>
      </c>
      <c r="C660" s="48" t="s">
        <v>658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709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710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711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712</v>
      </c>
      <c r="C664" s="48" t="s">
        <v>656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713</v>
      </c>
      <c r="C665" s="48" t="s">
        <v>658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714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715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716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717</v>
      </c>
      <c r="C669" s="48" t="s">
        <v>656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718</v>
      </c>
      <c r="C670" s="48" t="s">
        <v>658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719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720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721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722</v>
      </c>
      <c r="C674" s="48" t="s">
        <v>656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723</v>
      </c>
      <c r="C675" s="48" t="s">
        <v>658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724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725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726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727</v>
      </c>
      <c r="C679" s="48" t="s">
        <v>656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728</v>
      </c>
      <c r="C680" s="48" t="s">
        <v>658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729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730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731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732</v>
      </c>
      <c r="C684" s="48" t="s">
        <v>656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733</v>
      </c>
      <c r="C685" s="48" t="s">
        <v>658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734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735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736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737</v>
      </c>
      <c r="C689" s="48" t="s">
        <v>656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738</v>
      </c>
      <c r="C690" s="48" t="s">
        <v>658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739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740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741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742</v>
      </c>
      <c r="C694" s="48" t="s">
        <v>656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743</v>
      </c>
      <c r="C695" s="48" t="s">
        <v>658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744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745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746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747</v>
      </c>
      <c r="C699" s="48" t="s">
        <v>656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748</v>
      </c>
      <c r="C700" s="48" t="s">
        <v>658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749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750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751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752</v>
      </c>
      <c r="C704" s="48" t="s">
        <v>656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753</v>
      </c>
      <c r="C705" s="48" t="s">
        <v>658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754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755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756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757</v>
      </c>
      <c r="C709" s="48" t="s">
        <v>656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758</v>
      </c>
      <c r="C710" s="48" t="s">
        <v>658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759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760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761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762</v>
      </c>
      <c r="C714" s="48" t="s">
        <v>656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763</v>
      </c>
      <c r="C715" s="48" t="s">
        <v>658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764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765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766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767</v>
      </c>
      <c r="C719" s="48" t="s">
        <v>656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768</v>
      </c>
      <c r="C720" s="48" t="s">
        <v>658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769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770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771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772</v>
      </c>
      <c r="C724" s="48" t="s">
        <v>656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773</v>
      </c>
      <c r="C725" s="48" t="s">
        <v>658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774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775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776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777</v>
      </c>
      <c r="C729" s="48" t="s">
        <v>656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778</v>
      </c>
      <c r="C730" s="48" t="s">
        <v>658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779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780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781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782</v>
      </c>
      <c r="C734" s="48" t="s">
        <v>783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784</v>
      </c>
      <c r="C735" s="48" t="s">
        <v>785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786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787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788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789</v>
      </c>
      <c r="C739" s="48" t="s">
        <v>783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790</v>
      </c>
      <c r="C740" s="48" t="s">
        <v>785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791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792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793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794</v>
      </c>
      <c r="C744" s="48" t="s">
        <v>783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795</v>
      </c>
      <c r="C745" s="48" t="s">
        <v>785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796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797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798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799</v>
      </c>
      <c r="C749" s="48" t="s">
        <v>783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800</v>
      </c>
      <c r="C750" s="48" t="s">
        <v>785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801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802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803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804</v>
      </c>
      <c r="C754" s="48" t="s">
        <v>783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805</v>
      </c>
      <c r="C755" s="48" t="s">
        <v>785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806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807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808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809</v>
      </c>
      <c r="C759" s="48" t="s">
        <v>783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810</v>
      </c>
      <c r="C760" s="48" t="s">
        <v>785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811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812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813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814</v>
      </c>
      <c r="C764" s="48" t="s">
        <v>783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815</v>
      </c>
      <c r="C765" s="48" t="s">
        <v>785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816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817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818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819</v>
      </c>
      <c r="C769" s="48" t="s">
        <v>783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820</v>
      </c>
      <c r="C770" s="48" t="s">
        <v>785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821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822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823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824</v>
      </c>
      <c r="C774" s="48" t="s">
        <v>783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825</v>
      </c>
      <c r="C775" s="48" t="s">
        <v>785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826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827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828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829</v>
      </c>
      <c r="C779" s="48" t="s">
        <v>783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830</v>
      </c>
      <c r="C780" s="48" t="s">
        <v>785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831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832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833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834</v>
      </c>
      <c r="C784" s="48" t="s">
        <v>783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835</v>
      </c>
      <c r="C785" s="48" t="s">
        <v>785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836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837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838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839</v>
      </c>
      <c r="C789" s="48" t="s">
        <v>783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840</v>
      </c>
      <c r="C790" s="48" t="s">
        <v>785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841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842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843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844</v>
      </c>
      <c r="C794" s="48" t="s">
        <v>783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845</v>
      </c>
      <c r="C795" s="48" t="s">
        <v>785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846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847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848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849</v>
      </c>
      <c r="C799" s="48" t="s">
        <v>783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850</v>
      </c>
      <c r="C800" s="48" t="s">
        <v>785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851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852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853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854</v>
      </c>
      <c r="C804" s="48" t="s">
        <v>783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855</v>
      </c>
      <c r="C805" s="48" t="s">
        <v>785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856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857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858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859</v>
      </c>
      <c r="C809" s="48" t="s">
        <v>783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860</v>
      </c>
      <c r="C810" s="48" t="s">
        <v>785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861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862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863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864</v>
      </c>
      <c r="C814" s="48" t="s">
        <v>783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865</v>
      </c>
      <c r="C815" s="48" t="s">
        <v>785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866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867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868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869</v>
      </c>
      <c r="C819" s="48" t="s">
        <v>783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870</v>
      </c>
      <c r="C820" s="48" t="s">
        <v>785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871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872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873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874</v>
      </c>
      <c r="C824" s="48" t="s">
        <v>783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875</v>
      </c>
      <c r="C825" s="48" t="s">
        <v>785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876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877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878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879</v>
      </c>
      <c r="C829" s="48" t="s">
        <v>783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880</v>
      </c>
      <c r="C830" s="48" t="s">
        <v>785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881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882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883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884</v>
      </c>
      <c r="C834" s="48" t="s">
        <v>783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885</v>
      </c>
      <c r="C835" s="48" t="s">
        <v>785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886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887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888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889</v>
      </c>
      <c r="C839" s="48" t="s">
        <v>783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890</v>
      </c>
      <c r="C840" s="48" t="s">
        <v>785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891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892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893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894</v>
      </c>
      <c r="C844" s="48" t="s">
        <v>783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895</v>
      </c>
      <c r="C845" s="48" t="s">
        <v>785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896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897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898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899</v>
      </c>
      <c r="C849" s="48" t="s">
        <v>783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900</v>
      </c>
      <c r="C850" s="48" t="s">
        <v>785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901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902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903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904</v>
      </c>
      <c r="C854" s="48" t="s">
        <v>783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905</v>
      </c>
      <c r="C855" s="48" t="s">
        <v>785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906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907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908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909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910</v>
      </c>
      <c r="C860" s="48" t="s">
        <v>911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912</v>
      </c>
      <c r="C861" s="48" t="s">
        <v>656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913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914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915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916</v>
      </c>
      <c r="C865" s="48" t="s">
        <v>911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917</v>
      </c>
      <c r="C866" s="48" t="s">
        <v>656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918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919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920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921</v>
      </c>
      <c r="C870" s="48" t="s">
        <v>911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922</v>
      </c>
      <c r="C871" s="48" t="s">
        <v>656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923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924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925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926</v>
      </c>
      <c r="C875" s="48" t="s">
        <v>911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927</v>
      </c>
      <c r="C876" s="48" t="s">
        <v>656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928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929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930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931</v>
      </c>
      <c r="C880" s="48" t="s">
        <v>911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932</v>
      </c>
      <c r="C881" s="48" t="s">
        <v>656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933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934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935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936</v>
      </c>
      <c r="C885" s="48" t="s">
        <v>911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937</v>
      </c>
      <c r="C886" s="48" t="s">
        <v>656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938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939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940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941</v>
      </c>
      <c r="C890" s="48" t="s">
        <v>911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942</v>
      </c>
      <c r="C891" s="48" t="s">
        <v>656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943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944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945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946</v>
      </c>
      <c r="C895" s="48" t="s">
        <v>911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947</v>
      </c>
      <c r="C896" s="48" t="s">
        <v>656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948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949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950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951</v>
      </c>
      <c r="C900" s="48" t="s">
        <v>911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952</v>
      </c>
      <c r="C901" s="48" t="s">
        <v>656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953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954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955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956</v>
      </c>
      <c r="C905" s="48" t="s">
        <v>911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957</v>
      </c>
      <c r="C906" s="48" t="s">
        <v>656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958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959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960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961</v>
      </c>
      <c r="C910" s="48" t="s">
        <v>911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962</v>
      </c>
      <c r="C911" s="48" t="s">
        <v>656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963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964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965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966</v>
      </c>
      <c r="C915" s="48" t="s">
        <v>911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967</v>
      </c>
      <c r="C916" s="48" t="s">
        <v>656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968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969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970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971</v>
      </c>
      <c r="C920" s="48" t="s">
        <v>911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972</v>
      </c>
      <c r="C921" s="48" t="s">
        <v>656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973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974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975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976</v>
      </c>
      <c r="C925" s="48" t="s">
        <v>911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977</v>
      </c>
      <c r="C926" s="48" t="s">
        <v>656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978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979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980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981</v>
      </c>
      <c r="C930" s="48" t="s">
        <v>911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982</v>
      </c>
      <c r="C931" s="48" t="s">
        <v>656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983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984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985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986</v>
      </c>
      <c r="C935" s="48" t="s">
        <v>911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987</v>
      </c>
      <c r="C936" s="48" t="s">
        <v>656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988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989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990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991</v>
      </c>
      <c r="C940" s="48" t="s">
        <v>911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992</v>
      </c>
      <c r="C941" s="48" t="s">
        <v>656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993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994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995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996</v>
      </c>
      <c r="C945" s="48" t="s">
        <v>911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997</v>
      </c>
      <c r="C946" s="48" t="s">
        <v>656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998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999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1000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1001</v>
      </c>
      <c r="C950" s="48" t="s">
        <v>911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1002</v>
      </c>
      <c r="C951" s="48" t="s">
        <v>656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1003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1004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1005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1006</v>
      </c>
      <c r="C955" s="48" t="s">
        <v>911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1007</v>
      </c>
      <c r="C956" s="48" t="s">
        <v>656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1008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1009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1010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1011</v>
      </c>
      <c r="C960" s="48" t="s">
        <v>911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1012</v>
      </c>
      <c r="C961" s="48" t="s">
        <v>656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1013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1014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1015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1016</v>
      </c>
      <c r="C965" s="48" t="s">
        <v>911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1017</v>
      </c>
      <c r="C966" s="48" t="s">
        <v>656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1018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1019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1020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1021</v>
      </c>
      <c r="C970" s="48" t="s">
        <v>911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1022</v>
      </c>
      <c r="C971" s="48" t="s">
        <v>656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1023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1024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1025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1026</v>
      </c>
      <c r="C975" s="48" t="s">
        <v>911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1027</v>
      </c>
      <c r="C976" s="48" t="s">
        <v>656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1028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1029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1030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1031</v>
      </c>
      <c r="C980" s="48" t="s">
        <v>911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1032</v>
      </c>
      <c r="C981" s="48" t="s">
        <v>656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1033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1034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1035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1036</v>
      </c>
      <c r="C985" s="48" t="s">
        <v>1037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1038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1039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1040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1041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1042</v>
      </c>
      <c r="C990" s="48" t="s">
        <v>1037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1043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1044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1045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1046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1047</v>
      </c>
      <c r="C995" s="48" t="s">
        <v>1037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1048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1049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1050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1051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1052</v>
      </c>
      <c r="C1000" s="48" t="s">
        <v>1037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1053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1054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1055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1056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1057</v>
      </c>
      <c r="C1005" s="48" t="s">
        <v>1037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1058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1059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1060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1061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1062</v>
      </c>
      <c r="C1010" s="48" t="s">
        <v>1037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1063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1064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1065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1066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1067</v>
      </c>
      <c r="C1015" s="48" t="s">
        <v>1037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1068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1069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1070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1071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1072</v>
      </c>
      <c r="C1020" s="48" t="s">
        <v>1037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1073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1074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1075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1076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1077</v>
      </c>
      <c r="C1025" s="48" t="s">
        <v>1037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1078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1079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1080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1081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1082</v>
      </c>
      <c r="C1030" s="48" t="s">
        <v>1037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1083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1084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1085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1086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1087</v>
      </c>
      <c r="C1035" s="48" t="s">
        <v>1037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1088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1089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1090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1091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1092</v>
      </c>
      <c r="C1040" s="48" t="s">
        <v>1037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1093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1094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1095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1096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1097</v>
      </c>
      <c r="C1045" s="48" t="s">
        <v>1037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1098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1099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1100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1101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1102</v>
      </c>
      <c r="C1050" s="48" t="s">
        <v>1037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1103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1104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1105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1106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1107</v>
      </c>
      <c r="C1055" s="48" t="s">
        <v>1037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1108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1109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1110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1111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1112</v>
      </c>
      <c r="C1060" s="48" t="s">
        <v>1037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1113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1114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1115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1116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1117</v>
      </c>
      <c r="C1065" s="48" t="s">
        <v>1037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1118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1119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1120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1121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1122</v>
      </c>
      <c r="C1070" s="48" t="s">
        <v>1037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1123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1124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1125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1126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1127</v>
      </c>
      <c r="C1075" s="48" t="s">
        <v>1037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1128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1129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1130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1131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1132</v>
      </c>
      <c r="C1080" s="48" t="s">
        <v>1037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1133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1134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1135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1136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1137</v>
      </c>
      <c r="C1085" s="48" t="s">
        <v>1037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1138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1139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1140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1141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1142</v>
      </c>
      <c r="C1090" s="48" t="s">
        <v>1037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1143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1144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1145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1146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1147</v>
      </c>
      <c r="C1095" s="48" t="s">
        <v>1037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1148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1149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1150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1151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1152</v>
      </c>
      <c r="C1100" s="48" t="s">
        <v>1037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1153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1154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1155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1156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1157</v>
      </c>
      <c r="C1105" s="48" t="s">
        <v>1037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1158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1159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.75" thickBot="1" x14ac:dyDescent="0.35">
      <c r="B1108" s="50" t="s">
        <v>1160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abSelected="1" topLeftCell="BJ1" zoomScale="85" zoomScaleNormal="85" workbookViewId="0">
      <selection activeCell="BV7" sqref="BV7"/>
    </sheetView>
  </sheetViews>
  <sheetFormatPr defaultRowHeight="15.75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75" ht="16.399999999999999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75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35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5"/>
    </row>
    <row r="3" spans="2:75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28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9"/>
    </row>
    <row r="4" spans="2:75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4"/>
      <c r="AH4" s="7" t="s">
        <v>29</v>
      </c>
      <c r="AI4" s="11"/>
      <c r="AJ4" s="11"/>
      <c r="AK4" s="11"/>
      <c r="AL4" s="11"/>
      <c r="AM4" s="11"/>
      <c r="AN4" s="8"/>
      <c r="AO4" s="8" t="s">
        <v>32</v>
      </c>
      <c r="AP4" s="11"/>
      <c r="AQ4" s="11"/>
      <c r="AR4" s="11"/>
      <c r="AS4" s="11"/>
      <c r="AT4" s="11"/>
      <c r="AU4" s="11"/>
      <c r="AV4" s="8" t="s">
        <v>31</v>
      </c>
      <c r="AW4" s="11"/>
      <c r="AX4" s="11"/>
      <c r="AY4" s="11"/>
      <c r="AZ4" s="11"/>
      <c r="BA4" s="11"/>
      <c r="BB4" s="11"/>
      <c r="BC4" s="8" t="s">
        <v>30</v>
      </c>
      <c r="BD4" s="11"/>
      <c r="BE4" s="11"/>
      <c r="BF4" s="11"/>
      <c r="BG4" s="11"/>
      <c r="BH4" s="32"/>
      <c r="BI4" s="11"/>
      <c r="BJ4" s="7" t="s">
        <v>37</v>
      </c>
      <c r="BK4" s="8"/>
      <c r="BL4" s="8"/>
      <c r="BM4" s="8"/>
      <c r="BN4" s="8"/>
      <c r="BO4" s="8"/>
      <c r="BP4" s="8"/>
      <c r="BQ4" s="8" t="s">
        <v>36</v>
      </c>
      <c r="BR4" s="8"/>
      <c r="BS4" s="8"/>
      <c r="BT4" s="8"/>
      <c r="BU4" s="8"/>
      <c r="BV4" s="9"/>
    </row>
    <row r="5" spans="2:75" x14ac:dyDescent="0.3">
      <c r="B5" s="12"/>
      <c r="C5" s="11" t="s">
        <v>9</v>
      </c>
      <c r="D5" s="8"/>
      <c r="E5" s="13"/>
      <c r="F5" s="11" t="s">
        <v>10</v>
      </c>
      <c r="G5" s="8"/>
      <c r="H5" s="13"/>
      <c r="I5" s="11" t="s">
        <v>11</v>
      </c>
      <c r="J5" s="8"/>
      <c r="K5" s="13"/>
      <c r="L5" s="40" t="s">
        <v>12</v>
      </c>
      <c r="M5" s="8"/>
      <c r="N5" s="13"/>
      <c r="O5" s="11" t="s">
        <v>13</v>
      </c>
      <c r="P5" s="8"/>
      <c r="Q5" s="13"/>
      <c r="R5" s="11" t="s">
        <v>14</v>
      </c>
      <c r="S5" s="8"/>
      <c r="T5" s="14"/>
      <c r="U5" s="11" t="s">
        <v>15</v>
      </c>
      <c r="V5" s="8"/>
      <c r="W5" s="8"/>
      <c r="X5" s="8"/>
      <c r="Y5" s="8"/>
      <c r="Z5" s="15" t="s">
        <v>7</v>
      </c>
      <c r="AA5" s="15">
        <v>1</v>
      </c>
      <c r="AB5" s="15">
        <v>2</v>
      </c>
      <c r="AC5" s="16">
        <v>3</v>
      </c>
      <c r="AD5" s="16">
        <v>4</v>
      </c>
      <c r="AE5" s="16">
        <v>5</v>
      </c>
      <c r="AF5" s="16">
        <v>6</v>
      </c>
      <c r="AH5" s="17" t="s">
        <v>7</v>
      </c>
      <c r="AI5" s="15">
        <v>1</v>
      </c>
      <c r="AJ5" s="15">
        <v>2</v>
      </c>
      <c r="AK5" s="15">
        <v>3</v>
      </c>
      <c r="AL5" s="15">
        <v>4</v>
      </c>
      <c r="AM5" s="15">
        <v>5</v>
      </c>
      <c r="AN5" s="15">
        <v>6</v>
      </c>
      <c r="AO5" s="45" t="s">
        <v>7</v>
      </c>
      <c r="AP5" s="15">
        <v>1</v>
      </c>
      <c r="AQ5" s="15">
        <v>2</v>
      </c>
      <c r="AR5" s="15">
        <v>3</v>
      </c>
      <c r="AS5" s="15">
        <v>4</v>
      </c>
      <c r="AT5" s="15">
        <v>5</v>
      </c>
      <c r="AU5" s="15">
        <v>6</v>
      </c>
      <c r="AV5" s="45" t="s">
        <v>7</v>
      </c>
      <c r="AW5" s="15">
        <v>1</v>
      </c>
      <c r="AX5" s="15">
        <v>2</v>
      </c>
      <c r="AY5" s="15">
        <v>3</v>
      </c>
      <c r="AZ5" s="15">
        <v>4</v>
      </c>
      <c r="BA5" s="15">
        <v>5</v>
      </c>
      <c r="BB5" s="15">
        <v>6</v>
      </c>
      <c r="BC5" s="45" t="s">
        <v>7</v>
      </c>
      <c r="BD5" s="15">
        <v>1</v>
      </c>
      <c r="BE5" s="15">
        <v>2</v>
      </c>
      <c r="BF5" s="15">
        <v>3</v>
      </c>
      <c r="BG5" s="15">
        <v>4</v>
      </c>
      <c r="BH5" s="18">
        <v>5</v>
      </c>
      <c r="BI5" s="15">
        <v>6</v>
      </c>
      <c r="BJ5" s="17" t="s">
        <v>7</v>
      </c>
      <c r="BK5" s="15">
        <v>1</v>
      </c>
      <c r="BL5" s="15">
        <v>2</v>
      </c>
      <c r="BM5" s="15">
        <v>3</v>
      </c>
      <c r="BN5" s="15">
        <v>4</v>
      </c>
      <c r="BO5" s="15">
        <v>5</v>
      </c>
      <c r="BP5" s="15">
        <v>6</v>
      </c>
      <c r="BQ5" s="45" t="s">
        <v>7</v>
      </c>
      <c r="BR5" s="15">
        <v>1</v>
      </c>
      <c r="BS5" s="15">
        <v>2</v>
      </c>
      <c r="BT5" s="15">
        <v>3</v>
      </c>
      <c r="BU5" s="15">
        <v>4</v>
      </c>
      <c r="BV5" s="18">
        <v>5</v>
      </c>
      <c r="BW5" s="18">
        <v>6</v>
      </c>
    </row>
    <row r="6" spans="2:75" x14ac:dyDescent="0.3">
      <c r="B6" s="41">
        <v>1</v>
      </c>
      <c r="C6" s="19">
        <v>15</v>
      </c>
      <c r="D6" s="8"/>
      <c r="E6" s="42">
        <v>1</v>
      </c>
      <c r="F6" s="20">
        <v>10</v>
      </c>
      <c r="G6" s="8"/>
      <c r="H6" s="42">
        <v>1</v>
      </c>
      <c r="I6" s="13">
        <v>7</v>
      </c>
      <c r="J6" s="8"/>
      <c r="K6" s="42">
        <v>1</v>
      </c>
      <c r="L6" s="13">
        <v>4</v>
      </c>
      <c r="M6" s="8"/>
      <c r="N6" s="42">
        <v>1</v>
      </c>
      <c r="O6" s="13">
        <v>0.5</v>
      </c>
      <c r="P6" s="8"/>
      <c r="Q6" s="42">
        <v>1</v>
      </c>
      <c r="R6" s="13">
        <v>2</v>
      </c>
      <c r="S6" s="8"/>
      <c r="T6" s="42">
        <v>1</v>
      </c>
      <c r="U6" s="19">
        <v>15</v>
      </c>
      <c r="V6" s="8"/>
      <c r="W6" s="8"/>
      <c r="X6" s="8"/>
      <c r="Y6" s="8"/>
      <c r="Z6" s="42">
        <v>1</v>
      </c>
      <c r="AA6" s="15">
        <f>$F$33/$I6-MOD($F$33/$I6,1)</f>
        <v>4</v>
      </c>
      <c r="AB6" s="15">
        <f>$F$34/$I6-MOD($F$34/$I6,1)</f>
        <v>4</v>
      </c>
      <c r="AC6" s="15">
        <f>$F$35/$I6-MOD($F$35/$I6,1)</f>
        <v>3</v>
      </c>
      <c r="AD6" s="15">
        <f>$F$36/$I6-MOD($F$36/$I6,1)</f>
        <v>3</v>
      </c>
      <c r="AE6" s="15">
        <f>$F$37/$I6-MOD($F$37/$I6,1)</f>
        <v>4</v>
      </c>
      <c r="AF6" s="15">
        <f t="shared" ref="AF6:AF30" si="0">$F$38/$I6-MOD($F$38/$I6,1)</f>
        <v>3</v>
      </c>
      <c r="AH6" s="21">
        <v>1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22">
        <v>1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22">
        <v>1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22">
        <v>1</v>
      </c>
      <c r="BD6" s="15">
        <v>0</v>
      </c>
      <c r="BE6" s="15">
        <v>0</v>
      </c>
      <c r="BF6" s="15">
        <v>0</v>
      </c>
      <c r="BG6" s="15">
        <v>0</v>
      </c>
      <c r="BH6" s="18">
        <v>0</v>
      </c>
      <c r="BI6" s="15">
        <v>0</v>
      </c>
      <c r="BJ6" s="21">
        <v>1</v>
      </c>
      <c r="BK6" s="15">
        <f t="shared" ref="BK6:BK30" si="1">AI6+AP6+AW6+BD6</f>
        <v>0</v>
      </c>
      <c r="BL6" s="15">
        <f t="shared" ref="BL6:BL30" si="2">AJ6+AQ6+AX6+BE6</f>
        <v>0</v>
      </c>
      <c r="BM6" s="15">
        <f t="shared" ref="BM6:BM30" si="3">AK6+AR6+AY6+BF6</f>
        <v>0</v>
      </c>
      <c r="BN6" s="15">
        <f t="shared" ref="BN6:BN30" si="4">AL6+AS6+AZ6+BG6</f>
        <v>0</v>
      </c>
      <c r="BO6" s="15">
        <f t="shared" ref="BO6:BO30" si="5">AM6+AT6+BA6+BH6</f>
        <v>0</v>
      </c>
      <c r="BP6" s="15">
        <f t="shared" ref="BP6:BP30" si="6">AN6+AU6+BB6+BI6</f>
        <v>0</v>
      </c>
      <c r="BQ6" s="22">
        <v>1</v>
      </c>
      <c r="BR6" s="15">
        <f t="shared" ref="BR6:BR30" si="7">AI6+AP6*POWER(2,$O6)+AW6*POWER(3,$O6)+BD6*POWER(4,$O6)</f>
        <v>0</v>
      </c>
      <c r="BS6" s="15">
        <f t="shared" ref="BS6:BS30" si="8">AJ6+AQ6*POWER(2,$O6)+AX6*POWER(3,$O6)+BE6*POWER(4,$O6)</f>
        <v>0</v>
      </c>
      <c r="BT6" s="15">
        <f t="shared" ref="BT6:BT30" si="9">AK6+AR6*POWER(2,$O6)+AY6*POWER(3,$O6)+BF6*POWER(4,$O6)</f>
        <v>0</v>
      </c>
      <c r="BU6" s="15">
        <f t="shared" ref="BU6:BU30" si="10">AL6+AS6*POWER(2,$O6)+AZ6*POWER(3,$O6)+BG6*POWER(4,$O6)</f>
        <v>0</v>
      </c>
      <c r="BV6" s="18">
        <f t="shared" ref="BV6:BV30" si="11">AM6+AT6*POWER(2,$O6)+BA6*POWER(3,$O6)+BH6*POWER(4,$O6)</f>
        <v>0</v>
      </c>
      <c r="BW6" s="18">
        <f t="shared" ref="BW6:BW30" si="12">AN6+AU6*POWER(2,$O6)+BB6*POWER(3,$O6)+BI6*POWER(4,$O6)</f>
        <v>0</v>
      </c>
    </row>
    <row r="7" spans="2:75" x14ac:dyDescent="0.3">
      <c r="B7" s="41">
        <v>2</v>
      </c>
      <c r="C7" s="19">
        <v>8</v>
      </c>
      <c r="D7" s="8"/>
      <c r="E7" s="42">
        <v>2</v>
      </c>
      <c r="F7" s="23">
        <v>9</v>
      </c>
      <c r="G7" s="8"/>
      <c r="H7" s="42">
        <v>2</v>
      </c>
      <c r="I7" s="13">
        <v>6</v>
      </c>
      <c r="J7" s="8"/>
      <c r="K7" s="42">
        <v>2</v>
      </c>
      <c r="L7" s="13">
        <v>10</v>
      </c>
      <c r="M7" s="8"/>
      <c r="N7" s="42">
        <v>2</v>
      </c>
      <c r="O7" s="13">
        <v>0.2</v>
      </c>
      <c r="P7" s="8"/>
      <c r="Q7" s="42">
        <v>2</v>
      </c>
      <c r="R7" s="13">
        <v>1</v>
      </c>
      <c r="S7" s="8"/>
      <c r="T7" s="42">
        <v>2</v>
      </c>
      <c r="U7" s="19">
        <v>19</v>
      </c>
      <c r="V7" s="8"/>
      <c r="W7" s="8"/>
      <c r="X7" s="8"/>
      <c r="Y7" s="8"/>
      <c r="Z7" s="42">
        <v>2</v>
      </c>
      <c r="AA7" s="15">
        <f t="shared" ref="AA7:AA30" si="13">$F$33/$I7-MOD($F$33/$I7,1)</f>
        <v>5</v>
      </c>
      <c r="AB7" s="15">
        <f t="shared" ref="AB7:AB30" si="14">$F$34/$I7-MOD($F$34/$I7,1)</f>
        <v>5</v>
      </c>
      <c r="AC7" s="15">
        <f t="shared" ref="AC7:AC30" si="15">$F$35/$I7-MOD($F$35/$I7,1)</f>
        <v>4</v>
      </c>
      <c r="AD7" s="15">
        <f t="shared" ref="AD7:AD29" si="16">$F$36/$I7-MOD($F$36/$I7,1)</f>
        <v>4</v>
      </c>
      <c r="AE7" s="15">
        <f t="shared" ref="AE7:AE30" si="17">$F$37/$I7-MOD($F$37/$I7,1)</f>
        <v>4</v>
      </c>
      <c r="AF7" s="15">
        <f t="shared" si="0"/>
        <v>4</v>
      </c>
      <c r="AH7" s="21">
        <v>2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22">
        <v>2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22">
        <v>2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22">
        <v>2</v>
      </c>
      <c r="BD7" s="15">
        <v>0</v>
      </c>
      <c r="BE7" s="15">
        <v>0</v>
      </c>
      <c r="BF7" s="15">
        <v>0</v>
      </c>
      <c r="BG7" s="15">
        <v>0</v>
      </c>
      <c r="BH7" s="18">
        <v>0</v>
      </c>
      <c r="BI7" s="15">
        <v>0</v>
      </c>
      <c r="BJ7" s="21">
        <v>2</v>
      </c>
      <c r="BK7" s="15">
        <f t="shared" si="1"/>
        <v>0</v>
      </c>
      <c r="BL7" s="15">
        <f t="shared" si="2"/>
        <v>0</v>
      </c>
      <c r="BM7" s="15">
        <f t="shared" si="3"/>
        <v>0</v>
      </c>
      <c r="BN7" s="15">
        <f t="shared" si="4"/>
        <v>0</v>
      </c>
      <c r="BO7" s="15">
        <f t="shared" si="5"/>
        <v>0</v>
      </c>
      <c r="BP7" s="15">
        <f t="shared" si="6"/>
        <v>0</v>
      </c>
      <c r="BQ7" s="22">
        <v>2</v>
      </c>
      <c r="BR7" s="15">
        <f t="shared" si="7"/>
        <v>0</v>
      </c>
      <c r="BS7" s="15">
        <f t="shared" si="8"/>
        <v>0</v>
      </c>
      <c r="BT7" s="15">
        <f t="shared" si="9"/>
        <v>0</v>
      </c>
      <c r="BU7" s="15">
        <f t="shared" si="10"/>
        <v>0</v>
      </c>
      <c r="BV7" s="18">
        <f t="shared" si="11"/>
        <v>0</v>
      </c>
      <c r="BW7" s="18">
        <f t="shared" si="12"/>
        <v>0</v>
      </c>
    </row>
    <row r="8" spans="2:75" x14ac:dyDescent="0.3">
      <c r="B8" s="41">
        <v>3</v>
      </c>
      <c r="C8" s="19">
        <v>12</v>
      </c>
      <c r="D8" s="8"/>
      <c r="E8" s="42">
        <v>3</v>
      </c>
      <c r="F8" s="23">
        <v>5</v>
      </c>
      <c r="G8" s="8"/>
      <c r="H8" s="42">
        <v>3</v>
      </c>
      <c r="I8" s="13">
        <v>10</v>
      </c>
      <c r="J8" s="8"/>
      <c r="K8" s="42">
        <v>3</v>
      </c>
      <c r="L8" s="13">
        <v>10</v>
      </c>
      <c r="M8" s="8"/>
      <c r="N8" s="42">
        <v>3</v>
      </c>
      <c r="O8" s="13">
        <v>0.3</v>
      </c>
      <c r="P8" s="8"/>
      <c r="Q8" s="42">
        <v>3</v>
      </c>
      <c r="R8" s="13">
        <v>1</v>
      </c>
      <c r="S8" s="8"/>
      <c r="T8" s="42">
        <v>3</v>
      </c>
      <c r="U8" s="19">
        <v>23</v>
      </c>
      <c r="V8" s="8"/>
      <c r="W8" s="8"/>
      <c r="X8" s="8"/>
      <c r="Y8" s="8"/>
      <c r="Z8" s="42">
        <v>3</v>
      </c>
      <c r="AA8" s="15">
        <f t="shared" si="13"/>
        <v>3</v>
      </c>
      <c r="AB8" s="15">
        <f t="shared" si="14"/>
        <v>3</v>
      </c>
      <c r="AC8" s="15">
        <f t="shared" si="15"/>
        <v>2</v>
      </c>
      <c r="AD8" s="15">
        <f t="shared" si="16"/>
        <v>2</v>
      </c>
      <c r="AE8" s="15">
        <f t="shared" si="17"/>
        <v>2</v>
      </c>
      <c r="AF8" s="15">
        <f t="shared" si="0"/>
        <v>2</v>
      </c>
      <c r="AH8" s="21">
        <v>3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22">
        <v>3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22">
        <v>3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22">
        <v>3</v>
      </c>
      <c r="BD8" s="15">
        <v>0</v>
      </c>
      <c r="BE8" s="15">
        <v>0</v>
      </c>
      <c r="BF8" s="15">
        <v>0</v>
      </c>
      <c r="BG8" s="15">
        <v>0</v>
      </c>
      <c r="BH8" s="18">
        <v>0</v>
      </c>
      <c r="BI8" s="15">
        <v>0</v>
      </c>
      <c r="BJ8" s="21">
        <v>3</v>
      </c>
      <c r="BK8" s="15">
        <f t="shared" si="1"/>
        <v>0</v>
      </c>
      <c r="BL8" s="15">
        <f t="shared" si="2"/>
        <v>0</v>
      </c>
      <c r="BM8" s="15">
        <f t="shared" si="3"/>
        <v>0</v>
      </c>
      <c r="BN8" s="15">
        <f t="shared" si="4"/>
        <v>0</v>
      </c>
      <c r="BO8" s="15">
        <f t="shared" si="5"/>
        <v>0</v>
      </c>
      <c r="BP8" s="15">
        <f t="shared" si="6"/>
        <v>0</v>
      </c>
      <c r="BQ8" s="22">
        <v>3</v>
      </c>
      <c r="BR8" s="15">
        <f t="shared" si="7"/>
        <v>0</v>
      </c>
      <c r="BS8" s="15">
        <f t="shared" si="8"/>
        <v>0</v>
      </c>
      <c r="BT8" s="15">
        <f t="shared" si="9"/>
        <v>0</v>
      </c>
      <c r="BU8" s="15">
        <f t="shared" si="10"/>
        <v>0</v>
      </c>
      <c r="BV8" s="18">
        <f t="shared" si="11"/>
        <v>0</v>
      </c>
      <c r="BW8" s="18">
        <f t="shared" si="12"/>
        <v>0</v>
      </c>
    </row>
    <row r="9" spans="2:75" x14ac:dyDescent="0.3">
      <c r="B9" s="41">
        <v>4</v>
      </c>
      <c r="C9" s="19">
        <v>6</v>
      </c>
      <c r="D9" s="8"/>
      <c r="E9" s="42">
        <v>4</v>
      </c>
      <c r="F9" s="23">
        <v>7</v>
      </c>
      <c r="G9" s="8"/>
      <c r="H9" s="42">
        <v>4</v>
      </c>
      <c r="I9" s="13">
        <v>7</v>
      </c>
      <c r="J9" s="8"/>
      <c r="K9" s="42">
        <v>4</v>
      </c>
      <c r="L9" s="13">
        <v>7</v>
      </c>
      <c r="M9" s="8"/>
      <c r="N9" s="42">
        <v>4</v>
      </c>
      <c r="O9" s="13">
        <v>0.2</v>
      </c>
      <c r="P9" s="8"/>
      <c r="Q9" s="42">
        <v>4</v>
      </c>
      <c r="R9" s="13">
        <v>1</v>
      </c>
      <c r="S9" s="8"/>
      <c r="T9" s="42">
        <v>4</v>
      </c>
      <c r="U9" s="19">
        <v>9</v>
      </c>
      <c r="V9" s="8"/>
      <c r="W9" s="8"/>
      <c r="X9" s="8"/>
      <c r="Y9" s="8"/>
      <c r="Z9" s="42">
        <v>4</v>
      </c>
      <c r="AA9" s="15">
        <f t="shared" si="13"/>
        <v>4</v>
      </c>
      <c r="AB9" s="15">
        <f t="shared" si="14"/>
        <v>4</v>
      </c>
      <c r="AC9" s="15">
        <f t="shared" si="15"/>
        <v>3</v>
      </c>
      <c r="AD9" s="15">
        <f t="shared" si="16"/>
        <v>3</v>
      </c>
      <c r="AE9" s="15">
        <f t="shared" si="17"/>
        <v>4</v>
      </c>
      <c r="AF9" s="15">
        <f t="shared" si="0"/>
        <v>3</v>
      </c>
      <c r="AH9" s="21">
        <v>4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22">
        <v>4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22">
        <v>4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22">
        <v>4</v>
      </c>
      <c r="BD9" s="15">
        <v>0</v>
      </c>
      <c r="BE9" s="15">
        <v>0</v>
      </c>
      <c r="BF9" s="15">
        <v>0</v>
      </c>
      <c r="BG9" s="15">
        <v>0</v>
      </c>
      <c r="BH9" s="18">
        <v>0</v>
      </c>
      <c r="BI9" s="15">
        <v>0</v>
      </c>
      <c r="BJ9" s="21">
        <v>4</v>
      </c>
      <c r="BK9" s="15">
        <f t="shared" si="1"/>
        <v>0</v>
      </c>
      <c r="BL9" s="15">
        <f t="shared" si="2"/>
        <v>0</v>
      </c>
      <c r="BM9" s="15">
        <f t="shared" si="3"/>
        <v>0</v>
      </c>
      <c r="BN9" s="15">
        <f t="shared" si="4"/>
        <v>0</v>
      </c>
      <c r="BO9" s="15">
        <f t="shared" si="5"/>
        <v>0</v>
      </c>
      <c r="BP9" s="15">
        <f t="shared" si="6"/>
        <v>0</v>
      </c>
      <c r="BQ9" s="22">
        <v>4</v>
      </c>
      <c r="BR9" s="15">
        <f t="shared" si="7"/>
        <v>0</v>
      </c>
      <c r="BS9" s="15">
        <f t="shared" si="8"/>
        <v>0</v>
      </c>
      <c r="BT9" s="15">
        <f t="shared" si="9"/>
        <v>0</v>
      </c>
      <c r="BU9" s="15">
        <f t="shared" si="10"/>
        <v>0</v>
      </c>
      <c r="BV9" s="18">
        <f t="shared" si="11"/>
        <v>0</v>
      </c>
      <c r="BW9" s="18">
        <f t="shared" si="12"/>
        <v>0</v>
      </c>
    </row>
    <row r="10" spans="2:75" x14ac:dyDescent="0.3">
      <c r="B10" s="41">
        <v>5</v>
      </c>
      <c r="C10" s="19">
        <v>11</v>
      </c>
      <c r="D10" s="8"/>
      <c r="E10" s="42">
        <v>5</v>
      </c>
      <c r="F10" s="23">
        <v>9</v>
      </c>
      <c r="G10" s="8"/>
      <c r="H10" s="42">
        <v>5</v>
      </c>
      <c r="I10" s="13">
        <v>9</v>
      </c>
      <c r="J10" s="8"/>
      <c r="K10" s="42">
        <v>5</v>
      </c>
      <c r="L10" s="13">
        <v>5</v>
      </c>
      <c r="M10" s="8"/>
      <c r="N10" s="42">
        <v>5</v>
      </c>
      <c r="O10" s="13">
        <v>0.9</v>
      </c>
      <c r="P10" s="8"/>
      <c r="Q10" s="42">
        <v>5</v>
      </c>
      <c r="R10" s="13">
        <v>1</v>
      </c>
      <c r="S10" s="8"/>
      <c r="T10" s="42">
        <v>5</v>
      </c>
      <c r="U10" s="19">
        <v>16</v>
      </c>
      <c r="V10" s="8"/>
      <c r="W10" s="8"/>
      <c r="X10" s="8"/>
      <c r="Y10" s="8"/>
      <c r="Z10" s="42">
        <v>5</v>
      </c>
      <c r="AA10" s="15">
        <f t="shared" si="13"/>
        <v>3</v>
      </c>
      <c r="AB10" s="15">
        <f t="shared" si="14"/>
        <v>3</v>
      </c>
      <c r="AC10" s="15">
        <f t="shared" si="15"/>
        <v>2</v>
      </c>
      <c r="AD10" s="15">
        <f t="shared" si="16"/>
        <v>3</v>
      </c>
      <c r="AE10" s="15">
        <f t="shared" si="17"/>
        <v>3</v>
      </c>
      <c r="AF10" s="15">
        <f t="shared" si="0"/>
        <v>2</v>
      </c>
      <c r="AH10" s="21">
        <v>5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22">
        <v>5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22">
        <v>5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22">
        <v>5</v>
      </c>
      <c r="BD10" s="15">
        <v>0</v>
      </c>
      <c r="BE10" s="15">
        <v>0</v>
      </c>
      <c r="BF10" s="15">
        <v>0</v>
      </c>
      <c r="BG10" s="15">
        <v>0</v>
      </c>
      <c r="BH10" s="18">
        <v>0</v>
      </c>
      <c r="BI10" s="15">
        <v>0</v>
      </c>
      <c r="BJ10" s="21">
        <v>5</v>
      </c>
      <c r="BK10" s="15">
        <f t="shared" si="1"/>
        <v>0</v>
      </c>
      <c r="BL10" s="15">
        <f t="shared" si="2"/>
        <v>0</v>
      </c>
      <c r="BM10" s="15">
        <f t="shared" si="3"/>
        <v>0</v>
      </c>
      <c r="BN10" s="15">
        <f t="shared" si="4"/>
        <v>0</v>
      </c>
      <c r="BO10" s="15">
        <f t="shared" si="5"/>
        <v>0</v>
      </c>
      <c r="BP10" s="15">
        <f t="shared" si="6"/>
        <v>0</v>
      </c>
      <c r="BQ10" s="22">
        <v>5</v>
      </c>
      <c r="BR10" s="15">
        <f t="shared" si="7"/>
        <v>0</v>
      </c>
      <c r="BS10" s="15">
        <f t="shared" si="8"/>
        <v>0</v>
      </c>
      <c r="BT10" s="15">
        <f t="shared" si="9"/>
        <v>0</v>
      </c>
      <c r="BU10" s="15">
        <f t="shared" si="10"/>
        <v>0</v>
      </c>
      <c r="BV10" s="18">
        <f t="shared" si="11"/>
        <v>0</v>
      </c>
      <c r="BW10" s="18">
        <f t="shared" si="12"/>
        <v>0</v>
      </c>
    </row>
    <row r="11" spans="2:75" x14ac:dyDescent="0.3">
      <c r="B11" s="41">
        <v>6</v>
      </c>
      <c r="C11" s="19">
        <v>14</v>
      </c>
      <c r="D11" s="8"/>
      <c r="E11" s="42">
        <v>6</v>
      </c>
      <c r="F11" s="23">
        <v>6</v>
      </c>
      <c r="G11" s="8"/>
      <c r="H11" s="42">
        <v>6</v>
      </c>
      <c r="I11" s="13">
        <v>8</v>
      </c>
      <c r="J11" s="8"/>
      <c r="K11" s="42">
        <v>6</v>
      </c>
      <c r="L11" s="13">
        <v>2</v>
      </c>
      <c r="M11" s="8"/>
      <c r="N11" s="42">
        <v>6</v>
      </c>
      <c r="O11" s="13">
        <v>0.4</v>
      </c>
      <c r="P11" s="8"/>
      <c r="Q11" s="42">
        <v>6</v>
      </c>
      <c r="R11" s="13">
        <v>1</v>
      </c>
      <c r="S11" s="8"/>
      <c r="T11" s="42">
        <v>6</v>
      </c>
      <c r="U11" s="19">
        <v>21</v>
      </c>
      <c r="V11" s="8"/>
      <c r="W11" s="8"/>
      <c r="X11" s="8"/>
      <c r="Y11" s="8"/>
      <c r="Z11" s="42">
        <v>6</v>
      </c>
      <c r="AA11" s="15">
        <f t="shared" si="13"/>
        <v>4</v>
      </c>
      <c r="AB11" s="15">
        <f t="shared" si="14"/>
        <v>3</v>
      </c>
      <c r="AC11" s="15">
        <f t="shared" si="15"/>
        <v>3</v>
      </c>
      <c r="AD11" s="15">
        <f t="shared" si="16"/>
        <v>3</v>
      </c>
      <c r="AE11" s="15">
        <f t="shared" si="17"/>
        <v>3</v>
      </c>
      <c r="AF11" s="15">
        <f t="shared" si="0"/>
        <v>3</v>
      </c>
      <c r="AH11" s="21">
        <v>6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22">
        <v>6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22">
        <v>6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22">
        <v>6</v>
      </c>
      <c r="BD11" s="15">
        <v>0</v>
      </c>
      <c r="BE11" s="15">
        <v>0</v>
      </c>
      <c r="BF11" s="15">
        <v>0</v>
      </c>
      <c r="BG11" s="15">
        <v>0</v>
      </c>
      <c r="BH11" s="18">
        <v>0</v>
      </c>
      <c r="BI11" s="15">
        <v>0</v>
      </c>
      <c r="BJ11" s="21">
        <v>6</v>
      </c>
      <c r="BK11" s="15">
        <f t="shared" si="1"/>
        <v>0</v>
      </c>
      <c r="BL11" s="15">
        <f t="shared" si="2"/>
        <v>0</v>
      </c>
      <c r="BM11" s="15">
        <f t="shared" si="3"/>
        <v>0</v>
      </c>
      <c r="BN11" s="15">
        <f t="shared" si="4"/>
        <v>0</v>
      </c>
      <c r="BO11" s="15">
        <f t="shared" si="5"/>
        <v>0</v>
      </c>
      <c r="BP11" s="15">
        <f t="shared" si="6"/>
        <v>0</v>
      </c>
      <c r="BQ11" s="22">
        <v>6</v>
      </c>
      <c r="BR11" s="15">
        <f t="shared" si="7"/>
        <v>0</v>
      </c>
      <c r="BS11" s="15">
        <f t="shared" si="8"/>
        <v>0</v>
      </c>
      <c r="BT11" s="15">
        <f t="shared" si="9"/>
        <v>0</v>
      </c>
      <c r="BU11" s="15">
        <f t="shared" si="10"/>
        <v>0</v>
      </c>
      <c r="BV11" s="18">
        <f t="shared" si="11"/>
        <v>0</v>
      </c>
      <c r="BW11" s="18">
        <f t="shared" si="12"/>
        <v>0</v>
      </c>
    </row>
    <row r="12" spans="2:75" x14ac:dyDescent="0.3">
      <c r="B12" s="41">
        <v>7</v>
      </c>
      <c r="C12" s="19">
        <v>14</v>
      </c>
      <c r="D12" s="8"/>
      <c r="E12" s="42">
        <v>7</v>
      </c>
      <c r="F12" s="23">
        <v>9</v>
      </c>
      <c r="G12" s="8"/>
      <c r="H12" s="42">
        <v>7</v>
      </c>
      <c r="I12" s="13">
        <v>6</v>
      </c>
      <c r="J12" s="8"/>
      <c r="K12" s="42">
        <v>7</v>
      </c>
      <c r="L12" s="13">
        <v>1</v>
      </c>
      <c r="M12" s="8"/>
      <c r="N12" s="42">
        <v>7</v>
      </c>
      <c r="O12" s="13">
        <v>0.5</v>
      </c>
      <c r="P12" s="8"/>
      <c r="Q12" s="42">
        <v>7</v>
      </c>
      <c r="R12" s="13">
        <v>1</v>
      </c>
      <c r="S12" s="8"/>
      <c r="T12" s="42">
        <v>7</v>
      </c>
      <c r="U12" s="19">
        <v>11</v>
      </c>
      <c r="V12" s="8"/>
      <c r="W12" s="8"/>
      <c r="X12" s="8"/>
      <c r="Y12" s="8"/>
      <c r="Z12" s="42">
        <v>7</v>
      </c>
      <c r="AA12" s="15">
        <f t="shared" si="13"/>
        <v>5</v>
      </c>
      <c r="AB12" s="15">
        <f t="shared" si="14"/>
        <v>5</v>
      </c>
      <c r="AC12" s="15">
        <f t="shared" si="15"/>
        <v>4</v>
      </c>
      <c r="AD12" s="15">
        <f t="shared" si="16"/>
        <v>4</v>
      </c>
      <c r="AE12" s="15">
        <f t="shared" si="17"/>
        <v>4</v>
      </c>
      <c r="AF12" s="15">
        <f t="shared" si="0"/>
        <v>4</v>
      </c>
      <c r="AH12" s="21">
        <v>7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22">
        <v>7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22">
        <v>7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22">
        <v>7</v>
      </c>
      <c r="BD12" s="15">
        <v>0</v>
      </c>
      <c r="BE12" s="15">
        <v>0</v>
      </c>
      <c r="BF12" s="15">
        <v>0</v>
      </c>
      <c r="BG12" s="15">
        <v>0</v>
      </c>
      <c r="BH12" s="18">
        <v>0</v>
      </c>
      <c r="BI12" s="15">
        <v>0</v>
      </c>
      <c r="BJ12" s="21">
        <v>7</v>
      </c>
      <c r="BK12" s="15">
        <f t="shared" si="1"/>
        <v>0</v>
      </c>
      <c r="BL12" s="15">
        <f t="shared" si="2"/>
        <v>0</v>
      </c>
      <c r="BM12" s="15">
        <f t="shared" si="3"/>
        <v>0</v>
      </c>
      <c r="BN12" s="15">
        <f t="shared" si="4"/>
        <v>0</v>
      </c>
      <c r="BO12" s="15">
        <f t="shared" si="5"/>
        <v>0</v>
      </c>
      <c r="BP12" s="15">
        <f t="shared" si="6"/>
        <v>0</v>
      </c>
      <c r="BQ12" s="22">
        <v>7</v>
      </c>
      <c r="BR12" s="15">
        <f t="shared" si="7"/>
        <v>0</v>
      </c>
      <c r="BS12" s="15">
        <f t="shared" si="8"/>
        <v>0</v>
      </c>
      <c r="BT12" s="15">
        <f t="shared" si="9"/>
        <v>0</v>
      </c>
      <c r="BU12" s="15">
        <f t="shared" si="10"/>
        <v>0</v>
      </c>
      <c r="BV12" s="18">
        <f t="shared" si="11"/>
        <v>0</v>
      </c>
      <c r="BW12" s="18">
        <f t="shared" si="12"/>
        <v>0</v>
      </c>
    </row>
    <row r="13" spans="2:75" x14ac:dyDescent="0.3">
      <c r="B13" s="41">
        <v>8</v>
      </c>
      <c r="C13" s="19">
        <v>6</v>
      </c>
      <c r="D13" s="8"/>
      <c r="E13" s="42">
        <v>8</v>
      </c>
      <c r="F13" s="23">
        <v>5</v>
      </c>
      <c r="G13" s="8"/>
      <c r="H13" s="42">
        <v>8</v>
      </c>
      <c r="I13" s="13">
        <v>9</v>
      </c>
      <c r="J13" s="8"/>
      <c r="K13" s="42">
        <v>8</v>
      </c>
      <c r="L13" s="13">
        <v>6</v>
      </c>
      <c r="M13" s="8"/>
      <c r="N13" s="42">
        <v>8</v>
      </c>
      <c r="O13" s="13">
        <v>0.3</v>
      </c>
      <c r="P13" s="8"/>
      <c r="Q13" s="42">
        <v>8</v>
      </c>
      <c r="R13" s="13">
        <v>1</v>
      </c>
      <c r="S13" s="8"/>
      <c r="T13" s="42">
        <v>8</v>
      </c>
      <c r="U13" s="19">
        <v>18</v>
      </c>
      <c r="V13" s="8"/>
      <c r="W13" s="8"/>
      <c r="X13" s="8"/>
      <c r="Y13" s="8"/>
      <c r="Z13" s="42">
        <v>8</v>
      </c>
      <c r="AA13" s="15">
        <f t="shared" si="13"/>
        <v>3</v>
      </c>
      <c r="AB13" s="15">
        <f t="shared" si="14"/>
        <v>3</v>
      </c>
      <c r="AC13" s="15">
        <f t="shared" si="15"/>
        <v>2</v>
      </c>
      <c r="AD13" s="15">
        <f t="shared" si="16"/>
        <v>3</v>
      </c>
      <c r="AE13" s="15">
        <f t="shared" si="17"/>
        <v>3</v>
      </c>
      <c r="AF13" s="15">
        <f t="shared" si="0"/>
        <v>2</v>
      </c>
      <c r="AH13" s="21">
        <v>8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22">
        <v>8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22">
        <v>8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22">
        <v>8</v>
      </c>
      <c r="BD13" s="15">
        <v>0</v>
      </c>
      <c r="BE13" s="15">
        <v>0</v>
      </c>
      <c r="BF13" s="15">
        <v>0</v>
      </c>
      <c r="BG13" s="15">
        <v>0</v>
      </c>
      <c r="BH13" s="18">
        <v>0</v>
      </c>
      <c r="BI13" s="15">
        <v>0</v>
      </c>
      <c r="BJ13" s="21">
        <v>8</v>
      </c>
      <c r="BK13" s="15">
        <f t="shared" si="1"/>
        <v>0</v>
      </c>
      <c r="BL13" s="15">
        <f t="shared" si="2"/>
        <v>0</v>
      </c>
      <c r="BM13" s="15">
        <f t="shared" si="3"/>
        <v>0</v>
      </c>
      <c r="BN13" s="15">
        <f t="shared" si="4"/>
        <v>0</v>
      </c>
      <c r="BO13" s="15">
        <f t="shared" si="5"/>
        <v>0</v>
      </c>
      <c r="BP13" s="15">
        <f t="shared" si="6"/>
        <v>0</v>
      </c>
      <c r="BQ13" s="22">
        <v>8</v>
      </c>
      <c r="BR13" s="15">
        <f t="shared" si="7"/>
        <v>0</v>
      </c>
      <c r="BS13" s="15">
        <f t="shared" si="8"/>
        <v>0</v>
      </c>
      <c r="BT13" s="15">
        <f t="shared" si="9"/>
        <v>0</v>
      </c>
      <c r="BU13" s="15">
        <f t="shared" si="10"/>
        <v>0</v>
      </c>
      <c r="BV13" s="18">
        <f t="shared" si="11"/>
        <v>0</v>
      </c>
      <c r="BW13" s="18">
        <f t="shared" si="12"/>
        <v>0</v>
      </c>
    </row>
    <row r="14" spans="2:75" x14ac:dyDescent="0.3">
      <c r="B14" s="41">
        <v>9</v>
      </c>
      <c r="C14" s="19">
        <v>5</v>
      </c>
      <c r="D14" s="8"/>
      <c r="E14" s="42">
        <v>9</v>
      </c>
      <c r="F14" s="23">
        <v>9</v>
      </c>
      <c r="G14" s="8"/>
      <c r="H14" s="42">
        <v>9</v>
      </c>
      <c r="I14" s="13">
        <v>9</v>
      </c>
      <c r="J14" s="8"/>
      <c r="K14" s="42">
        <v>9</v>
      </c>
      <c r="L14" s="13">
        <v>7</v>
      </c>
      <c r="M14" s="8"/>
      <c r="N14" s="42">
        <v>9</v>
      </c>
      <c r="O14" s="13">
        <v>0.8</v>
      </c>
      <c r="P14" s="8"/>
      <c r="Q14" s="42">
        <v>9</v>
      </c>
      <c r="R14" s="13">
        <v>2</v>
      </c>
      <c r="S14" s="8"/>
      <c r="T14" s="42">
        <v>9</v>
      </c>
      <c r="U14" s="19">
        <v>11</v>
      </c>
      <c r="V14" s="8"/>
      <c r="W14" s="8"/>
      <c r="X14" s="8"/>
      <c r="Y14" s="8"/>
      <c r="Z14" s="42">
        <v>9</v>
      </c>
      <c r="AA14" s="15">
        <f t="shared" si="13"/>
        <v>3</v>
      </c>
      <c r="AB14" s="15">
        <f t="shared" si="14"/>
        <v>3</v>
      </c>
      <c r="AC14" s="15">
        <f t="shared" si="15"/>
        <v>2</v>
      </c>
      <c r="AD14" s="15">
        <f t="shared" si="16"/>
        <v>3</v>
      </c>
      <c r="AE14" s="15">
        <f t="shared" si="17"/>
        <v>3</v>
      </c>
      <c r="AF14" s="15">
        <f t="shared" si="0"/>
        <v>2</v>
      </c>
      <c r="AH14" s="21">
        <v>9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22">
        <v>9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22">
        <v>9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22">
        <v>9</v>
      </c>
      <c r="BD14" s="15">
        <v>0</v>
      </c>
      <c r="BE14" s="15">
        <v>0</v>
      </c>
      <c r="BF14" s="15">
        <v>0</v>
      </c>
      <c r="BG14" s="15">
        <v>0</v>
      </c>
      <c r="BH14" s="18">
        <v>0</v>
      </c>
      <c r="BI14" s="15">
        <v>0</v>
      </c>
      <c r="BJ14" s="21">
        <v>9</v>
      </c>
      <c r="BK14" s="15">
        <f t="shared" si="1"/>
        <v>0</v>
      </c>
      <c r="BL14" s="15">
        <f t="shared" si="2"/>
        <v>0</v>
      </c>
      <c r="BM14" s="15">
        <f t="shared" si="3"/>
        <v>0</v>
      </c>
      <c r="BN14" s="15">
        <f t="shared" si="4"/>
        <v>0</v>
      </c>
      <c r="BO14" s="15">
        <f t="shared" si="5"/>
        <v>0</v>
      </c>
      <c r="BP14" s="15">
        <f t="shared" si="6"/>
        <v>0</v>
      </c>
      <c r="BQ14" s="22">
        <v>9</v>
      </c>
      <c r="BR14" s="15">
        <f t="shared" si="7"/>
        <v>0</v>
      </c>
      <c r="BS14" s="15">
        <f t="shared" si="8"/>
        <v>0</v>
      </c>
      <c r="BT14" s="15">
        <f t="shared" si="9"/>
        <v>0</v>
      </c>
      <c r="BU14" s="15">
        <f t="shared" si="10"/>
        <v>0</v>
      </c>
      <c r="BV14" s="18">
        <f t="shared" si="11"/>
        <v>0</v>
      </c>
      <c r="BW14" s="18">
        <f t="shared" si="12"/>
        <v>0</v>
      </c>
    </row>
    <row r="15" spans="2:75" x14ac:dyDescent="0.3">
      <c r="B15" s="41">
        <v>10</v>
      </c>
      <c r="C15" s="19">
        <v>11</v>
      </c>
      <c r="D15" s="8"/>
      <c r="E15" s="42">
        <v>10</v>
      </c>
      <c r="F15" s="20">
        <v>10</v>
      </c>
      <c r="G15" s="8"/>
      <c r="H15" s="42">
        <v>10</v>
      </c>
      <c r="I15" s="13">
        <v>9</v>
      </c>
      <c r="J15" s="8"/>
      <c r="K15" s="42">
        <v>10</v>
      </c>
      <c r="L15" s="13">
        <v>3</v>
      </c>
      <c r="M15" s="8"/>
      <c r="N15" s="42">
        <v>10</v>
      </c>
      <c r="O15" s="13">
        <v>0.8</v>
      </c>
      <c r="P15" s="8"/>
      <c r="Q15" s="42">
        <v>10</v>
      </c>
      <c r="R15" s="13">
        <v>1</v>
      </c>
      <c r="S15" s="8"/>
      <c r="T15" s="42">
        <v>10</v>
      </c>
      <c r="U15" s="19">
        <v>11</v>
      </c>
      <c r="V15" s="8"/>
      <c r="W15" s="8"/>
      <c r="X15" s="8"/>
      <c r="Y15" s="8"/>
      <c r="Z15" s="42">
        <v>10</v>
      </c>
      <c r="AA15" s="15">
        <f t="shared" si="13"/>
        <v>3</v>
      </c>
      <c r="AB15" s="15">
        <f t="shared" si="14"/>
        <v>3</v>
      </c>
      <c r="AC15" s="15">
        <f t="shared" si="15"/>
        <v>2</v>
      </c>
      <c r="AD15" s="15">
        <f t="shared" si="16"/>
        <v>3</v>
      </c>
      <c r="AE15" s="15">
        <f t="shared" si="17"/>
        <v>3</v>
      </c>
      <c r="AF15" s="15">
        <f t="shared" si="0"/>
        <v>2</v>
      </c>
      <c r="AH15" s="21">
        <v>10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22">
        <v>10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22">
        <v>10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22">
        <v>10</v>
      </c>
      <c r="BD15" s="15">
        <v>0</v>
      </c>
      <c r="BE15" s="15">
        <v>0</v>
      </c>
      <c r="BF15" s="15">
        <v>0</v>
      </c>
      <c r="BG15" s="15">
        <v>0</v>
      </c>
      <c r="BH15" s="18">
        <v>0</v>
      </c>
      <c r="BI15" s="15">
        <v>0</v>
      </c>
      <c r="BJ15" s="21">
        <v>10</v>
      </c>
      <c r="BK15" s="15">
        <f t="shared" si="1"/>
        <v>0</v>
      </c>
      <c r="BL15" s="15">
        <f t="shared" si="2"/>
        <v>0</v>
      </c>
      <c r="BM15" s="15">
        <f t="shared" si="3"/>
        <v>0</v>
      </c>
      <c r="BN15" s="15">
        <f t="shared" si="4"/>
        <v>0</v>
      </c>
      <c r="BO15" s="15">
        <f t="shared" si="5"/>
        <v>0</v>
      </c>
      <c r="BP15" s="15">
        <f t="shared" si="6"/>
        <v>0</v>
      </c>
      <c r="BQ15" s="22">
        <v>10</v>
      </c>
      <c r="BR15" s="15">
        <f t="shared" si="7"/>
        <v>0</v>
      </c>
      <c r="BS15" s="15">
        <f t="shared" si="8"/>
        <v>0</v>
      </c>
      <c r="BT15" s="15">
        <f t="shared" si="9"/>
        <v>0</v>
      </c>
      <c r="BU15" s="15">
        <f t="shared" si="10"/>
        <v>0</v>
      </c>
      <c r="BV15" s="18">
        <f t="shared" si="11"/>
        <v>0</v>
      </c>
      <c r="BW15" s="18">
        <f t="shared" si="12"/>
        <v>0</v>
      </c>
    </row>
    <row r="16" spans="2:75" x14ac:dyDescent="0.3">
      <c r="B16" s="41">
        <v>11</v>
      </c>
      <c r="C16" s="19">
        <v>12</v>
      </c>
      <c r="D16" s="8"/>
      <c r="E16" s="42">
        <v>11</v>
      </c>
      <c r="F16" s="23">
        <v>7</v>
      </c>
      <c r="G16" s="8"/>
      <c r="H16" s="42">
        <v>11</v>
      </c>
      <c r="I16" s="13">
        <v>5</v>
      </c>
      <c r="J16" s="8"/>
      <c r="K16" s="42">
        <v>11</v>
      </c>
      <c r="L16" s="13">
        <v>4</v>
      </c>
      <c r="M16" s="8"/>
      <c r="N16" s="42">
        <v>11</v>
      </c>
      <c r="O16" s="13">
        <v>0.1</v>
      </c>
      <c r="P16" s="8"/>
      <c r="Q16" s="42">
        <v>11</v>
      </c>
      <c r="R16" s="13">
        <v>2</v>
      </c>
      <c r="S16" s="8"/>
      <c r="T16" s="42">
        <v>11</v>
      </c>
      <c r="U16" s="19">
        <v>17</v>
      </c>
      <c r="V16" s="8"/>
      <c r="W16" s="8"/>
      <c r="X16" s="8"/>
      <c r="Y16" s="8"/>
      <c r="Z16" s="42">
        <v>11</v>
      </c>
      <c r="AA16" s="15">
        <f t="shared" si="13"/>
        <v>6</v>
      </c>
      <c r="AB16" s="15">
        <f t="shared" si="14"/>
        <v>6</v>
      </c>
      <c r="AC16" s="15">
        <f t="shared" si="15"/>
        <v>5</v>
      </c>
      <c r="AD16" s="15">
        <f t="shared" si="16"/>
        <v>5</v>
      </c>
      <c r="AE16" s="15">
        <f t="shared" si="17"/>
        <v>5</v>
      </c>
      <c r="AF16" s="15">
        <f t="shared" si="0"/>
        <v>5</v>
      </c>
      <c r="AH16" s="21">
        <v>11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22">
        <v>11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22">
        <v>11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22">
        <v>11</v>
      </c>
      <c r="BD16" s="15">
        <v>0</v>
      </c>
      <c r="BE16" s="15">
        <v>0</v>
      </c>
      <c r="BF16" s="15">
        <v>0</v>
      </c>
      <c r="BG16" s="15">
        <v>0</v>
      </c>
      <c r="BH16" s="18">
        <v>0</v>
      </c>
      <c r="BI16" s="15">
        <v>0</v>
      </c>
      <c r="BJ16" s="21">
        <v>11</v>
      </c>
      <c r="BK16" s="15">
        <f t="shared" si="1"/>
        <v>0</v>
      </c>
      <c r="BL16" s="15">
        <f t="shared" si="2"/>
        <v>0</v>
      </c>
      <c r="BM16" s="15">
        <f t="shared" si="3"/>
        <v>0</v>
      </c>
      <c r="BN16" s="15">
        <f t="shared" si="4"/>
        <v>0</v>
      </c>
      <c r="BO16" s="15">
        <f t="shared" si="5"/>
        <v>0</v>
      </c>
      <c r="BP16" s="15">
        <f t="shared" si="6"/>
        <v>0</v>
      </c>
      <c r="BQ16" s="22">
        <v>11</v>
      </c>
      <c r="BR16" s="15">
        <f t="shared" si="7"/>
        <v>0</v>
      </c>
      <c r="BS16" s="15">
        <f t="shared" si="8"/>
        <v>0</v>
      </c>
      <c r="BT16" s="15">
        <f t="shared" si="9"/>
        <v>0</v>
      </c>
      <c r="BU16" s="15">
        <f t="shared" si="10"/>
        <v>0</v>
      </c>
      <c r="BV16" s="18">
        <f t="shared" si="11"/>
        <v>0</v>
      </c>
      <c r="BW16" s="18">
        <f t="shared" si="12"/>
        <v>0</v>
      </c>
    </row>
    <row r="17" spans="2:75" x14ac:dyDescent="0.3">
      <c r="B17" s="41">
        <v>12</v>
      </c>
      <c r="C17" s="19">
        <v>8</v>
      </c>
      <c r="D17" s="8"/>
      <c r="E17" s="42">
        <v>12</v>
      </c>
      <c r="F17" s="23">
        <v>5</v>
      </c>
      <c r="G17" s="8"/>
      <c r="H17" s="42">
        <v>12</v>
      </c>
      <c r="I17" s="13">
        <v>6</v>
      </c>
      <c r="J17" s="8"/>
      <c r="K17" s="42">
        <v>12</v>
      </c>
      <c r="L17" s="13">
        <v>7</v>
      </c>
      <c r="M17" s="8"/>
      <c r="N17" s="42">
        <v>12</v>
      </c>
      <c r="O17" s="13">
        <v>0.8</v>
      </c>
      <c r="P17" s="8"/>
      <c r="Q17" s="42">
        <v>12</v>
      </c>
      <c r="R17" s="13">
        <v>2</v>
      </c>
      <c r="S17" s="8"/>
      <c r="T17" s="42">
        <v>12</v>
      </c>
      <c r="U17" s="19">
        <v>22</v>
      </c>
      <c r="V17" s="8"/>
      <c r="W17" s="8"/>
      <c r="X17" s="8"/>
      <c r="Y17" s="8"/>
      <c r="Z17" s="42">
        <v>12</v>
      </c>
      <c r="AA17" s="15">
        <f t="shared" si="13"/>
        <v>5</v>
      </c>
      <c r="AB17" s="15">
        <f t="shared" si="14"/>
        <v>5</v>
      </c>
      <c r="AC17" s="15">
        <f t="shared" si="15"/>
        <v>4</v>
      </c>
      <c r="AD17" s="15">
        <f t="shared" si="16"/>
        <v>4</v>
      </c>
      <c r="AE17" s="15">
        <f t="shared" si="17"/>
        <v>4</v>
      </c>
      <c r="AF17" s="15">
        <f t="shared" si="0"/>
        <v>4</v>
      </c>
      <c r="AH17" s="21">
        <v>12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22">
        <v>12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22">
        <v>12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22">
        <v>12</v>
      </c>
      <c r="BD17" s="15">
        <v>0</v>
      </c>
      <c r="BE17" s="15">
        <v>0</v>
      </c>
      <c r="BF17" s="15">
        <v>0</v>
      </c>
      <c r="BG17" s="15">
        <v>0</v>
      </c>
      <c r="BH17" s="18">
        <v>0</v>
      </c>
      <c r="BI17" s="15">
        <v>0</v>
      </c>
      <c r="BJ17" s="21">
        <v>12</v>
      </c>
      <c r="BK17" s="15">
        <f t="shared" si="1"/>
        <v>0</v>
      </c>
      <c r="BL17" s="15">
        <f t="shared" si="2"/>
        <v>0</v>
      </c>
      <c r="BM17" s="15">
        <f t="shared" si="3"/>
        <v>0</v>
      </c>
      <c r="BN17" s="15">
        <f t="shared" si="4"/>
        <v>0</v>
      </c>
      <c r="BO17" s="15">
        <f t="shared" si="5"/>
        <v>0</v>
      </c>
      <c r="BP17" s="15">
        <f t="shared" si="6"/>
        <v>0</v>
      </c>
      <c r="BQ17" s="22">
        <v>12</v>
      </c>
      <c r="BR17" s="15">
        <f t="shared" si="7"/>
        <v>0</v>
      </c>
      <c r="BS17" s="15">
        <f t="shared" si="8"/>
        <v>0</v>
      </c>
      <c r="BT17" s="15">
        <f t="shared" si="9"/>
        <v>0</v>
      </c>
      <c r="BU17" s="15">
        <f t="shared" si="10"/>
        <v>0</v>
      </c>
      <c r="BV17" s="18">
        <f t="shared" si="11"/>
        <v>0</v>
      </c>
      <c r="BW17" s="18">
        <f t="shared" si="12"/>
        <v>0</v>
      </c>
    </row>
    <row r="18" spans="2:75" x14ac:dyDescent="0.3">
      <c r="B18" s="41">
        <v>13</v>
      </c>
      <c r="C18" s="19">
        <v>11</v>
      </c>
      <c r="D18" s="8"/>
      <c r="E18" s="42">
        <v>13</v>
      </c>
      <c r="F18" s="23">
        <v>7</v>
      </c>
      <c r="G18" s="8"/>
      <c r="H18" s="42">
        <v>13</v>
      </c>
      <c r="I18" s="13">
        <v>6</v>
      </c>
      <c r="J18" s="8"/>
      <c r="K18" s="42">
        <v>13</v>
      </c>
      <c r="L18" s="13">
        <v>2</v>
      </c>
      <c r="M18" s="8"/>
      <c r="N18" s="42">
        <v>13</v>
      </c>
      <c r="O18" s="13">
        <v>0.1</v>
      </c>
      <c r="P18" s="8"/>
      <c r="Q18" s="42">
        <v>13</v>
      </c>
      <c r="R18" s="13">
        <v>1</v>
      </c>
      <c r="S18" s="8"/>
      <c r="T18" s="42">
        <v>13</v>
      </c>
      <c r="U18" s="19">
        <v>12</v>
      </c>
      <c r="V18" s="8"/>
      <c r="W18" s="8"/>
      <c r="X18" s="8"/>
      <c r="Y18" s="8"/>
      <c r="Z18" s="42">
        <v>13</v>
      </c>
      <c r="AA18" s="15">
        <f t="shared" si="13"/>
        <v>5</v>
      </c>
      <c r="AB18" s="15">
        <f t="shared" si="14"/>
        <v>5</v>
      </c>
      <c r="AC18" s="15">
        <f t="shared" si="15"/>
        <v>4</v>
      </c>
      <c r="AD18" s="15">
        <f t="shared" si="16"/>
        <v>4</v>
      </c>
      <c r="AE18" s="15">
        <f t="shared" si="17"/>
        <v>4</v>
      </c>
      <c r="AF18" s="15">
        <f t="shared" si="0"/>
        <v>4</v>
      </c>
      <c r="AH18" s="21">
        <v>13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22">
        <v>13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22">
        <v>13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22">
        <v>13</v>
      </c>
      <c r="BD18" s="15">
        <v>0</v>
      </c>
      <c r="BE18" s="15">
        <v>0</v>
      </c>
      <c r="BF18" s="15">
        <v>0</v>
      </c>
      <c r="BG18" s="15">
        <v>0</v>
      </c>
      <c r="BH18" s="18">
        <v>0</v>
      </c>
      <c r="BI18" s="15">
        <v>0</v>
      </c>
      <c r="BJ18" s="21">
        <v>13</v>
      </c>
      <c r="BK18" s="15">
        <f t="shared" si="1"/>
        <v>0</v>
      </c>
      <c r="BL18" s="15">
        <f t="shared" si="2"/>
        <v>0</v>
      </c>
      <c r="BM18" s="15">
        <f t="shared" si="3"/>
        <v>0</v>
      </c>
      <c r="BN18" s="15">
        <f t="shared" si="4"/>
        <v>0</v>
      </c>
      <c r="BO18" s="15">
        <f t="shared" si="5"/>
        <v>0</v>
      </c>
      <c r="BP18" s="15">
        <f t="shared" si="6"/>
        <v>0</v>
      </c>
      <c r="BQ18" s="22">
        <v>13</v>
      </c>
      <c r="BR18" s="15">
        <f t="shared" si="7"/>
        <v>0</v>
      </c>
      <c r="BS18" s="15">
        <f t="shared" si="8"/>
        <v>0</v>
      </c>
      <c r="BT18" s="15">
        <f t="shared" si="9"/>
        <v>0</v>
      </c>
      <c r="BU18" s="15">
        <f t="shared" si="10"/>
        <v>0</v>
      </c>
      <c r="BV18" s="18">
        <f t="shared" si="11"/>
        <v>0</v>
      </c>
      <c r="BW18" s="18">
        <f t="shared" si="12"/>
        <v>0</v>
      </c>
    </row>
    <row r="19" spans="2:75" x14ac:dyDescent="0.3">
      <c r="B19" s="41">
        <v>14</v>
      </c>
      <c r="C19" s="19">
        <v>13</v>
      </c>
      <c r="D19" s="8"/>
      <c r="E19" s="42">
        <v>14</v>
      </c>
      <c r="F19" s="23">
        <v>8</v>
      </c>
      <c r="G19" s="8"/>
      <c r="H19" s="42">
        <v>14</v>
      </c>
      <c r="I19" s="13">
        <v>9</v>
      </c>
      <c r="J19" s="8"/>
      <c r="K19" s="42">
        <v>14</v>
      </c>
      <c r="L19" s="13">
        <v>9</v>
      </c>
      <c r="M19" s="8"/>
      <c r="N19" s="42">
        <v>14</v>
      </c>
      <c r="O19" s="13">
        <v>0.8</v>
      </c>
      <c r="P19" s="8"/>
      <c r="Q19" s="42">
        <v>14</v>
      </c>
      <c r="R19" s="13">
        <v>3</v>
      </c>
      <c r="S19" s="8"/>
      <c r="T19" s="42">
        <v>14</v>
      </c>
      <c r="U19" s="19">
        <v>12</v>
      </c>
      <c r="V19" s="8"/>
      <c r="W19" s="8"/>
      <c r="X19" s="8"/>
      <c r="Y19" s="8"/>
      <c r="Z19" s="42">
        <v>14</v>
      </c>
      <c r="AA19" s="15">
        <f t="shared" si="13"/>
        <v>3</v>
      </c>
      <c r="AB19" s="15">
        <f t="shared" si="14"/>
        <v>3</v>
      </c>
      <c r="AC19" s="15">
        <f t="shared" si="15"/>
        <v>2</v>
      </c>
      <c r="AD19" s="15">
        <f t="shared" si="16"/>
        <v>3</v>
      </c>
      <c r="AE19" s="15">
        <f t="shared" si="17"/>
        <v>3</v>
      </c>
      <c r="AF19" s="15">
        <f t="shared" si="0"/>
        <v>2</v>
      </c>
      <c r="AH19" s="21">
        <v>14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22">
        <v>14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22">
        <v>14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22">
        <v>14</v>
      </c>
      <c r="BD19" s="15">
        <v>0</v>
      </c>
      <c r="BE19" s="15">
        <v>0</v>
      </c>
      <c r="BF19" s="15">
        <v>0</v>
      </c>
      <c r="BG19" s="15">
        <v>0</v>
      </c>
      <c r="BH19" s="18">
        <v>0</v>
      </c>
      <c r="BI19" s="15">
        <v>0</v>
      </c>
      <c r="BJ19" s="21">
        <v>14</v>
      </c>
      <c r="BK19" s="15">
        <f t="shared" si="1"/>
        <v>0</v>
      </c>
      <c r="BL19" s="15">
        <f t="shared" si="2"/>
        <v>0</v>
      </c>
      <c r="BM19" s="15">
        <f t="shared" si="3"/>
        <v>0</v>
      </c>
      <c r="BN19" s="15">
        <f t="shared" si="4"/>
        <v>0</v>
      </c>
      <c r="BO19" s="15">
        <f t="shared" si="5"/>
        <v>0</v>
      </c>
      <c r="BP19" s="15">
        <f t="shared" si="6"/>
        <v>0</v>
      </c>
      <c r="BQ19" s="22">
        <v>14</v>
      </c>
      <c r="BR19" s="15">
        <f t="shared" si="7"/>
        <v>0</v>
      </c>
      <c r="BS19" s="15">
        <f t="shared" si="8"/>
        <v>0</v>
      </c>
      <c r="BT19" s="15">
        <f t="shared" si="9"/>
        <v>0</v>
      </c>
      <c r="BU19" s="15">
        <f t="shared" si="10"/>
        <v>0</v>
      </c>
      <c r="BV19" s="18">
        <f t="shared" si="11"/>
        <v>0</v>
      </c>
      <c r="BW19" s="18">
        <f t="shared" si="12"/>
        <v>0</v>
      </c>
    </row>
    <row r="20" spans="2:75" x14ac:dyDescent="0.3">
      <c r="B20" s="41">
        <v>15</v>
      </c>
      <c r="C20" s="19">
        <v>7</v>
      </c>
      <c r="D20" s="8"/>
      <c r="E20" s="42">
        <v>15</v>
      </c>
      <c r="F20" s="23">
        <v>9</v>
      </c>
      <c r="G20" s="8"/>
      <c r="H20" s="42">
        <v>15</v>
      </c>
      <c r="I20" s="13">
        <v>8</v>
      </c>
      <c r="J20" s="8"/>
      <c r="K20" s="42">
        <v>15</v>
      </c>
      <c r="L20" s="13">
        <v>11</v>
      </c>
      <c r="M20" s="8"/>
      <c r="N20" s="42">
        <v>15</v>
      </c>
      <c r="O20" s="13">
        <v>0.8</v>
      </c>
      <c r="P20" s="8"/>
      <c r="Q20" s="42">
        <v>15</v>
      </c>
      <c r="R20" s="13">
        <v>3</v>
      </c>
      <c r="S20" s="8"/>
      <c r="T20" s="42">
        <v>15</v>
      </c>
      <c r="U20" s="19">
        <v>19</v>
      </c>
      <c r="V20" s="8"/>
      <c r="W20" s="8"/>
      <c r="X20" s="8"/>
      <c r="Y20" s="8"/>
      <c r="Z20" s="42">
        <v>15</v>
      </c>
      <c r="AA20" s="15">
        <f t="shared" si="13"/>
        <v>4</v>
      </c>
      <c r="AB20" s="15">
        <f t="shared" si="14"/>
        <v>3</v>
      </c>
      <c r="AC20" s="15">
        <f t="shared" si="15"/>
        <v>3</v>
      </c>
      <c r="AD20" s="15">
        <f t="shared" si="16"/>
        <v>3</v>
      </c>
      <c r="AE20" s="15">
        <f t="shared" si="17"/>
        <v>3</v>
      </c>
      <c r="AF20" s="15">
        <f t="shared" si="0"/>
        <v>3</v>
      </c>
      <c r="AH20" s="21">
        <v>15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22">
        <v>15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22">
        <v>15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22">
        <v>15</v>
      </c>
      <c r="BD20" s="15">
        <v>0</v>
      </c>
      <c r="BE20" s="15">
        <v>0</v>
      </c>
      <c r="BF20" s="15">
        <v>0</v>
      </c>
      <c r="BG20" s="15">
        <v>0</v>
      </c>
      <c r="BH20" s="18">
        <v>0</v>
      </c>
      <c r="BI20" s="15">
        <v>0</v>
      </c>
      <c r="BJ20" s="21">
        <v>15</v>
      </c>
      <c r="BK20" s="15">
        <f t="shared" si="1"/>
        <v>0</v>
      </c>
      <c r="BL20" s="15">
        <f t="shared" si="2"/>
        <v>0</v>
      </c>
      <c r="BM20" s="15">
        <f t="shared" si="3"/>
        <v>0</v>
      </c>
      <c r="BN20" s="15">
        <f t="shared" si="4"/>
        <v>0</v>
      </c>
      <c r="BO20" s="15">
        <f t="shared" si="5"/>
        <v>0</v>
      </c>
      <c r="BP20" s="15">
        <f t="shared" si="6"/>
        <v>0</v>
      </c>
      <c r="BQ20" s="22">
        <v>15</v>
      </c>
      <c r="BR20" s="15">
        <f t="shared" si="7"/>
        <v>0</v>
      </c>
      <c r="BS20" s="15">
        <f t="shared" si="8"/>
        <v>0</v>
      </c>
      <c r="BT20" s="15">
        <f t="shared" si="9"/>
        <v>0</v>
      </c>
      <c r="BU20" s="15">
        <f t="shared" si="10"/>
        <v>0</v>
      </c>
      <c r="BV20" s="18">
        <f t="shared" si="11"/>
        <v>0</v>
      </c>
      <c r="BW20" s="18">
        <f t="shared" si="12"/>
        <v>0</v>
      </c>
    </row>
    <row r="21" spans="2:75" x14ac:dyDescent="0.3">
      <c r="B21" s="41">
        <v>16</v>
      </c>
      <c r="C21" s="19">
        <v>14</v>
      </c>
      <c r="D21" s="8"/>
      <c r="E21" s="42">
        <v>16</v>
      </c>
      <c r="F21" s="20">
        <v>23</v>
      </c>
      <c r="G21" s="8"/>
      <c r="H21" s="42">
        <v>16</v>
      </c>
      <c r="I21" s="13">
        <v>5</v>
      </c>
      <c r="J21" s="8"/>
      <c r="K21" s="42">
        <v>16</v>
      </c>
      <c r="L21" s="13">
        <v>2</v>
      </c>
      <c r="M21" s="8"/>
      <c r="N21" s="42">
        <v>16</v>
      </c>
      <c r="O21" s="13">
        <v>0.1</v>
      </c>
      <c r="P21" s="8"/>
      <c r="Q21" s="42">
        <v>16</v>
      </c>
      <c r="R21" s="13">
        <v>2</v>
      </c>
      <c r="S21" s="8"/>
      <c r="T21" s="42">
        <v>16</v>
      </c>
      <c r="U21" s="19">
        <v>16</v>
      </c>
      <c r="V21" s="8"/>
      <c r="W21" s="8"/>
      <c r="X21" s="8"/>
      <c r="Y21" s="8"/>
      <c r="Z21" s="42">
        <v>16</v>
      </c>
      <c r="AA21" s="15">
        <f t="shared" si="13"/>
        <v>6</v>
      </c>
      <c r="AB21" s="15">
        <f t="shared" si="14"/>
        <v>6</v>
      </c>
      <c r="AC21" s="15">
        <f t="shared" si="15"/>
        <v>5</v>
      </c>
      <c r="AD21" s="15">
        <f t="shared" si="16"/>
        <v>5</v>
      </c>
      <c r="AE21" s="15">
        <f t="shared" si="17"/>
        <v>5</v>
      </c>
      <c r="AF21" s="15">
        <f t="shared" si="0"/>
        <v>5</v>
      </c>
      <c r="AH21" s="21">
        <v>16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22">
        <v>16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22">
        <v>16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22">
        <v>16</v>
      </c>
      <c r="BD21" s="15">
        <v>0</v>
      </c>
      <c r="BE21" s="15">
        <v>0</v>
      </c>
      <c r="BF21" s="15">
        <v>0</v>
      </c>
      <c r="BG21" s="15">
        <v>0</v>
      </c>
      <c r="BH21" s="18">
        <v>0</v>
      </c>
      <c r="BI21" s="15">
        <v>0</v>
      </c>
      <c r="BJ21" s="21">
        <v>16</v>
      </c>
      <c r="BK21" s="15">
        <f t="shared" si="1"/>
        <v>0</v>
      </c>
      <c r="BL21" s="15">
        <f t="shared" si="2"/>
        <v>0</v>
      </c>
      <c r="BM21" s="15">
        <f t="shared" si="3"/>
        <v>0</v>
      </c>
      <c r="BN21" s="15">
        <f t="shared" si="4"/>
        <v>0</v>
      </c>
      <c r="BO21" s="15">
        <f t="shared" si="5"/>
        <v>0</v>
      </c>
      <c r="BP21" s="15">
        <f t="shared" si="6"/>
        <v>0</v>
      </c>
      <c r="BQ21" s="22">
        <v>16</v>
      </c>
      <c r="BR21" s="15">
        <f t="shared" si="7"/>
        <v>0</v>
      </c>
      <c r="BS21" s="15">
        <f t="shared" si="8"/>
        <v>0</v>
      </c>
      <c r="BT21" s="15">
        <f t="shared" si="9"/>
        <v>0</v>
      </c>
      <c r="BU21" s="15">
        <f t="shared" si="10"/>
        <v>0</v>
      </c>
      <c r="BV21" s="18">
        <f t="shared" si="11"/>
        <v>0</v>
      </c>
      <c r="BW21" s="18">
        <f t="shared" si="12"/>
        <v>0</v>
      </c>
    </row>
    <row r="22" spans="2:75" x14ac:dyDescent="0.3">
      <c r="B22" s="41">
        <v>17</v>
      </c>
      <c r="C22" s="19">
        <v>9</v>
      </c>
      <c r="D22" s="8"/>
      <c r="E22" s="42">
        <v>17</v>
      </c>
      <c r="F22" s="20">
        <v>25</v>
      </c>
      <c r="G22" s="8"/>
      <c r="H22" s="42">
        <v>17</v>
      </c>
      <c r="I22" s="13">
        <v>6</v>
      </c>
      <c r="J22" s="8"/>
      <c r="K22" s="42">
        <v>17</v>
      </c>
      <c r="L22" s="13">
        <v>9</v>
      </c>
      <c r="M22" s="8"/>
      <c r="N22" s="42">
        <v>17</v>
      </c>
      <c r="O22" s="13">
        <v>0.1</v>
      </c>
      <c r="P22" s="8"/>
      <c r="Q22" s="42">
        <v>17</v>
      </c>
      <c r="R22" s="13">
        <v>1</v>
      </c>
      <c r="S22" s="8"/>
      <c r="T22" s="42">
        <v>17</v>
      </c>
      <c r="U22" s="19">
        <v>10</v>
      </c>
      <c r="V22" s="8"/>
      <c r="W22" s="8"/>
      <c r="X22" s="8"/>
      <c r="Y22" s="8"/>
      <c r="Z22" s="42">
        <v>17</v>
      </c>
      <c r="AA22" s="15">
        <f t="shared" si="13"/>
        <v>5</v>
      </c>
      <c r="AB22" s="15">
        <f t="shared" si="14"/>
        <v>5</v>
      </c>
      <c r="AC22" s="15">
        <f t="shared" si="15"/>
        <v>4</v>
      </c>
      <c r="AD22" s="15">
        <f t="shared" si="16"/>
        <v>4</v>
      </c>
      <c r="AE22" s="15">
        <f t="shared" si="17"/>
        <v>4</v>
      </c>
      <c r="AF22" s="15">
        <f t="shared" si="0"/>
        <v>4</v>
      </c>
      <c r="AH22" s="21">
        <v>17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22">
        <v>17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22">
        <v>17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22">
        <v>17</v>
      </c>
      <c r="BD22" s="15">
        <v>0</v>
      </c>
      <c r="BE22" s="15">
        <v>0</v>
      </c>
      <c r="BF22" s="15">
        <v>0</v>
      </c>
      <c r="BG22" s="15">
        <v>0</v>
      </c>
      <c r="BH22" s="18">
        <v>0</v>
      </c>
      <c r="BI22" s="15">
        <v>0</v>
      </c>
      <c r="BJ22" s="21">
        <v>17</v>
      </c>
      <c r="BK22" s="15">
        <f t="shared" si="1"/>
        <v>0</v>
      </c>
      <c r="BL22" s="15">
        <f t="shared" si="2"/>
        <v>0</v>
      </c>
      <c r="BM22" s="15">
        <f t="shared" si="3"/>
        <v>0</v>
      </c>
      <c r="BN22" s="15">
        <f t="shared" si="4"/>
        <v>0</v>
      </c>
      <c r="BO22" s="15">
        <f t="shared" si="5"/>
        <v>0</v>
      </c>
      <c r="BP22" s="15">
        <f t="shared" si="6"/>
        <v>0</v>
      </c>
      <c r="BQ22" s="22">
        <v>17</v>
      </c>
      <c r="BR22" s="15">
        <f t="shared" si="7"/>
        <v>0</v>
      </c>
      <c r="BS22" s="15">
        <f t="shared" si="8"/>
        <v>0</v>
      </c>
      <c r="BT22" s="15">
        <f t="shared" si="9"/>
        <v>0</v>
      </c>
      <c r="BU22" s="15">
        <f t="shared" si="10"/>
        <v>0</v>
      </c>
      <c r="BV22" s="18">
        <f t="shared" si="11"/>
        <v>0</v>
      </c>
      <c r="BW22" s="18">
        <f t="shared" si="12"/>
        <v>0</v>
      </c>
    </row>
    <row r="23" spans="2:75" x14ac:dyDescent="0.3">
      <c r="B23" s="41">
        <v>18</v>
      </c>
      <c r="C23" s="19">
        <v>10</v>
      </c>
      <c r="D23" s="8"/>
      <c r="E23" s="42">
        <v>18</v>
      </c>
      <c r="F23" s="20">
        <v>17</v>
      </c>
      <c r="G23" s="8"/>
      <c r="H23" s="42">
        <v>18</v>
      </c>
      <c r="I23" s="13">
        <v>8</v>
      </c>
      <c r="J23" s="8"/>
      <c r="K23" s="42">
        <v>18</v>
      </c>
      <c r="L23" s="13">
        <v>1</v>
      </c>
      <c r="M23" s="8"/>
      <c r="N23" s="42">
        <v>18</v>
      </c>
      <c r="O23" s="13">
        <v>0.8</v>
      </c>
      <c r="P23" s="8"/>
      <c r="Q23" s="42">
        <v>18</v>
      </c>
      <c r="R23" s="13">
        <v>2</v>
      </c>
      <c r="S23" s="8"/>
      <c r="T23" s="42">
        <v>18</v>
      </c>
      <c r="U23" s="19">
        <v>16</v>
      </c>
      <c r="V23" s="8"/>
      <c r="W23" s="8"/>
      <c r="X23" s="8"/>
      <c r="Y23" s="8"/>
      <c r="Z23" s="42">
        <v>18</v>
      </c>
      <c r="AA23" s="15">
        <f t="shared" si="13"/>
        <v>4</v>
      </c>
      <c r="AB23" s="15">
        <f t="shared" si="14"/>
        <v>3</v>
      </c>
      <c r="AC23" s="15">
        <f t="shared" si="15"/>
        <v>3</v>
      </c>
      <c r="AD23" s="15">
        <f t="shared" si="16"/>
        <v>3</v>
      </c>
      <c r="AE23" s="15">
        <f t="shared" si="17"/>
        <v>3</v>
      </c>
      <c r="AF23" s="15">
        <f t="shared" si="0"/>
        <v>3</v>
      </c>
      <c r="AH23" s="21">
        <v>18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22">
        <v>18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22">
        <v>18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22">
        <v>18</v>
      </c>
      <c r="BD23" s="15">
        <v>0</v>
      </c>
      <c r="BE23" s="15">
        <v>0</v>
      </c>
      <c r="BF23" s="15">
        <v>0</v>
      </c>
      <c r="BG23" s="15">
        <v>0</v>
      </c>
      <c r="BH23" s="18">
        <v>0</v>
      </c>
      <c r="BI23" s="15">
        <v>0</v>
      </c>
      <c r="BJ23" s="21">
        <v>18</v>
      </c>
      <c r="BK23" s="15">
        <f t="shared" si="1"/>
        <v>0</v>
      </c>
      <c r="BL23" s="15">
        <f t="shared" si="2"/>
        <v>0</v>
      </c>
      <c r="BM23" s="15">
        <f t="shared" si="3"/>
        <v>0</v>
      </c>
      <c r="BN23" s="15">
        <f t="shared" si="4"/>
        <v>0</v>
      </c>
      <c r="BO23" s="15">
        <f t="shared" si="5"/>
        <v>0</v>
      </c>
      <c r="BP23" s="15">
        <f t="shared" si="6"/>
        <v>0</v>
      </c>
      <c r="BQ23" s="22">
        <v>18</v>
      </c>
      <c r="BR23" s="15">
        <f t="shared" si="7"/>
        <v>0</v>
      </c>
      <c r="BS23" s="15">
        <f t="shared" si="8"/>
        <v>0</v>
      </c>
      <c r="BT23" s="15">
        <f t="shared" si="9"/>
        <v>0</v>
      </c>
      <c r="BU23" s="15">
        <f t="shared" si="10"/>
        <v>0</v>
      </c>
      <c r="BV23" s="18">
        <f t="shared" si="11"/>
        <v>0</v>
      </c>
      <c r="BW23" s="18">
        <f t="shared" si="12"/>
        <v>0</v>
      </c>
    </row>
    <row r="24" spans="2:75" x14ac:dyDescent="0.3">
      <c r="B24" s="41">
        <v>19</v>
      </c>
      <c r="C24" s="19">
        <v>13</v>
      </c>
      <c r="D24" s="8"/>
      <c r="E24" s="42">
        <v>19</v>
      </c>
      <c r="F24" s="20">
        <v>15</v>
      </c>
      <c r="G24" s="8"/>
      <c r="H24" s="42">
        <v>19</v>
      </c>
      <c r="I24" s="13">
        <v>9</v>
      </c>
      <c r="J24" s="8"/>
      <c r="K24" s="42">
        <v>19</v>
      </c>
      <c r="L24" s="13">
        <v>4</v>
      </c>
      <c r="M24" s="8"/>
      <c r="N24" s="42">
        <v>19</v>
      </c>
      <c r="O24" s="13">
        <v>0.2</v>
      </c>
      <c r="P24" s="8"/>
      <c r="Q24" s="42">
        <v>19</v>
      </c>
      <c r="R24" s="13">
        <v>2</v>
      </c>
      <c r="S24" s="8"/>
      <c r="T24" s="42">
        <v>19</v>
      </c>
      <c r="U24" s="19">
        <v>20</v>
      </c>
      <c r="V24" s="8"/>
      <c r="W24" s="8"/>
      <c r="X24" s="8"/>
      <c r="Y24" s="8"/>
      <c r="Z24" s="42">
        <v>19</v>
      </c>
      <c r="AA24" s="15">
        <f t="shared" si="13"/>
        <v>3</v>
      </c>
      <c r="AB24" s="15">
        <f t="shared" si="14"/>
        <v>3</v>
      </c>
      <c r="AC24" s="15">
        <f t="shared" si="15"/>
        <v>2</v>
      </c>
      <c r="AD24" s="15">
        <f t="shared" si="16"/>
        <v>3</v>
      </c>
      <c r="AE24" s="15">
        <f t="shared" si="17"/>
        <v>3</v>
      </c>
      <c r="AF24" s="15">
        <f t="shared" si="0"/>
        <v>2</v>
      </c>
      <c r="AH24" s="21">
        <v>19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22">
        <v>19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22">
        <v>19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22">
        <v>19</v>
      </c>
      <c r="BD24" s="15">
        <v>0</v>
      </c>
      <c r="BE24" s="15">
        <v>0</v>
      </c>
      <c r="BF24" s="15">
        <v>0</v>
      </c>
      <c r="BG24" s="15">
        <v>0</v>
      </c>
      <c r="BH24" s="18">
        <v>0</v>
      </c>
      <c r="BI24" s="15">
        <v>0</v>
      </c>
      <c r="BJ24" s="21">
        <v>19</v>
      </c>
      <c r="BK24" s="15">
        <f t="shared" si="1"/>
        <v>0</v>
      </c>
      <c r="BL24" s="15">
        <f t="shared" si="2"/>
        <v>0</v>
      </c>
      <c r="BM24" s="15">
        <f t="shared" si="3"/>
        <v>0</v>
      </c>
      <c r="BN24" s="15">
        <f t="shared" si="4"/>
        <v>0</v>
      </c>
      <c r="BO24" s="15">
        <f t="shared" si="5"/>
        <v>0</v>
      </c>
      <c r="BP24" s="15">
        <f t="shared" si="6"/>
        <v>0</v>
      </c>
      <c r="BQ24" s="22">
        <v>19</v>
      </c>
      <c r="BR24" s="15">
        <f t="shared" si="7"/>
        <v>0</v>
      </c>
      <c r="BS24" s="15">
        <f t="shared" si="8"/>
        <v>0</v>
      </c>
      <c r="BT24" s="15">
        <f t="shared" si="9"/>
        <v>0</v>
      </c>
      <c r="BU24" s="15">
        <f t="shared" si="10"/>
        <v>0</v>
      </c>
      <c r="BV24" s="18">
        <f t="shared" si="11"/>
        <v>0</v>
      </c>
      <c r="BW24" s="18">
        <f t="shared" si="12"/>
        <v>0</v>
      </c>
    </row>
    <row r="25" spans="2:75" x14ac:dyDescent="0.3">
      <c r="B25" s="41">
        <v>20</v>
      </c>
      <c r="C25" s="19">
        <v>5</v>
      </c>
      <c r="D25" s="8"/>
      <c r="E25" s="42">
        <v>20</v>
      </c>
      <c r="F25" s="20">
        <v>23</v>
      </c>
      <c r="G25" s="8"/>
      <c r="H25" s="42">
        <v>20</v>
      </c>
      <c r="I25" s="13">
        <v>6</v>
      </c>
      <c r="J25" s="8"/>
      <c r="K25" s="42">
        <v>20</v>
      </c>
      <c r="L25" s="13">
        <v>2</v>
      </c>
      <c r="M25" s="8"/>
      <c r="N25" s="42">
        <v>20</v>
      </c>
      <c r="O25" s="13">
        <v>0.6</v>
      </c>
      <c r="P25" s="8"/>
      <c r="Q25" s="42">
        <v>20</v>
      </c>
      <c r="R25" s="13">
        <v>3</v>
      </c>
      <c r="S25" s="8"/>
      <c r="T25" s="42">
        <v>20</v>
      </c>
      <c r="U25" s="19">
        <v>19</v>
      </c>
      <c r="V25" s="8"/>
      <c r="W25" s="8"/>
      <c r="X25" s="8"/>
      <c r="Y25" s="8"/>
      <c r="Z25" s="42">
        <v>20</v>
      </c>
      <c r="AA25" s="15">
        <f t="shared" si="13"/>
        <v>5</v>
      </c>
      <c r="AB25" s="15">
        <f t="shared" si="14"/>
        <v>5</v>
      </c>
      <c r="AC25" s="15">
        <f t="shared" si="15"/>
        <v>4</v>
      </c>
      <c r="AD25" s="15">
        <f t="shared" si="16"/>
        <v>4</v>
      </c>
      <c r="AE25" s="15">
        <f t="shared" si="17"/>
        <v>4</v>
      </c>
      <c r="AF25" s="15">
        <f t="shared" si="0"/>
        <v>4</v>
      </c>
      <c r="AH25" s="21">
        <v>20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22">
        <v>20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22">
        <v>20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22">
        <v>20</v>
      </c>
      <c r="BD25" s="15">
        <v>0</v>
      </c>
      <c r="BE25" s="15">
        <v>0</v>
      </c>
      <c r="BF25" s="15">
        <v>0</v>
      </c>
      <c r="BG25" s="15">
        <v>0</v>
      </c>
      <c r="BH25" s="18">
        <v>0</v>
      </c>
      <c r="BI25" s="15">
        <v>0</v>
      </c>
      <c r="BJ25" s="21">
        <v>20</v>
      </c>
      <c r="BK25" s="15">
        <f t="shared" si="1"/>
        <v>0</v>
      </c>
      <c r="BL25" s="15">
        <f t="shared" si="2"/>
        <v>0</v>
      </c>
      <c r="BM25" s="15">
        <f t="shared" si="3"/>
        <v>0</v>
      </c>
      <c r="BN25" s="15">
        <f t="shared" si="4"/>
        <v>0</v>
      </c>
      <c r="BO25" s="15">
        <f t="shared" si="5"/>
        <v>0</v>
      </c>
      <c r="BP25" s="15">
        <f t="shared" si="6"/>
        <v>0</v>
      </c>
      <c r="BQ25" s="22">
        <v>20</v>
      </c>
      <c r="BR25" s="15">
        <f t="shared" si="7"/>
        <v>0</v>
      </c>
      <c r="BS25" s="15">
        <f t="shared" si="8"/>
        <v>0</v>
      </c>
      <c r="BT25" s="15">
        <f t="shared" si="9"/>
        <v>0</v>
      </c>
      <c r="BU25" s="15">
        <f t="shared" si="10"/>
        <v>0</v>
      </c>
      <c r="BV25" s="18">
        <f t="shared" si="11"/>
        <v>0</v>
      </c>
      <c r="BW25" s="18">
        <f t="shared" si="12"/>
        <v>0</v>
      </c>
    </row>
    <row r="26" spans="2:75" x14ac:dyDescent="0.3">
      <c r="B26" s="41">
        <v>21</v>
      </c>
      <c r="C26" s="19">
        <v>11</v>
      </c>
      <c r="D26" s="8"/>
      <c r="E26" s="42">
        <v>21</v>
      </c>
      <c r="F26" s="20">
        <v>19</v>
      </c>
      <c r="G26" s="8"/>
      <c r="H26" s="42">
        <v>21</v>
      </c>
      <c r="I26" s="13">
        <v>8</v>
      </c>
      <c r="J26" s="8"/>
      <c r="K26" s="42">
        <v>21</v>
      </c>
      <c r="L26" s="13">
        <v>6</v>
      </c>
      <c r="M26" s="8"/>
      <c r="N26" s="42">
        <v>21</v>
      </c>
      <c r="O26" s="13">
        <v>0.6</v>
      </c>
      <c r="P26" s="8"/>
      <c r="Q26" s="42">
        <v>21</v>
      </c>
      <c r="R26" s="13">
        <v>2</v>
      </c>
      <c r="S26" s="8"/>
      <c r="T26" s="42">
        <v>21</v>
      </c>
      <c r="U26" s="19">
        <v>24</v>
      </c>
      <c r="V26" s="8"/>
      <c r="W26" s="8"/>
      <c r="X26" s="8"/>
      <c r="Y26" s="8"/>
      <c r="Z26" s="42">
        <v>21</v>
      </c>
      <c r="AA26" s="15">
        <f t="shared" si="13"/>
        <v>4</v>
      </c>
      <c r="AB26" s="15">
        <f t="shared" si="14"/>
        <v>3</v>
      </c>
      <c r="AC26" s="15">
        <f t="shared" si="15"/>
        <v>3</v>
      </c>
      <c r="AD26" s="15">
        <f t="shared" si="16"/>
        <v>3</v>
      </c>
      <c r="AE26" s="15">
        <f t="shared" si="17"/>
        <v>3</v>
      </c>
      <c r="AF26" s="15">
        <f t="shared" si="0"/>
        <v>3</v>
      </c>
      <c r="AH26" s="21">
        <v>21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22">
        <v>21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22">
        <v>21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22">
        <v>21</v>
      </c>
      <c r="BD26" s="15">
        <v>0</v>
      </c>
      <c r="BE26" s="15">
        <v>0</v>
      </c>
      <c r="BF26" s="15">
        <v>0</v>
      </c>
      <c r="BG26" s="15">
        <v>0</v>
      </c>
      <c r="BH26" s="18">
        <v>0</v>
      </c>
      <c r="BI26" s="15">
        <v>0</v>
      </c>
      <c r="BJ26" s="21">
        <v>21</v>
      </c>
      <c r="BK26" s="15">
        <f t="shared" si="1"/>
        <v>0</v>
      </c>
      <c r="BL26" s="15">
        <f t="shared" si="2"/>
        <v>0</v>
      </c>
      <c r="BM26" s="15">
        <f t="shared" si="3"/>
        <v>0</v>
      </c>
      <c r="BN26" s="15">
        <f t="shared" si="4"/>
        <v>0</v>
      </c>
      <c r="BO26" s="15">
        <f t="shared" si="5"/>
        <v>0</v>
      </c>
      <c r="BP26" s="15">
        <f t="shared" si="6"/>
        <v>0</v>
      </c>
      <c r="BQ26" s="22">
        <v>21</v>
      </c>
      <c r="BR26" s="15">
        <f t="shared" si="7"/>
        <v>0</v>
      </c>
      <c r="BS26" s="15">
        <f t="shared" si="8"/>
        <v>0</v>
      </c>
      <c r="BT26" s="15">
        <f t="shared" si="9"/>
        <v>0</v>
      </c>
      <c r="BU26" s="15">
        <f t="shared" si="10"/>
        <v>0</v>
      </c>
      <c r="BV26" s="18">
        <f t="shared" si="11"/>
        <v>0</v>
      </c>
      <c r="BW26" s="18">
        <f t="shared" si="12"/>
        <v>0</v>
      </c>
    </row>
    <row r="27" spans="2:75" x14ac:dyDescent="0.3">
      <c r="B27" s="41">
        <v>22</v>
      </c>
      <c r="C27" s="19">
        <v>11</v>
      </c>
      <c r="D27" s="8"/>
      <c r="E27" s="42">
        <v>22</v>
      </c>
      <c r="F27" s="20">
        <v>19</v>
      </c>
      <c r="G27" s="8"/>
      <c r="H27" s="42">
        <v>22</v>
      </c>
      <c r="I27" s="13">
        <v>9</v>
      </c>
      <c r="J27" s="8"/>
      <c r="K27" s="42">
        <v>22</v>
      </c>
      <c r="L27" s="13">
        <v>6</v>
      </c>
      <c r="M27" s="8"/>
      <c r="N27" s="42">
        <v>22</v>
      </c>
      <c r="O27" s="13">
        <v>0.4</v>
      </c>
      <c r="P27" s="8"/>
      <c r="Q27" s="42">
        <v>22</v>
      </c>
      <c r="R27" s="13">
        <v>1</v>
      </c>
      <c r="S27" s="8"/>
      <c r="T27" s="42">
        <v>22</v>
      </c>
      <c r="U27" s="19">
        <v>16</v>
      </c>
      <c r="V27" s="8"/>
      <c r="W27" s="8"/>
      <c r="X27" s="8"/>
      <c r="Y27" s="8"/>
      <c r="Z27" s="42">
        <v>22</v>
      </c>
      <c r="AA27" s="15">
        <f t="shared" si="13"/>
        <v>3</v>
      </c>
      <c r="AB27" s="15">
        <f t="shared" si="14"/>
        <v>3</v>
      </c>
      <c r="AC27" s="15">
        <f t="shared" si="15"/>
        <v>2</v>
      </c>
      <c r="AD27" s="15">
        <f t="shared" si="16"/>
        <v>3</v>
      </c>
      <c r="AE27" s="15">
        <f t="shared" si="17"/>
        <v>3</v>
      </c>
      <c r="AF27" s="15">
        <f t="shared" si="0"/>
        <v>2</v>
      </c>
      <c r="AH27" s="21">
        <v>22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22">
        <v>22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22">
        <v>22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22">
        <v>22</v>
      </c>
      <c r="BD27" s="15">
        <v>0</v>
      </c>
      <c r="BE27" s="15">
        <v>0</v>
      </c>
      <c r="BF27" s="15">
        <v>0</v>
      </c>
      <c r="BG27" s="15">
        <v>0</v>
      </c>
      <c r="BH27" s="18">
        <v>0</v>
      </c>
      <c r="BI27" s="15">
        <v>0</v>
      </c>
      <c r="BJ27" s="21">
        <v>22</v>
      </c>
      <c r="BK27" s="15">
        <f t="shared" si="1"/>
        <v>0</v>
      </c>
      <c r="BL27" s="15">
        <f t="shared" si="2"/>
        <v>0</v>
      </c>
      <c r="BM27" s="15">
        <f t="shared" si="3"/>
        <v>0</v>
      </c>
      <c r="BN27" s="15">
        <f t="shared" si="4"/>
        <v>0</v>
      </c>
      <c r="BO27" s="15">
        <f t="shared" si="5"/>
        <v>0</v>
      </c>
      <c r="BP27" s="15">
        <f t="shared" si="6"/>
        <v>0</v>
      </c>
      <c r="BQ27" s="22">
        <v>22</v>
      </c>
      <c r="BR27" s="15">
        <f t="shared" si="7"/>
        <v>0</v>
      </c>
      <c r="BS27" s="15">
        <f t="shared" si="8"/>
        <v>0</v>
      </c>
      <c r="BT27" s="15">
        <f t="shared" si="9"/>
        <v>0</v>
      </c>
      <c r="BU27" s="15">
        <f t="shared" si="10"/>
        <v>0</v>
      </c>
      <c r="BV27" s="18">
        <f t="shared" si="11"/>
        <v>0</v>
      </c>
      <c r="BW27" s="18">
        <f t="shared" si="12"/>
        <v>0</v>
      </c>
    </row>
    <row r="28" spans="2:75" x14ac:dyDescent="0.3">
      <c r="B28" s="41">
        <v>23</v>
      </c>
      <c r="C28" s="19">
        <v>7</v>
      </c>
      <c r="D28" s="8"/>
      <c r="E28" s="42">
        <v>23</v>
      </c>
      <c r="F28" s="20">
        <v>16</v>
      </c>
      <c r="G28" s="8"/>
      <c r="H28" s="42">
        <v>23</v>
      </c>
      <c r="I28" s="13">
        <v>7</v>
      </c>
      <c r="J28" s="8"/>
      <c r="K28" s="42">
        <v>23</v>
      </c>
      <c r="L28" s="13">
        <v>8</v>
      </c>
      <c r="M28" s="8"/>
      <c r="N28" s="42">
        <v>23</v>
      </c>
      <c r="O28" s="13">
        <v>0.5</v>
      </c>
      <c r="P28" s="8"/>
      <c r="Q28" s="42">
        <v>23</v>
      </c>
      <c r="R28" s="13">
        <v>2</v>
      </c>
      <c r="S28" s="8"/>
      <c r="T28" s="42">
        <v>23</v>
      </c>
      <c r="U28" s="19">
        <v>13</v>
      </c>
      <c r="V28" s="8"/>
      <c r="W28" s="8"/>
      <c r="X28" s="8"/>
      <c r="Y28" s="8"/>
      <c r="Z28" s="42">
        <v>23</v>
      </c>
      <c r="AA28" s="15">
        <f t="shared" si="13"/>
        <v>4</v>
      </c>
      <c r="AB28" s="15">
        <f t="shared" si="14"/>
        <v>4</v>
      </c>
      <c r="AC28" s="15">
        <f t="shared" si="15"/>
        <v>3</v>
      </c>
      <c r="AD28" s="15">
        <f t="shared" si="16"/>
        <v>3</v>
      </c>
      <c r="AE28" s="15">
        <f t="shared" si="17"/>
        <v>4</v>
      </c>
      <c r="AF28" s="15">
        <f t="shared" si="0"/>
        <v>3</v>
      </c>
      <c r="AH28" s="21">
        <v>23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22">
        <v>23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22">
        <v>23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22">
        <v>23</v>
      </c>
      <c r="BD28" s="15">
        <v>0</v>
      </c>
      <c r="BE28" s="15">
        <v>0</v>
      </c>
      <c r="BF28" s="15">
        <v>0</v>
      </c>
      <c r="BG28" s="15">
        <v>0</v>
      </c>
      <c r="BH28" s="18">
        <v>0</v>
      </c>
      <c r="BI28" s="15">
        <v>0</v>
      </c>
      <c r="BJ28" s="21">
        <v>23</v>
      </c>
      <c r="BK28" s="15">
        <f t="shared" si="1"/>
        <v>0</v>
      </c>
      <c r="BL28" s="15">
        <f t="shared" si="2"/>
        <v>0</v>
      </c>
      <c r="BM28" s="15">
        <f t="shared" si="3"/>
        <v>0</v>
      </c>
      <c r="BN28" s="15">
        <f t="shared" si="4"/>
        <v>0</v>
      </c>
      <c r="BO28" s="15">
        <f t="shared" si="5"/>
        <v>0</v>
      </c>
      <c r="BP28" s="15">
        <f t="shared" si="6"/>
        <v>0</v>
      </c>
      <c r="BQ28" s="22">
        <v>23</v>
      </c>
      <c r="BR28" s="15">
        <f t="shared" si="7"/>
        <v>0</v>
      </c>
      <c r="BS28" s="15">
        <f t="shared" si="8"/>
        <v>0</v>
      </c>
      <c r="BT28" s="15">
        <f t="shared" si="9"/>
        <v>0</v>
      </c>
      <c r="BU28" s="15">
        <f t="shared" si="10"/>
        <v>0</v>
      </c>
      <c r="BV28" s="18">
        <f t="shared" si="11"/>
        <v>0</v>
      </c>
      <c r="BW28" s="18">
        <f t="shared" si="12"/>
        <v>0</v>
      </c>
    </row>
    <row r="29" spans="2:75" x14ac:dyDescent="0.3">
      <c r="B29" s="41">
        <v>24</v>
      </c>
      <c r="C29" s="19">
        <v>10</v>
      </c>
      <c r="D29" s="8"/>
      <c r="E29" s="42">
        <v>24</v>
      </c>
      <c r="F29" s="20">
        <v>14</v>
      </c>
      <c r="G29" s="8"/>
      <c r="H29" s="42">
        <v>24</v>
      </c>
      <c r="I29" s="13">
        <v>5</v>
      </c>
      <c r="J29" s="8"/>
      <c r="K29" s="42">
        <v>24</v>
      </c>
      <c r="L29" s="13">
        <v>2</v>
      </c>
      <c r="M29" s="8"/>
      <c r="N29" s="42">
        <v>24</v>
      </c>
      <c r="O29" s="13">
        <v>0.8</v>
      </c>
      <c r="P29" s="8"/>
      <c r="Q29" s="42">
        <v>24</v>
      </c>
      <c r="R29" s="13">
        <v>1</v>
      </c>
      <c r="S29" s="8"/>
      <c r="T29" s="42">
        <v>24</v>
      </c>
      <c r="U29" s="19">
        <v>16</v>
      </c>
      <c r="V29" s="8"/>
      <c r="W29" s="8"/>
      <c r="X29" s="8"/>
      <c r="Y29" s="8"/>
      <c r="Z29" s="42">
        <v>24</v>
      </c>
      <c r="AA29" s="15">
        <f t="shared" si="13"/>
        <v>6</v>
      </c>
      <c r="AB29" s="15">
        <f t="shared" si="14"/>
        <v>6</v>
      </c>
      <c r="AC29" s="15">
        <f t="shared" si="15"/>
        <v>5</v>
      </c>
      <c r="AD29" s="15">
        <f t="shared" si="16"/>
        <v>5</v>
      </c>
      <c r="AE29" s="15">
        <f t="shared" si="17"/>
        <v>5</v>
      </c>
      <c r="AF29" s="15">
        <f t="shared" si="0"/>
        <v>5</v>
      </c>
      <c r="AH29" s="21">
        <v>24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22">
        <v>24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22">
        <v>24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22">
        <v>24</v>
      </c>
      <c r="BD29" s="15">
        <v>0</v>
      </c>
      <c r="BE29" s="15">
        <v>0</v>
      </c>
      <c r="BF29" s="15">
        <v>0</v>
      </c>
      <c r="BG29" s="15">
        <v>0</v>
      </c>
      <c r="BH29" s="18">
        <v>0</v>
      </c>
      <c r="BI29" s="15">
        <v>0</v>
      </c>
      <c r="BJ29" s="21">
        <v>24</v>
      </c>
      <c r="BK29" s="15">
        <f t="shared" si="1"/>
        <v>0</v>
      </c>
      <c r="BL29" s="15">
        <f t="shared" si="2"/>
        <v>0</v>
      </c>
      <c r="BM29" s="15">
        <f t="shared" si="3"/>
        <v>0</v>
      </c>
      <c r="BN29" s="15">
        <f t="shared" si="4"/>
        <v>0</v>
      </c>
      <c r="BO29" s="15">
        <f t="shared" si="5"/>
        <v>0</v>
      </c>
      <c r="BP29" s="15">
        <f t="shared" si="6"/>
        <v>0</v>
      </c>
      <c r="BQ29" s="22">
        <v>24</v>
      </c>
      <c r="BR29" s="15">
        <f t="shared" si="7"/>
        <v>0</v>
      </c>
      <c r="BS29" s="15">
        <f t="shared" si="8"/>
        <v>0</v>
      </c>
      <c r="BT29" s="15">
        <f t="shared" si="9"/>
        <v>0</v>
      </c>
      <c r="BU29" s="15">
        <f t="shared" si="10"/>
        <v>0</v>
      </c>
      <c r="BV29" s="18">
        <f t="shared" si="11"/>
        <v>0</v>
      </c>
      <c r="BW29" s="18">
        <f t="shared" si="12"/>
        <v>0</v>
      </c>
    </row>
    <row r="30" spans="2:75" x14ac:dyDescent="0.3">
      <c r="B30" s="41">
        <v>25</v>
      </c>
      <c r="C30" s="19">
        <v>13</v>
      </c>
      <c r="D30" s="8"/>
      <c r="E30" s="42">
        <v>25</v>
      </c>
      <c r="F30" s="20">
        <v>16</v>
      </c>
      <c r="G30" s="8"/>
      <c r="H30" s="42">
        <v>25</v>
      </c>
      <c r="I30" s="13">
        <v>10</v>
      </c>
      <c r="J30" s="8"/>
      <c r="K30" s="42">
        <v>25</v>
      </c>
      <c r="L30" s="13">
        <v>4</v>
      </c>
      <c r="M30" s="8"/>
      <c r="N30" s="42">
        <v>25</v>
      </c>
      <c r="O30" s="13">
        <v>0.9</v>
      </c>
      <c r="P30" s="8"/>
      <c r="Q30" s="42">
        <v>25</v>
      </c>
      <c r="R30" s="13">
        <v>2</v>
      </c>
      <c r="S30" s="8"/>
      <c r="T30" s="42">
        <v>25</v>
      </c>
      <c r="U30" s="19">
        <v>14</v>
      </c>
      <c r="V30" s="8"/>
      <c r="W30" s="8"/>
      <c r="X30" s="8"/>
      <c r="Y30" s="8"/>
      <c r="Z30" s="42">
        <v>25</v>
      </c>
      <c r="AA30" s="15">
        <f t="shared" si="13"/>
        <v>3</v>
      </c>
      <c r="AB30" s="15">
        <f t="shared" si="14"/>
        <v>3</v>
      </c>
      <c r="AC30" s="15">
        <f t="shared" si="15"/>
        <v>2</v>
      </c>
      <c r="AD30" s="15">
        <f>$F$36/$I30-MOD($F$36/$I30,1)</f>
        <v>2</v>
      </c>
      <c r="AE30" s="15">
        <f t="shared" si="17"/>
        <v>2</v>
      </c>
      <c r="AF30" s="15">
        <f t="shared" si="0"/>
        <v>2</v>
      </c>
      <c r="AH30" s="21">
        <v>25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22">
        <v>25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22">
        <v>25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22">
        <v>25</v>
      </c>
      <c r="BD30" s="15">
        <v>0</v>
      </c>
      <c r="BE30" s="15">
        <v>0</v>
      </c>
      <c r="BF30" s="15">
        <v>0</v>
      </c>
      <c r="BG30" s="15">
        <v>0</v>
      </c>
      <c r="BH30" s="18">
        <v>0</v>
      </c>
      <c r="BI30" s="15">
        <v>0</v>
      </c>
      <c r="BJ30" s="21">
        <v>25</v>
      </c>
      <c r="BK30" s="15">
        <f t="shared" si="1"/>
        <v>0</v>
      </c>
      <c r="BL30" s="15">
        <f t="shared" si="2"/>
        <v>0</v>
      </c>
      <c r="BM30" s="15">
        <f t="shared" si="3"/>
        <v>0</v>
      </c>
      <c r="BN30" s="15">
        <f t="shared" si="4"/>
        <v>0</v>
      </c>
      <c r="BO30" s="15">
        <f t="shared" si="5"/>
        <v>0</v>
      </c>
      <c r="BP30" s="15">
        <f t="shared" si="6"/>
        <v>0</v>
      </c>
      <c r="BQ30" s="22">
        <v>25</v>
      </c>
      <c r="BR30" s="15">
        <f t="shared" si="7"/>
        <v>0</v>
      </c>
      <c r="BS30" s="15">
        <f t="shared" si="8"/>
        <v>0</v>
      </c>
      <c r="BT30" s="15">
        <f t="shared" si="9"/>
        <v>0</v>
      </c>
      <c r="BU30" s="15">
        <f t="shared" si="10"/>
        <v>0</v>
      </c>
      <c r="BV30" s="18">
        <f t="shared" si="11"/>
        <v>0</v>
      </c>
      <c r="BW30" s="18">
        <f t="shared" si="12"/>
        <v>0</v>
      </c>
    </row>
    <row r="31" spans="2:75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33</v>
      </c>
      <c r="AI31" s="8">
        <v>1</v>
      </c>
      <c r="AJ31" s="8"/>
      <c r="AK31" s="8"/>
      <c r="AL31" s="8"/>
      <c r="AM31" s="8"/>
      <c r="AN31" s="8"/>
      <c r="AO31" s="8" t="s">
        <v>33</v>
      </c>
      <c r="AP31" s="8">
        <v>2</v>
      </c>
      <c r="AQ31" s="8"/>
      <c r="AR31" s="8"/>
      <c r="AS31" s="8"/>
      <c r="AT31" s="8"/>
      <c r="AU31" s="8"/>
      <c r="AV31" s="8" t="s">
        <v>33</v>
      </c>
      <c r="AW31" s="8">
        <v>3</v>
      </c>
      <c r="AX31" s="8"/>
      <c r="AY31" s="8"/>
      <c r="AZ31" s="8"/>
      <c r="BA31" s="8"/>
      <c r="BB31" s="8"/>
      <c r="BC31" s="8" t="s">
        <v>33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9"/>
    </row>
    <row r="32" spans="2:75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9"/>
    </row>
    <row r="33" spans="2:74" ht="16.399999999999999" thickBot="1" x14ac:dyDescent="0.35">
      <c r="B33" s="41">
        <v>1</v>
      </c>
      <c r="C33" s="27">
        <v>50</v>
      </c>
      <c r="D33" s="11"/>
      <c r="E33" s="42">
        <v>1</v>
      </c>
      <c r="F33" s="27">
        <v>34</v>
      </c>
      <c r="G33" s="43"/>
      <c r="H33" s="42">
        <v>1</v>
      </c>
      <c r="I33" s="27">
        <v>0.25</v>
      </c>
      <c r="J33" s="28"/>
      <c r="K33" s="29"/>
      <c r="L33" s="2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4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6"/>
      <c r="BJ33" s="24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6"/>
    </row>
    <row r="34" spans="2:74" x14ac:dyDescent="0.3">
      <c r="B34" s="41">
        <v>2</v>
      </c>
      <c r="C34" s="27">
        <v>65</v>
      </c>
      <c r="D34" s="11"/>
      <c r="E34" s="42">
        <v>2</v>
      </c>
      <c r="F34" s="27">
        <v>30</v>
      </c>
      <c r="G34" s="43"/>
      <c r="H34" s="42">
        <v>2</v>
      </c>
      <c r="I34" s="27">
        <v>0.6</v>
      </c>
      <c r="J34" s="8"/>
      <c r="K34" s="30"/>
      <c r="L34" s="3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27</v>
      </c>
      <c r="AB34" s="8"/>
      <c r="AC34" s="8"/>
      <c r="AD34" s="8"/>
      <c r="AE34" s="8"/>
      <c r="AF34" s="9"/>
      <c r="AI34" s="1" t="s">
        <v>27</v>
      </c>
      <c r="AP34" s="1" t="s">
        <v>27</v>
      </c>
      <c r="AW34" s="1" t="s">
        <v>27</v>
      </c>
      <c r="BD34" s="1" t="s">
        <v>27</v>
      </c>
      <c r="BK34" s="1" t="s">
        <v>27</v>
      </c>
      <c r="BR34" s="1" t="s">
        <v>27</v>
      </c>
    </row>
    <row r="35" spans="2:74" x14ac:dyDescent="0.3">
      <c r="B35" s="41">
        <v>3</v>
      </c>
      <c r="C35" s="27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74" x14ac:dyDescent="0.3">
      <c r="B36" s="41">
        <v>4</v>
      </c>
      <c r="C36" s="27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74" x14ac:dyDescent="0.3">
      <c r="B37" s="41">
        <v>5</v>
      </c>
      <c r="C37" s="27">
        <v>110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</row>
    <row r="38" spans="2:74" x14ac:dyDescent="0.3">
      <c r="B38" s="41">
        <v>6</v>
      </c>
      <c r="C38" s="27">
        <v>40</v>
      </c>
      <c r="D38" s="8"/>
      <c r="E38" s="42">
        <v>6</v>
      </c>
      <c r="F38" s="8">
        <v>25</v>
      </c>
      <c r="G38" s="8"/>
      <c r="H38" s="42">
        <v>6</v>
      </c>
      <c r="I38" s="8">
        <v>0.45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</row>
    <row r="39" spans="2:74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</row>
    <row r="40" spans="2:74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</row>
    <row r="41" spans="2:74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</row>
    <row r="42" spans="2:74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</row>
    <row r="43" spans="2:74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</row>
    <row r="44" spans="2:74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</row>
    <row r="45" spans="2:74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</row>
    <row r="46" spans="2:74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</row>
    <row r="47" spans="2:74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</row>
    <row r="48" spans="2:74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 t="s">
        <v>23</v>
      </c>
    </row>
    <row r="49" spans="1:91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H49" s="1">
        <f ca="1">SUM(INDIRECT(ADDRESS(6,26+ROWS($A$1:A1))):INDIRECT(ADDRESS(30,26+ROWS($A$1:A1))))</f>
        <v>103</v>
      </c>
    </row>
    <row r="50" spans="1:91" ht="16.399999999999999" thickBot="1" x14ac:dyDescent="0.35">
      <c r="B50" s="24">
        <v>16</v>
      </c>
      <c r="C50" s="25">
        <v>20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6"/>
      <c r="AH50" s="1">
        <f ca="1">SUM(INDIRECT(ADDRESS(6,26+ROWS($A$1:A2))):INDIRECT(ADDRESS(30,26+ROWS($A$1:A2))))</f>
        <v>99</v>
      </c>
    </row>
    <row r="51" spans="1:91" ht="16.399999999999999" thickBot="1" x14ac:dyDescent="0.35">
      <c r="AH51" s="1">
        <f ca="1">SUM(INDIRECT(ADDRESS(6,26+ROWS($A$1:A3))):INDIRECT(ADDRESS(30,26+ROWS($A$1:A3))))</f>
        <v>78</v>
      </c>
    </row>
    <row r="52" spans="1:91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1"/>
      <c r="AH52" s="1">
        <f ca="1">SUM(INDIRECT(ADDRESS(6,26+ROWS($A$1:A4))):INDIRECT(ADDRESS(30,26+ROWS($A$1:A4))))</f>
        <v>85</v>
      </c>
    </row>
    <row r="53" spans="1:91" x14ac:dyDescent="0.3">
      <c r="B53" s="7"/>
      <c r="C53" s="8"/>
      <c r="D53" s="8"/>
      <c r="E53" s="8"/>
      <c r="F53" s="9"/>
      <c r="H53" s="10" t="s">
        <v>2</v>
      </c>
      <c r="I53" s="11"/>
      <c r="J53" s="32"/>
      <c r="AH53" s="1">
        <f ca="1">SUM(INDIRECT(ADDRESS(6,26+ROWS($A$1:A5))):INDIRECT(ADDRESS(30,26+ROWS($A$1:A5))))</f>
        <v>88</v>
      </c>
    </row>
    <row r="54" spans="1:91" ht="16.399999999999999" thickBot="1" x14ac:dyDescent="0.35">
      <c r="B54" s="7"/>
      <c r="C54" s="8"/>
      <c r="D54" s="8"/>
      <c r="E54" s="8"/>
      <c r="F54" s="9"/>
      <c r="H54" s="33" t="s">
        <v>1</v>
      </c>
      <c r="I54" s="34"/>
      <c r="J54" s="35"/>
    </row>
    <row r="55" spans="1:91" ht="16.399999999999999" thickBot="1" x14ac:dyDescent="0.35">
      <c r="B55" s="24" t="e" cm="1">
        <f t="array" ref="B55">SUMPRODUCT(MMULT(C6:C30*L6:L30*POWER(F6:F30,O6:O30)*BR6:BV30,I33:I38))</f>
        <v>#VALUE!</v>
      </c>
      <c r="C55" s="25"/>
      <c r="D55" s="25"/>
      <c r="E55" s="25"/>
      <c r="F55" s="26"/>
    </row>
    <row r="56" spans="1:91" ht="16.399999999999999" thickBot="1" x14ac:dyDescent="0.35"/>
    <row r="57" spans="1:91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x14ac:dyDescent="0.3">
      <c r="A62" s="8"/>
      <c r="B62" s="7" t="s">
        <v>22</v>
      </c>
      <c r="C62" s="8"/>
      <c r="D62" s="8"/>
      <c r="E62" s="8"/>
      <c r="F62" s="8"/>
      <c r="G62" s="8" t="s">
        <v>34</v>
      </c>
      <c r="H62" s="8"/>
      <c r="I62" s="8"/>
      <c r="J62" s="8"/>
      <c r="K62" s="8"/>
      <c r="L62" s="8" t="s">
        <v>24</v>
      </c>
      <c r="M62" s="8"/>
      <c r="N62" s="8"/>
      <c r="O62" s="8"/>
      <c r="P62" s="8"/>
      <c r="Q62" s="8" t="s">
        <v>38</v>
      </c>
      <c r="R62" s="8"/>
      <c r="S62" s="8"/>
      <c r="T62" s="8"/>
      <c r="U62" s="8"/>
      <c r="V62" s="8" t="s">
        <v>39</v>
      </c>
      <c r="W62" s="8"/>
      <c r="X62" s="8"/>
      <c r="Y62" s="8"/>
      <c r="Z62" s="8"/>
      <c r="AA62" s="8" t="s">
        <v>40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x14ac:dyDescent="0.3">
      <c r="A63" s="8"/>
      <c r="B63" s="7"/>
      <c r="C63" s="8">
        <f>SUM(AI6:AM6,AP6:AT6,AW6:BA6,BD6:BH6)</f>
        <v>0</v>
      </c>
      <c r="D63" s="8" t="s">
        <v>21</v>
      </c>
      <c r="E63" s="8">
        <v>1</v>
      </c>
      <c r="F63" s="8"/>
      <c r="G63" s="8"/>
      <c r="H63" s="8" cm="1">
        <f t="array" ref="H63">SUM(AA6:AE6*BR6:BV6-R6*BK6:BO6)</f>
        <v>0</v>
      </c>
      <c r="I63" s="8" t="s">
        <v>25</v>
      </c>
      <c r="J63" s="8">
        <v>0</v>
      </c>
      <c r="K63" s="8"/>
      <c r="L63" s="8"/>
      <c r="M63" s="8" cm="1">
        <f t="array" ref="M63">SUM(AA6:AE6*BR6:BV6-U6*BK6:BO6)</f>
        <v>0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-50</v>
      </c>
      <c r="S63" s="8" t="s">
        <v>21</v>
      </c>
      <c r="T63" s="8">
        <v>0</v>
      </c>
      <c r="U63" s="8"/>
      <c r="V63" s="8"/>
      <c r="W63" s="8">
        <f ca="1">SUM(INDIRECT(ADDRESS(5+B47,63)):INDIRECT(ADDRESS(5+B47,67)))-SUM(INDIRECT(ADDRESS(5+C47,63)):INDIRECT(ADDRESS(5+C47,67)))</f>
        <v>0</v>
      </c>
      <c r="X63" s="8" t="s">
        <v>26</v>
      </c>
      <c r="Y63" s="8">
        <v>0</v>
      </c>
      <c r="Z63" s="8"/>
      <c r="AA63" s="8"/>
      <c r="AB63" s="8" cm="1">
        <f t="array" aca="1" ref="AB63" ca="1">INDIRECT(ADDRESS(5+$B42,62+COLUMNS($A1:A1)))+INDIRECT(ADDRESS(5+$C42,62+COLUMNS($A1:A1)))</f>
        <v>0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0</v>
      </c>
      <c r="AE63" s="8" cm="1">
        <f t="array" aca="1" ref="AE63" ca="1">INDIRECT(ADDRESS(5+$B42,62+COLUMNS($A1:D1)))+INDIRECT(ADDRESS(5+$C42,62+COLUMNS($A1:D1)))</f>
        <v>0</v>
      </c>
      <c r="AF63" s="8" cm="1">
        <f t="array" aca="1" ref="AF63" ca="1">INDIRECT(ADDRESS(5+$B42,62+COLUMNS($A1:E1)))+INDIRECT(ADDRESS(5+$C42,62+COLUMNS($A1:E1)))</f>
        <v>0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x14ac:dyDescent="0.3">
      <c r="A64" s="8"/>
      <c r="B64" s="7"/>
      <c r="C64" s="8">
        <f t="shared" ref="C64:C86" si="18">SUM(AI7:AM7,AP7:AT7,AW7:BA7,BD7:BH7)</f>
        <v>0</v>
      </c>
      <c r="D64" s="8" t="s">
        <v>21</v>
      </c>
      <c r="E64" s="8">
        <v>1</v>
      </c>
      <c r="F64" s="8"/>
      <c r="G64" s="8"/>
      <c r="H64" s="8" cm="1">
        <f t="array" ref="H64">SUM(AA7:AE7*BR7:BV7-R7*BK7:BO7)</f>
        <v>0</v>
      </c>
      <c r="I64" s="8" t="s">
        <v>25</v>
      </c>
      <c r="J64" s="8">
        <v>0</v>
      </c>
      <c r="K64" s="8"/>
      <c r="L64" s="8"/>
      <c r="M64" s="8" cm="1">
        <f t="array" ref="M64">SUM(AA7:AE7*BR7:BV7-U7*BK7:BO7)</f>
        <v>0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-65</v>
      </c>
      <c r="S64" s="8" t="s">
        <v>21</v>
      </c>
      <c r="T64" s="8">
        <v>0</v>
      </c>
      <c r="U64" s="8"/>
      <c r="V64" s="8"/>
      <c r="W64" s="8">
        <f ca="1">SUM(INDIRECT(ADDRESS(5+B48,63)):INDIRECT(ADDRESS(5+B48,67)))-SUM(INDIRECT(ADDRESS(5+C48,63)):INDIRECT(ADDRESS(5+C48,67)))</f>
        <v>0</v>
      </c>
      <c r="X64" s="8" t="s">
        <v>26</v>
      </c>
      <c r="Y64" s="8">
        <v>0</v>
      </c>
      <c r="Z64" s="8"/>
      <c r="AA64" s="8"/>
      <c r="AB64" s="8" cm="1">
        <f t="array" aca="1" ref="AB64" ca="1">INDIRECT(ADDRESS(5+$B43,62+COLUMNS($A2:A2)))+INDIRECT(ADDRESS(5+$C43,62+COLUMNS($A2:A2)))</f>
        <v>0</v>
      </c>
      <c r="AC64" s="8" cm="1">
        <f t="array" aca="1" ref="AC64" ca="1">INDIRECT(ADDRESS(5+$B43,62+COLUMNS($A2:B2)))+INDIRECT(ADDRESS(5+$C43,62+COLUMNS($A2:B2)))</f>
        <v>0</v>
      </c>
      <c r="AD64" s="8" cm="1">
        <f t="array" aca="1" ref="AD64" ca="1">INDIRECT(ADDRESS(5+$B43,62+COLUMNS($A2:C2)))+INDIRECT(ADDRESS(5+$C43,62+COLUMNS($A2:C2)))</f>
        <v>0</v>
      </c>
      <c r="AE64" s="8" cm="1">
        <f t="array" aca="1" ref="AE64" ca="1">INDIRECT(ADDRESS(5+$B43,62+COLUMNS($A2:D2)))+INDIRECT(ADDRESS(5+$C43,62+COLUMNS($A2:D2)))</f>
        <v>0</v>
      </c>
      <c r="AF64" s="8" cm="1">
        <f t="array" aca="1" ref="AF64" ca="1">INDIRECT(ADDRESS(5+$B43,62+COLUMNS($A2:E2)))+INDIRECT(ADDRESS(5+$C43,62+COLUMNS($A2:E2)))</f>
        <v>0</v>
      </c>
      <c r="AG64" s="8" t="s">
        <v>21</v>
      </c>
      <c r="AH64" s="8">
        <v>1</v>
      </c>
      <c r="AI64" s="8">
        <v>1</v>
      </c>
      <c r="AJ64" s="8">
        <v>1</v>
      </c>
      <c r="AK64" s="8">
        <v>1</v>
      </c>
      <c r="AL64" s="8">
        <v>1</v>
      </c>
      <c r="AM64" s="9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x14ac:dyDescent="0.3">
      <c r="A65" s="8"/>
      <c r="B65" s="7"/>
      <c r="C65" s="8">
        <f>SUM(AI8:AM8,AP8:AT8,AW8:BA8,BD8:BH8)</f>
        <v>0</v>
      </c>
      <c r="D65" s="8" t="s">
        <v>21</v>
      </c>
      <c r="E65" s="8">
        <v>1</v>
      </c>
      <c r="F65" s="8"/>
      <c r="G65" s="8"/>
      <c r="H65" s="8" cm="1">
        <f t="array" ref="H65">SUM(AA8:AE8*BR8:BV8-R8*BK8:BO8)</f>
        <v>0</v>
      </c>
      <c r="I65" s="8" t="s">
        <v>25</v>
      </c>
      <c r="J65" s="8">
        <v>0</v>
      </c>
      <c r="K65" s="8"/>
      <c r="L65" s="8"/>
      <c r="M65" s="8" cm="1">
        <f t="array" ref="M65">SUM(AA8:AE8*BR8:BV8-U8*BK8:BO8)</f>
        <v>0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-80</v>
      </c>
      <c r="S65" s="8" t="s">
        <v>21</v>
      </c>
      <c r="T65" s="8">
        <v>0</v>
      </c>
      <c r="U65" s="8"/>
      <c r="V65" s="8"/>
      <c r="W65" s="8">
        <f ca="1">SUM(INDIRECT(ADDRESS(5+B49,63)):INDIRECT(ADDRESS(5+B49,67)))-SUM(INDIRECT(ADDRESS(5+C49,63)):INDIRECT(ADDRESS(5+C49,67)))</f>
        <v>0</v>
      </c>
      <c r="X65" s="8" t="s">
        <v>26</v>
      </c>
      <c r="Y65" s="8">
        <v>0</v>
      </c>
      <c r="Z65" s="8"/>
      <c r="AA65" s="8"/>
      <c r="AB65" s="8" cm="1">
        <f t="array" aca="1" ref="AB65" ca="1">INDIRECT(ADDRESS(5+$B44,62+COLUMNS($A3:A3)))+INDIRECT(ADDRESS(5+$C44,62+COLUMNS($A3:A3)))</f>
        <v>0</v>
      </c>
      <c r="AC65" s="8" cm="1">
        <f t="array" aca="1" ref="AC65" ca="1">INDIRECT(ADDRESS(5+$B44,62+COLUMNS($A3:B3)))+INDIRECT(ADDRESS(5+$C44,62+COLUMNS($A3:B3)))</f>
        <v>0</v>
      </c>
      <c r="AD65" s="8" cm="1">
        <f t="array" aca="1" ref="AD65" ca="1">INDIRECT(ADDRESS(5+$B44,62+COLUMNS($A3:C3)))+INDIRECT(ADDRESS(5+$C44,62+COLUMNS($A3:C3)))</f>
        <v>0</v>
      </c>
      <c r="AE65" s="8" cm="1">
        <f t="array" aca="1" ref="AE65" ca="1">INDIRECT(ADDRESS(5+$B44,62+COLUMNS($A3:D3)))+INDIRECT(ADDRESS(5+$C44,62+COLUMNS($A3:D3)))</f>
        <v>0</v>
      </c>
      <c r="AF65" s="8" cm="1">
        <f t="array" aca="1" ref="AF65" ca="1">INDIRECT(ADDRESS(5+$B44,62+COLUMNS($A3:E3)))+INDIRECT(ADDRESS(5+$C44,62+COLUMNS($A3:E3)))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x14ac:dyDescent="0.3">
      <c r="A66" s="8"/>
      <c r="B66" s="7"/>
      <c r="C66" s="8">
        <f t="shared" si="18"/>
        <v>0</v>
      </c>
      <c r="D66" s="8" t="s">
        <v>21</v>
      </c>
      <c r="E66" s="8">
        <v>1</v>
      </c>
      <c r="F66" s="8"/>
      <c r="G66" s="8"/>
      <c r="H66" s="8" cm="1">
        <f t="array" ref="H66">SUM(AA9:AE9*BR9:BV9-R9*BK9:BO9)</f>
        <v>0</v>
      </c>
      <c r="I66" s="8" t="s">
        <v>25</v>
      </c>
      <c r="J66" s="8">
        <v>0</v>
      </c>
      <c r="K66" s="8"/>
      <c r="L66" s="8"/>
      <c r="M66" s="8" cm="1">
        <f t="array" ref="M66">SUM(AA9:AE9*BR9:BV9-U9*BK9:BO9)</f>
        <v>0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-95</v>
      </c>
      <c r="S66" s="8" t="s">
        <v>21</v>
      </c>
      <c r="T66" s="8">
        <v>0</v>
      </c>
      <c r="U66" s="8"/>
      <c r="V66" s="8"/>
      <c r="W66" s="8">
        <f ca="1">SUM(INDIRECT(ADDRESS(5+B50,63)):INDIRECT(ADDRESS(5+B50,67)))-SUM(INDIRECT(ADDRESS(5+C50,63)):INDIRECT(ADDRESS(5+C50,67)))</f>
        <v>0</v>
      </c>
      <c r="X66" s="8" t="s">
        <v>26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x14ac:dyDescent="0.3">
      <c r="A67" s="8"/>
      <c r="B67" s="7"/>
      <c r="C67" s="8">
        <f t="shared" si="18"/>
        <v>0</v>
      </c>
      <c r="D67" s="8" t="s">
        <v>21</v>
      </c>
      <c r="E67" s="8">
        <v>1</v>
      </c>
      <c r="F67" s="11"/>
      <c r="G67" s="8"/>
      <c r="H67" s="8" cm="1">
        <f t="array" ref="H67">SUM(AA10:AE10*BR10:BV10-R10*BK10:BO10)</f>
        <v>0</v>
      </c>
      <c r="I67" s="8" t="s">
        <v>25</v>
      </c>
      <c r="J67" s="8">
        <v>0</v>
      </c>
      <c r="K67" s="8"/>
      <c r="L67" s="8"/>
      <c r="M67" s="8" cm="1">
        <f t="array" ref="M67">SUM(AA10:AE10*BR10:BV10-U10*BK10:BO10)</f>
        <v>0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-110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x14ac:dyDescent="0.3">
      <c r="A68" s="8"/>
      <c r="B68" s="10"/>
      <c r="C68" s="8">
        <f t="shared" si="18"/>
        <v>0</v>
      </c>
      <c r="D68" s="8" t="s">
        <v>21</v>
      </c>
      <c r="E68" s="8">
        <v>1</v>
      </c>
      <c r="F68" s="11"/>
      <c r="G68" s="8"/>
      <c r="H68" s="8" cm="1">
        <f t="array" ref="H68">SUM(AA11:AE11*BR11:BV11-R11*BK11:BO11)</f>
        <v>0</v>
      </c>
      <c r="I68" s="8" t="s">
        <v>25</v>
      </c>
      <c r="J68" s="8">
        <v>0</v>
      </c>
      <c r="K68" s="8"/>
      <c r="L68" s="8"/>
      <c r="M68" s="8" cm="1">
        <f t="array" ref="M68">SUM(AA11:AE11*BR11:BV11-U11*BK11:BO11)</f>
        <v>0</v>
      </c>
      <c r="N68" s="8" t="s">
        <v>21</v>
      </c>
      <c r="O68" s="8">
        <v>0</v>
      </c>
      <c r="P68" s="8"/>
      <c r="Q68" s="8"/>
      <c r="R68" s="8" cm="1">
        <f t="array" aca="1" ref="R68" ca="1">-C38+SUM(INDIRECT(ADDRESS(6,69+ROWS($A$1:A6))):INDIRECT(ADDRESS(30,69+ROWS($A$1:A6)))*$F$6:$F$30)</f>
        <v>-40</v>
      </c>
      <c r="S68" s="8" t="s">
        <v>21</v>
      </c>
      <c r="T68" s="8">
        <v>0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x14ac:dyDescent="0.3">
      <c r="A69" s="8"/>
      <c r="B69" s="10"/>
      <c r="C69" s="8">
        <f t="shared" si="18"/>
        <v>0</v>
      </c>
      <c r="D69" s="8" t="s">
        <v>21</v>
      </c>
      <c r="E69" s="8">
        <v>1</v>
      </c>
      <c r="F69" s="11"/>
      <c r="G69" s="8"/>
      <c r="H69" s="8" cm="1">
        <f t="array" ref="H69">SUM(AA12:AE12*BR12:BV12-R12*BK12:BO12)</f>
        <v>0</v>
      </c>
      <c r="I69" s="8" t="s">
        <v>25</v>
      </c>
      <c r="J69" s="8">
        <v>0</v>
      </c>
      <c r="K69" s="8"/>
      <c r="L69" s="8"/>
      <c r="M69" s="8" cm="1">
        <f t="array" ref="M69">SUM(AA12:AE12*BR12:BV12-U12*BK12:BO12)</f>
        <v>0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x14ac:dyDescent="0.3">
      <c r="A70" s="8"/>
      <c r="B70" s="10"/>
      <c r="C70" s="8">
        <f t="shared" si="18"/>
        <v>0</v>
      </c>
      <c r="D70" s="8" t="s">
        <v>21</v>
      </c>
      <c r="E70" s="8">
        <v>1</v>
      </c>
      <c r="F70" s="11"/>
      <c r="G70" s="8"/>
      <c r="H70" s="8" cm="1">
        <f t="array" ref="H70">SUM(AA13:AE13*BR13:BV13-R13*BK13:BO13)</f>
        <v>0</v>
      </c>
      <c r="I70" s="8" t="s">
        <v>25</v>
      </c>
      <c r="J70" s="8">
        <v>0</v>
      </c>
      <c r="K70" s="8"/>
      <c r="L70" s="8"/>
      <c r="M70" s="8" cm="1">
        <f t="array" ref="M70">SUM(AA13:AE13*BR13:BV13-U13*BK13:BO13)</f>
        <v>0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x14ac:dyDescent="0.3">
      <c r="A71" s="8"/>
      <c r="B71" s="10"/>
      <c r="C71" s="8">
        <f t="shared" si="18"/>
        <v>0</v>
      </c>
      <c r="D71" s="8" t="s">
        <v>21</v>
      </c>
      <c r="E71" s="8">
        <v>1</v>
      </c>
      <c r="F71" s="11"/>
      <c r="G71" s="8"/>
      <c r="H71" s="8" cm="1">
        <f t="array" ref="H71">SUM(AA14:AE14*BR14:BV14-R14*BK14:BO14)</f>
        <v>0</v>
      </c>
      <c r="I71" s="8" t="s">
        <v>25</v>
      </c>
      <c r="J71" s="8">
        <v>0</v>
      </c>
      <c r="K71" s="8"/>
      <c r="L71" s="8"/>
      <c r="M71" s="8" cm="1">
        <f t="array" ref="M71">SUM(AA14:AE14*BR14:BV14-U14*BK14:BO14)</f>
        <v>0</v>
      </c>
      <c r="N71" s="8" t="s">
        <v>21</v>
      </c>
      <c r="O71" s="8">
        <v>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x14ac:dyDescent="0.3">
      <c r="A72" s="8"/>
      <c r="B72" s="10"/>
      <c r="C72" s="8">
        <f t="shared" si="18"/>
        <v>0</v>
      </c>
      <c r="D72" s="8" t="s">
        <v>21</v>
      </c>
      <c r="E72" s="8">
        <v>1</v>
      </c>
      <c r="F72" s="11"/>
      <c r="G72" s="8"/>
      <c r="H72" s="8" cm="1">
        <f t="array" ref="H72">SUM(AA15:AE15*BR15:BV15-R15*BK15:BO15)</f>
        <v>0</v>
      </c>
      <c r="I72" s="8" t="s">
        <v>25</v>
      </c>
      <c r="J72" s="8">
        <v>0</v>
      </c>
      <c r="K72" s="8"/>
      <c r="L72" s="8"/>
      <c r="M72" s="8" cm="1">
        <f t="array" ref="M72">SUM(AA15:AE15*BR15:BV15-U15*BK15:BO15)</f>
        <v>0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x14ac:dyDescent="0.3">
      <c r="A73" s="8"/>
      <c r="B73" s="10"/>
      <c r="C73" s="8">
        <f t="shared" si="18"/>
        <v>0</v>
      </c>
      <c r="D73" s="8" t="s">
        <v>21</v>
      </c>
      <c r="E73" s="8">
        <v>1</v>
      </c>
      <c r="F73" s="11"/>
      <c r="G73" s="8"/>
      <c r="H73" s="8" cm="1">
        <f t="array" ref="H73">SUM(AA16:AE16*BR16:BV16-R16*BK16:BO16)</f>
        <v>0</v>
      </c>
      <c r="I73" s="8" t="s">
        <v>25</v>
      </c>
      <c r="J73" s="8">
        <v>0</v>
      </c>
      <c r="K73" s="8"/>
      <c r="L73" s="8"/>
      <c r="M73" s="8" cm="1">
        <f t="array" ref="M73">SUM(AA16:AE16*BR16:BV16-U16*BK16:BO16)</f>
        <v>0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x14ac:dyDescent="0.3">
      <c r="A74" s="8"/>
      <c r="B74" s="10"/>
      <c r="C74" s="8">
        <f t="shared" si="18"/>
        <v>0</v>
      </c>
      <c r="D74" s="8" t="s">
        <v>21</v>
      </c>
      <c r="E74" s="8">
        <v>1</v>
      </c>
      <c r="F74" s="11"/>
      <c r="G74" s="8"/>
      <c r="H74" s="8" cm="1">
        <f t="array" ref="H74">SUM(AA17:AE17*BR17:BV17-R17*BK17:BO17)</f>
        <v>0</v>
      </c>
      <c r="I74" s="8" t="s">
        <v>25</v>
      </c>
      <c r="J74" s="8">
        <v>0</v>
      </c>
      <c r="K74" s="8"/>
      <c r="L74" s="8"/>
      <c r="M74" s="8" cm="1">
        <f t="array" ref="M74">SUM(AA17:AE17*BR17:BV17-U17*BK17:BO17)</f>
        <v>0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x14ac:dyDescent="0.3">
      <c r="B75" s="10"/>
      <c r="C75" s="8">
        <f t="shared" si="18"/>
        <v>0</v>
      </c>
      <c r="D75" s="8" t="s">
        <v>21</v>
      </c>
      <c r="E75" s="8">
        <v>1</v>
      </c>
      <c r="F75" s="11"/>
      <c r="G75" s="8"/>
      <c r="H75" s="8" cm="1">
        <f t="array" ref="H75">SUM(AA18:AE18*BR18:BV18-R18*BK18:BO18)</f>
        <v>0</v>
      </c>
      <c r="I75" s="8" t="s">
        <v>25</v>
      </c>
      <c r="J75" s="8">
        <v>0</v>
      </c>
      <c r="K75" s="8"/>
      <c r="L75" s="8"/>
      <c r="M75" s="8" cm="1">
        <f t="array" ref="M75">SUM(AA18:AE18*BR18:BV18-U18*BK18:BO18)</f>
        <v>0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x14ac:dyDescent="0.3">
      <c r="B76" s="7"/>
      <c r="C76" s="8">
        <f t="shared" si="18"/>
        <v>0</v>
      </c>
      <c r="D76" s="8" t="s">
        <v>21</v>
      </c>
      <c r="E76" s="8">
        <v>1</v>
      </c>
      <c r="F76" s="8"/>
      <c r="G76" s="8"/>
      <c r="H76" s="8" cm="1">
        <f t="array" ref="H76">SUM(AA19:AE19*BR19:BV19-R19*BK19:BO19)</f>
        <v>0</v>
      </c>
      <c r="I76" s="8" t="s">
        <v>25</v>
      </c>
      <c r="J76" s="8">
        <v>0</v>
      </c>
      <c r="K76" s="8"/>
      <c r="L76" s="8"/>
      <c r="M76" s="8" cm="1">
        <f t="array" ref="M76">SUM(AA19:AE19*BR19:BV19-U19*BK19:BO19)</f>
        <v>0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x14ac:dyDescent="0.3">
      <c r="B77" s="7"/>
      <c r="C77" s="8">
        <f t="shared" si="18"/>
        <v>0</v>
      </c>
      <c r="D77" s="8" t="s">
        <v>21</v>
      </c>
      <c r="E77" s="8">
        <v>1</v>
      </c>
      <c r="F77" s="8"/>
      <c r="G77" s="8"/>
      <c r="H77" s="8" cm="1">
        <f t="array" ref="H77">SUM(AA20:AE20*BR20:BV20-R20*BK20:BO20)</f>
        <v>0</v>
      </c>
      <c r="I77" s="8" t="s">
        <v>25</v>
      </c>
      <c r="J77" s="8">
        <v>0</v>
      </c>
      <c r="K77" s="8"/>
      <c r="L77" s="8"/>
      <c r="M77" s="8" cm="1">
        <f t="array" ref="M77">SUM(AA20:AE20*BR20:BV20-U20*BK20:BO20)</f>
        <v>0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18"/>
        <v>0</v>
      </c>
      <c r="D78" s="8" t="s">
        <v>21</v>
      </c>
      <c r="E78" s="8">
        <v>1</v>
      </c>
      <c r="F78" s="8"/>
      <c r="G78" s="8"/>
      <c r="H78" s="8" cm="1">
        <f t="array" ref="H78">SUM(AA21:AE21*BR21:BV21-R21*BK21:BO21)</f>
        <v>0</v>
      </c>
      <c r="I78" s="8" t="s">
        <v>25</v>
      </c>
      <c r="J78" s="8">
        <v>0</v>
      </c>
      <c r="K78" s="8"/>
      <c r="L78" s="8"/>
      <c r="M78" s="8" cm="1">
        <f t="array" ref="M78">SUM(AA21:AE21*BR21:BV21-U21*BK21:BO21)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18"/>
        <v>0</v>
      </c>
      <c r="D79" s="8" t="s">
        <v>21</v>
      </c>
      <c r="E79" s="8">
        <v>1</v>
      </c>
      <c r="F79" s="8"/>
      <c r="G79" s="8"/>
      <c r="H79" s="8" cm="1">
        <f t="array" ref="H79">SUM(AA22:AE22*BR22:BV22-R22*BK22:BO22)</f>
        <v>0</v>
      </c>
      <c r="I79" s="8" t="s">
        <v>25</v>
      </c>
      <c r="J79" s="8">
        <v>0</v>
      </c>
      <c r="K79" s="8"/>
      <c r="L79" s="8"/>
      <c r="M79" s="8" cm="1">
        <f t="array" ref="M79">SUM(AA22:AE22*BR22:BV22-U22*BK22:BO22)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18"/>
        <v>0</v>
      </c>
      <c r="D80" s="8" t="s">
        <v>21</v>
      </c>
      <c r="E80" s="8">
        <v>1</v>
      </c>
      <c r="F80" s="8"/>
      <c r="G80" s="8"/>
      <c r="H80" s="8" cm="1">
        <f t="array" ref="H80">SUM(AA23:AE23*BR23:BV23-R23*BK23:BO23)</f>
        <v>0</v>
      </c>
      <c r="I80" s="8" t="s">
        <v>25</v>
      </c>
      <c r="J80" s="8">
        <v>0</v>
      </c>
      <c r="K80" s="8"/>
      <c r="L80" s="8"/>
      <c r="M80" s="8" cm="1">
        <f t="array" ref="M80">SUM(AA23:AE23*BR23:BV23-U23*BK23:BO23)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18"/>
        <v>0</v>
      </c>
      <c r="D81" s="8" t="s">
        <v>21</v>
      </c>
      <c r="E81" s="8">
        <v>1</v>
      </c>
      <c r="F81" s="8"/>
      <c r="G81" s="8"/>
      <c r="H81" s="8" cm="1">
        <f t="array" ref="H81">SUM(AA24:AE24*BR24:BV24-R24*BK24:BO24)</f>
        <v>0</v>
      </c>
      <c r="I81" s="8" t="s">
        <v>25</v>
      </c>
      <c r="J81" s="8">
        <v>0</v>
      </c>
      <c r="K81" s="8"/>
      <c r="L81" s="8"/>
      <c r="M81" s="8" cm="1">
        <f t="array" ref="M81">SUM(AA24:AE24*BR24:BV24-U24*BK24:BO24)</f>
        <v>0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18"/>
        <v>0</v>
      </c>
      <c r="D82" s="8" t="s">
        <v>21</v>
      </c>
      <c r="E82" s="8">
        <v>1</v>
      </c>
      <c r="F82" s="8"/>
      <c r="G82" s="8"/>
      <c r="H82" s="8" cm="1">
        <f t="array" ref="H82">SUM(AA25:AE25*BR25:BV25-R25*BK25:BO25)</f>
        <v>0</v>
      </c>
      <c r="I82" s="8" t="s">
        <v>25</v>
      </c>
      <c r="J82" s="8">
        <v>0</v>
      </c>
      <c r="K82" s="8"/>
      <c r="L82" s="8"/>
      <c r="M82" s="8" cm="1">
        <f t="array" ref="M82">SUM(AA25:AE25*BR25:BV25-U25*BK25:BO25)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18"/>
        <v>0</v>
      </c>
      <c r="D83" s="8" t="s">
        <v>21</v>
      </c>
      <c r="E83" s="8">
        <v>1</v>
      </c>
      <c r="F83" s="8"/>
      <c r="G83" s="8"/>
      <c r="H83" s="8" cm="1">
        <f t="array" ref="H83">SUM(AA26:AE26*BR26:BV26-R26*BK26:BO26)</f>
        <v>0</v>
      </c>
      <c r="I83" s="8" t="s">
        <v>25</v>
      </c>
      <c r="J83" s="8">
        <v>0</v>
      </c>
      <c r="K83" s="8"/>
      <c r="L83" s="8"/>
      <c r="M83" s="8" cm="1">
        <f t="array" ref="M83">SUM(AA26:AE26*BR26:BV26-U26*BK26:BO26)</f>
        <v>0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18"/>
        <v>0</v>
      </c>
      <c r="D84" s="8" t="s">
        <v>21</v>
      </c>
      <c r="E84" s="8">
        <v>1</v>
      </c>
      <c r="F84" s="8"/>
      <c r="G84" s="8"/>
      <c r="H84" s="8" cm="1">
        <f t="array" ref="H84">SUM(AA27:AE27*BR27:BV27-R27*BK27:BO27)</f>
        <v>0</v>
      </c>
      <c r="I84" s="8" t="s">
        <v>25</v>
      </c>
      <c r="J84" s="8">
        <v>0</v>
      </c>
      <c r="K84" s="8"/>
      <c r="L84" s="8"/>
      <c r="M84" s="8" cm="1">
        <f t="array" ref="M84">SUM(AA27:AE27*BR27:BV27-U27*BK27:BO27)</f>
        <v>0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18"/>
        <v>0</v>
      </c>
      <c r="D85" s="8" t="s">
        <v>21</v>
      </c>
      <c r="E85" s="8">
        <v>1</v>
      </c>
      <c r="F85" s="8"/>
      <c r="G85" s="8"/>
      <c r="H85" s="8" cm="1">
        <f t="array" ref="H85">SUM(AA28:AE28*BR28:BV28-R28*BK28:BO28)</f>
        <v>0</v>
      </c>
      <c r="I85" s="8" t="s">
        <v>25</v>
      </c>
      <c r="J85" s="8">
        <v>0</v>
      </c>
      <c r="K85" s="8"/>
      <c r="L85" s="8"/>
      <c r="M85" s="8" cm="1">
        <f t="array" ref="M85">SUM(AA28:AE28*BR28:BV28-U28*BK28:BO28)</f>
        <v>0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18"/>
        <v>0</v>
      </c>
      <c r="D86" s="8" t="s">
        <v>21</v>
      </c>
      <c r="E86" s="8">
        <v>1</v>
      </c>
      <c r="F86" s="8"/>
      <c r="G86" s="8"/>
      <c r="H86" s="8" cm="1">
        <f t="array" ref="H86">SUM(AA29:AE29*BR29:BV29-R29*BK29:BO29)</f>
        <v>0</v>
      </c>
      <c r="I86" s="8" t="s">
        <v>25</v>
      </c>
      <c r="J86" s="8">
        <v>0</v>
      </c>
      <c r="K86" s="8"/>
      <c r="L86" s="8"/>
      <c r="M86" s="8" cm="1">
        <f t="array" ref="M86">SUM(AA29:AE29*BR29:BV29-U29*BK29:BO29)</f>
        <v>0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3"/>
      <c r="B87" s="7"/>
      <c r="C87" s="8">
        <f>SUM(AI30:AM30,AP30:AT30,AW30:BA30,BD30:BH30)</f>
        <v>0</v>
      </c>
      <c r="D87" s="8" t="s">
        <v>21</v>
      </c>
      <c r="E87" s="8">
        <v>1</v>
      </c>
      <c r="F87" s="8"/>
      <c r="G87" s="8"/>
      <c r="H87" s="8" cm="1">
        <f t="array" ref="H87">SUM(AA30:AE30*BR30:BV30-R30*BK30:BO30)</f>
        <v>0</v>
      </c>
      <c r="I87" s="8" t="s">
        <v>25</v>
      </c>
      <c r="J87" s="8">
        <v>0</v>
      </c>
      <c r="K87" s="8"/>
      <c r="L87" s="8"/>
      <c r="M87" s="8" cm="1">
        <f t="array" ref="M87">SUM(AA30:AE30*BR30:BV30-U30*BK30:BO30)</f>
        <v>0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399999999999999" thickBot="1" x14ac:dyDescent="0.35">
      <c r="A90" s="44"/>
      <c r="B90" s="24"/>
      <c r="C90" s="25"/>
      <c r="D90" s="25"/>
      <c r="E90" s="34"/>
      <c r="F90" s="34"/>
      <c r="G90" s="34"/>
      <c r="H90" s="34"/>
      <c r="I90" s="34"/>
      <c r="J90" s="34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6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19"/>
      <c r="C96" s="23"/>
      <c r="D96" s="13"/>
      <c r="E96" s="13"/>
      <c r="F96" s="13"/>
      <c r="G96" s="13"/>
      <c r="H96" s="19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19"/>
      <c r="C97" s="20"/>
      <c r="D97" s="13"/>
      <c r="E97" s="13"/>
      <c r="F97" s="13"/>
      <c r="G97" s="13"/>
      <c r="H97" s="19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19"/>
      <c r="C98" s="23"/>
      <c r="D98" s="13"/>
      <c r="E98" s="13"/>
      <c r="F98" s="13"/>
      <c r="G98" s="13"/>
      <c r="H98" s="19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19"/>
      <c r="C99" s="23"/>
      <c r="D99" s="13"/>
      <c r="E99" s="13"/>
      <c r="F99" s="13"/>
      <c r="G99" s="13"/>
      <c r="H99" s="19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19"/>
      <c r="C100" s="23"/>
      <c r="D100" s="13"/>
      <c r="E100" s="13"/>
      <c r="F100" s="13"/>
      <c r="G100" s="13"/>
      <c r="H100" s="19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19"/>
      <c r="C101" s="23"/>
      <c r="D101" s="13"/>
      <c r="E101" s="13"/>
      <c r="F101" s="13"/>
      <c r="G101" s="13"/>
      <c r="H101" s="19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19"/>
      <c r="C102" s="23"/>
      <c r="D102" s="13"/>
      <c r="E102" s="13"/>
      <c r="F102" s="13"/>
      <c r="G102" s="13"/>
      <c r="H102" s="19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19"/>
      <c r="C103" s="20"/>
      <c r="D103" s="13"/>
      <c r="E103" s="13"/>
      <c r="F103" s="13"/>
      <c r="G103" s="13"/>
      <c r="H103" s="19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19"/>
      <c r="C104" s="20"/>
      <c r="D104" s="13"/>
      <c r="E104" s="13"/>
      <c r="F104" s="13"/>
      <c r="G104" s="13"/>
      <c r="H104" s="19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19"/>
      <c r="C105" s="20"/>
      <c r="D105" s="13"/>
      <c r="E105" s="13"/>
      <c r="F105" s="13"/>
      <c r="G105" s="13"/>
      <c r="H105" s="19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19"/>
      <c r="C106" s="20"/>
      <c r="D106" s="13"/>
      <c r="E106" s="13"/>
      <c r="F106" s="13"/>
      <c r="G106" s="13"/>
      <c r="H106" s="19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19"/>
      <c r="C107" s="20"/>
      <c r="D107" s="13"/>
      <c r="E107" s="13"/>
      <c r="F107" s="13"/>
      <c r="G107" s="13"/>
      <c r="H107" s="19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19"/>
      <c r="C108" s="20"/>
      <c r="D108" s="13"/>
      <c r="E108" s="13"/>
      <c r="F108" s="13"/>
      <c r="G108" s="13"/>
      <c r="H108" s="19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19"/>
      <c r="C109" s="20"/>
      <c r="D109" s="13"/>
      <c r="E109" s="13"/>
      <c r="F109" s="13"/>
      <c r="G109" s="13"/>
      <c r="H109" s="19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19"/>
      <c r="C110" s="20"/>
      <c r="D110" s="13"/>
      <c r="E110" s="13"/>
      <c r="F110" s="13"/>
      <c r="G110" s="13"/>
      <c r="H110" s="19"/>
      <c r="I110" s="8"/>
      <c r="J110" s="8"/>
      <c r="K110" s="8"/>
      <c r="L110" s="8"/>
      <c r="M110" s="8"/>
      <c r="N110" s="8"/>
    </row>
    <row r="111" spans="1:69" x14ac:dyDescent="0.3">
      <c r="A111" s="44"/>
      <c r="B111" s="19"/>
      <c r="C111" s="20"/>
      <c r="D111" s="13"/>
      <c r="E111" s="13"/>
      <c r="F111" s="13"/>
      <c r="G111" s="13"/>
      <c r="H111" s="19"/>
      <c r="I111" s="8"/>
      <c r="J111" s="8"/>
      <c r="K111" s="8"/>
      <c r="L111" s="8"/>
      <c r="M111" s="8"/>
      <c r="N111" s="8"/>
    </row>
    <row r="112" spans="1:69" x14ac:dyDescent="0.3">
      <c r="A112" s="44"/>
      <c r="B112" s="19"/>
      <c r="C112" s="20"/>
      <c r="D112" s="13"/>
      <c r="E112" s="13"/>
      <c r="F112" s="13"/>
      <c r="G112" s="13"/>
      <c r="H112" s="19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8"/>
      <c r="H115" s="29"/>
      <c r="I115" s="28"/>
      <c r="J115" s="29"/>
      <c r="K115" s="28"/>
      <c r="L115" s="8"/>
      <c r="M115" s="8"/>
      <c r="N115" s="8"/>
    </row>
    <row r="116" spans="1:14" x14ac:dyDescent="0.3">
      <c r="A116" s="27"/>
      <c r="B116" s="27"/>
      <c r="C116" s="27"/>
      <c r="D116" s="27"/>
      <c r="E116" s="8"/>
      <c r="F116" s="8"/>
      <c r="G116" s="27"/>
      <c r="H116" s="29"/>
      <c r="I116" s="8"/>
      <c r="J116" s="30"/>
      <c r="K116" s="30"/>
      <c r="L116" s="8"/>
      <c r="M116" s="8"/>
      <c r="N116" s="8"/>
    </row>
    <row r="117" spans="1:14" x14ac:dyDescent="0.3">
      <c r="A117" s="27"/>
      <c r="B117" s="27"/>
      <c r="C117" s="27"/>
      <c r="D117" s="27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7"/>
      <c r="B118" s="27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7"/>
      <c r="B119" s="2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7"/>
      <c r="B120" s="2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9FD9A3-B46E-47AF-8E4E-B60F2A0E2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61B56D-385A-4D96-98EC-84530EC6BA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E5190-E57C-4514-8F12-0481A5B67E2A}">
  <ds:schemaRefs>
    <ds:schemaRef ds:uri="b79073fe-1e48-4a97-9229-baaa8603d156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 Sensitivity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Alp Eren Yılmaz</cp:lastModifiedBy>
  <dcterms:created xsi:type="dcterms:W3CDTF">2021-01-09T17:11:28Z</dcterms:created>
  <dcterms:modified xsi:type="dcterms:W3CDTF">2021-01-11T19:35:42Z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