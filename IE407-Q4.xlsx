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heng\OneDrive\Documents\GitHub\IE407-Term-Project\"/>
    </mc:Choice>
  </mc:AlternateContent>
  <xr:revisionPtr revIDLastSave="0" documentId="13_ncr:1_{8E86565B-5044-4390-B85D-37E4F75891D2}" xr6:coauthVersionLast="46" xr6:coauthVersionMax="46" xr10:uidLastSave="{00000000-0000-0000-0000-000000000000}"/>
  <bookViews>
    <workbookView xWindow="-108" yWindow="-108" windowWidth="23256" windowHeight="12576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Sayfa1!$AI$6:$AN$30,Sayfa1!$AP$6:$AU$30,Sayfa1!$AW$6:$BB$30,Sayfa1!$BD$6:$BI$30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Sayfa1!$BD$6:$BI$30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Sayfa1!$R$63:$R$68</definedName>
    <definedName name="solver_lhs5" localSheetId="1" hidden="1">Sayfa1!$W$63:$W$66</definedName>
    <definedName name="solver_lhs6" localSheetId="1" hidden="1">Sayfa1!$AA$63:$AF$65</definedName>
    <definedName name="solver_lhs7" localSheetId="1" hidden="1">Sayfa1!$AI$6:$AN$30</definedName>
    <definedName name="solver_lhs8" localSheetId="1" hidden="1">Sayfa1!$AP$6:$AU$30</definedName>
    <definedName name="solver_lhs9" localSheetId="1" hidden="1">Sayfa1!$AW$6:$BB$30</definedName>
    <definedName name="solver_neg" localSheetId="1" hidden="1">1</definedName>
    <definedName name="solver_num" localSheetId="1" hidden="1">10</definedName>
    <definedName name="solver_nwt" localSheetId="1" hidden="1">1</definedName>
    <definedName name="solver_opt" localSheetId="1" hidden="1">Sayfa1!$B$55</definedName>
    <definedName name="solver_pre" localSheetId="1" hidden="1">0.000001</definedName>
    <definedName name="solver_rel1" localSheetId="1" hidden="1">1</definedName>
    <definedName name="solver_rel10" localSheetId="1" hidden="1">5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Sayfa1!$T$63:$T$68</definedName>
    <definedName name="solver_rhs5" localSheetId="1" hidden="1">Sayfa1!$Y$63:$Y$66</definedName>
    <definedName name="solver_rhs6" localSheetId="1" hidden="1">Sayfa1!$AH$63:$AM$65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7" i="1" l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6" i="1"/>
  <c r="C65" i="1"/>
  <c r="C64" i="1"/>
  <c r="C63" i="1"/>
  <c r="CD8" i="1"/>
  <c r="CD30" i="1"/>
  <c r="CD29" i="1"/>
  <c r="CD28" i="1"/>
  <c r="CD27" i="1"/>
  <c r="CD26" i="1"/>
  <c r="CD25" i="1"/>
  <c r="CD24" i="1"/>
  <c r="CD23" i="1"/>
  <c r="CD22" i="1"/>
  <c r="CD21" i="1"/>
  <c r="CD20" i="1"/>
  <c r="CD19" i="1"/>
  <c r="CD18" i="1"/>
  <c r="CD17" i="1"/>
  <c r="CD16" i="1"/>
  <c r="CD15" i="1"/>
  <c r="CD14" i="1"/>
  <c r="CD13" i="1"/>
  <c r="CD12" i="1"/>
  <c r="CD11" i="1"/>
  <c r="CD10" i="1"/>
  <c r="CD9" i="1"/>
  <c r="CD7" i="1"/>
  <c r="CD6" i="1"/>
  <c r="CA7" i="1"/>
  <c r="BW6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V6" i="1"/>
  <c r="BP30" i="1"/>
  <c r="BP29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O6" i="1"/>
  <c r="BK8" i="1"/>
  <c r="BR35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17" i="1"/>
  <c r="AF16" i="1"/>
  <c r="AF15" i="1"/>
  <c r="AF14" i="1"/>
  <c r="AF13" i="1"/>
  <c r="AF12" i="1"/>
  <c r="AF11" i="1"/>
  <c r="AF10" i="1"/>
  <c r="AF9" i="1"/>
  <c r="AF8" i="1"/>
  <c r="AF7" i="1"/>
  <c r="AF6" i="1"/>
  <c r="AA63" i="1" a="1"/>
  <c r="AA65" i="1" a="1"/>
  <c r="AA64" i="1" a="1"/>
  <c r="R68" i="1" a="1"/>
  <c r="R68" i="1" l="1"/>
  <c r="AA65" i="1"/>
  <c r="AA64" i="1"/>
  <c r="AA63" i="1"/>
  <c r="BR7" i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R6" i="1"/>
  <c r="BY7" i="1"/>
  <c r="BZ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BK35" i="1"/>
  <c r="BK7" i="1"/>
  <c r="BL7" i="1"/>
  <c r="BM7" i="1"/>
  <c r="BN7" i="1"/>
  <c r="BO7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D35" i="1"/>
  <c r="AW35" i="1"/>
  <c r="R67" i="1" a="1"/>
  <c r="AC64" i="1" a="1"/>
  <c r="AD65" i="1" a="1"/>
  <c r="AB64" i="1" a="1"/>
  <c r="W65" i="1"/>
  <c r="AD63" i="1" a="1"/>
  <c r="AF65" i="1" a="1"/>
  <c r="AE64" i="1" a="1"/>
  <c r="AB63" i="1" a="1"/>
  <c r="W64" i="1"/>
  <c r="AF63" i="1" a="1"/>
  <c r="R64" i="1" a="1"/>
  <c r="AB65" i="1" a="1"/>
  <c r="R63" i="1" a="1"/>
  <c r="AC65" i="1" a="1"/>
  <c r="W66" i="1"/>
  <c r="R65" i="1" a="1"/>
  <c r="AE65" i="1" a="1"/>
  <c r="W63" i="1"/>
  <c r="R66" i="1" a="1"/>
  <c r="AD64" i="1" a="1"/>
  <c r="AC63" i="1" a="1"/>
  <c r="AF64" i="1" a="1"/>
  <c r="AE63" i="1" a="1"/>
  <c r="R65" i="1" l="1"/>
  <c r="B55" i="1" a="1"/>
  <c r="B55" i="1" s="1"/>
  <c r="H70" i="1" a="1"/>
  <c r="H70" i="1" s="1"/>
  <c r="M68" i="1" a="1"/>
  <c r="M68" i="1" s="1"/>
  <c r="R67" i="1"/>
  <c r="R63" i="1"/>
  <c r="R66" i="1"/>
  <c r="R64" i="1"/>
  <c r="AB64" i="1"/>
  <c r="AC64" i="1"/>
  <c r="H68" i="1" a="1"/>
  <c r="H68" i="1" s="1"/>
  <c r="M63" i="1" a="1"/>
  <c r="M63" i="1" s="1"/>
  <c r="H63" i="1" a="1"/>
  <c r="H63" i="1" s="1"/>
  <c r="M87" i="1" a="1"/>
  <c r="M87" i="1" s="1"/>
  <c r="H87" i="1" a="1"/>
  <c r="H87" i="1" s="1"/>
  <c r="M79" i="1" a="1"/>
  <c r="M79" i="1" s="1"/>
  <c r="H79" i="1" a="1"/>
  <c r="H79" i="1" s="1"/>
  <c r="M71" i="1" a="1"/>
  <c r="M71" i="1" s="1"/>
  <c r="H71" i="1" a="1"/>
  <c r="H71" i="1" s="1"/>
  <c r="M84" i="1" a="1"/>
  <c r="M84" i="1" s="1"/>
  <c r="H84" i="1" a="1"/>
  <c r="H84" i="1" s="1"/>
  <c r="M76" i="1" a="1"/>
  <c r="M76" i="1" s="1"/>
  <c r="H76" i="1" a="1"/>
  <c r="H76" i="1" s="1"/>
  <c r="H82" i="1" a="1"/>
  <c r="H82" i="1" s="1"/>
  <c r="M82" i="1" a="1"/>
  <c r="M82" i="1" s="1"/>
  <c r="H74" i="1" a="1"/>
  <c r="H74" i="1" s="1"/>
  <c r="M74" i="1" a="1"/>
  <c r="M74" i="1" s="1"/>
  <c r="H66" i="1" a="1"/>
  <c r="H66" i="1" s="1"/>
  <c r="M66" i="1" a="1"/>
  <c r="M66" i="1" s="1"/>
  <c r="M85" i="1" a="1"/>
  <c r="M85" i="1" s="1"/>
  <c r="H85" i="1" a="1"/>
  <c r="H85" i="1" s="1"/>
  <c r="M77" i="1" a="1"/>
  <c r="M77" i="1" s="1"/>
  <c r="H77" i="1" a="1"/>
  <c r="H77" i="1" s="1"/>
  <c r="M69" i="1" a="1"/>
  <c r="M69" i="1" s="1"/>
  <c r="H69" i="1" a="1"/>
  <c r="H69" i="1" s="1"/>
  <c r="H83" i="1" a="1"/>
  <c r="H83" i="1" s="1"/>
  <c r="M80" i="1" a="1"/>
  <c r="M80" i="1" s="1"/>
  <c r="H80" i="1" a="1"/>
  <c r="H80" i="1" s="1"/>
  <c r="M72" i="1" a="1"/>
  <c r="M72" i="1" s="1"/>
  <c r="H72" i="1" a="1"/>
  <c r="H72" i="1" s="1"/>
  <c r="M64" i="1" a="1"/>
  <c r="M64" i="1" s="1"/>
  <c r="H64" i="1" a="1"/>
  <c r="H64" i="1" s="1"/>
  <c r="M83" i="1" a="1"/>
  <c r="M83" i="1" s="1"/>
  <c r="M75" i="1" a="1"/>
  <c r="M75" i="1" s="1"/>
  <c r="H75" i="1" a="1"/>
  <c r="H75" i="1" s="1"/>
  <c r="M67" i="1" a="1"/>
  <c r="M67" i="1" s="1"/>
  <c r="H67" i="1" a="1"/>
  <c r="H67" i="1" s="1"/>
  <c r="M86" i="1" a="1"/>
  <c r="M86" i="1" s="1"/>
  <c r="H86" i="1" a="1"/>
  <c r="H86" i="1" s="1"/>
  <c r="M78" i="1" a="1"/>
  <c r="M78" i="1" s="1"/>
  <c r="H78" i="1" a="1"/>
  <c r="H78" i="1" s="1"/>
  <c r="M70" i="1" a="1"/>
  <c r="M70" i="1" s="1"/>
  <c r="H81" i="1" a="1"/>
  <c r="H81" i="1" s="1"/>
  <c r="M81" i="1" a="1"/>
  <c r="M81" i="1" s="1"/>
  <c r="H73" i="1" a="1"/>
  <c r="H73" i="1" s="1"/>
  <c r="M73" i="1" a="1"/>
  <c r="M73" i="1" s="1"/>
  <c r="H65" i="1" a="1"/>
  <c r="H65" i="1" s="1"/>
  <c r="M65" i="1" a="1"/>
  <c r="M65" i="1" s="1"/>
  <c r="AE64" i="1"/>
  <c r="AC65" i="1"/>
  <c r="AD64" i="1"/>
  <c r="AF65" i="1"/>
  <c r="AB65" i="1"/>
  <c r="AD65" i="1"/>
  <c r="AE65" i="1"/>
  <c r="AF64" i="1"/>
  <c r="AF63" i="1"/>
  <c r="AE63" i="1"/>
  <c r="AD63" i="1"/>
  <c r="AC63" i="1"/>
  <c r="AB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2" i="1"/>
  <c r="AH50" i="1"/>
  <c r="AH49" i="1"/>
  <c r="AH53" i="1"/>
  <c r="AH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<sst xmlns="http://schemas.openxmlformats.org/spreadsheetml/2006/main" count="1869" uniqueCount="1170">
  <si>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</si>
  <si>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</si>
  <si>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</si>
  <si>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</si>
  <si>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</si>
  <si>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</si>
  <si>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</si>
  <si>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</si>
  <si>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</si>
  <si>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</si>
  <si>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</si>
  <si>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</si>
  <si>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</si>
  <si>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</si>
  <si>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</si>
  <si>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</si>
  <si>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</si>
  <si>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</si>
  <si>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</si>
  <si>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</si>
  <si>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</si>
  <si>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</si>
  <si>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</si>
  <si>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</si>
  <si>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</si>
  <si>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</si>
  <si>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</si>
  <si>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</si>
  <si>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</si>
  <si>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</si>
  <si>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</si>
  <si>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</si>
  <si>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</si>
  <si>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</si>
  <si>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</si>
  <si>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</si>
  <si>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</si>
  <si>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</si>
  <si>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</si>
  <si>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</si>
  <si>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</si>
  <si>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</si>
  <si>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</si>
  <si>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</si>
  <si>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</si>
  <si>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</si>
  <si>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</si>
  <si>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</si>
  <si>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</si>
  <si>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</si>
  <si>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</si>
  <si>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</si>
  <si>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</si>
  <si>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</si>
  <si>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</si>
  <si>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</si>
  <si>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</si>
  <si>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</si>
  <si>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</si>
  <si>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</si>
  <si>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</si>
  <si>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</si>
  <si>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</si>
  <si>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</si>
  <si>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</si>
  <si>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</si>
  <si>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</si>
  <si>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</si>
  <si>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</si>
  <si>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</si>
  <si>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</si>
  <si>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</si>
  <si>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</si>
  <si>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</si>
  <si>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</si>
  <si>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</si>
  <si>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</si>
  <si>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</si>
  <si>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</si>
  <si>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</si>
  <si>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</si>
  <si>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</si>
  <si>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</si>
  <si>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</si>
  <si>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</si>
  <si>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</si>
  <si>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</si>
  <si>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</si>
  <si>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</si>
  <si>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</si>
  <si>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</si>
  <si>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</si>
  <si>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</si>
  <si>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</si>
  <si>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</si>
  <si>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</si>
  <si>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</si>
  <si>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</si>
  <si>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</si>
  <si>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</si>
  <si>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</si>
  <si>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</si>
  <si>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</si>
  <si>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</si>
  <si>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</si>
  <si>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</si>
  <si>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</si>
  <si>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</si>
  <si>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</si>
  <si>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</si>
  <si>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</si>
  <si>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</si>
  <si>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</si>
  <si>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</si>
  <si>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</si>
  <si>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</si>
  <si>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</si>
  <si>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</si>
  <si>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</si>
  <si>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</si>
  <si>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</si>
  <si>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</si>
  <si>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</si>
  <si>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</si>
  <si>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</si>
  <si>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</si>
  <si>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</si>
  <si>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</si>
  <si>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</si>
  <si>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</si>
  <si>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</si>
  <si>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</si>
  <si>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</si>
  <si>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</si>
  <si>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</si>
  <si>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</si>
  <si>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</si>
  <si>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</si>
  <si>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</si>
  <si>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</si>
  <si>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</si>
  <si>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</si>
  <si>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</si>
  <si>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</si>
  <si>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</si>
  <si>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</si>
  <si>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</si>
  <si>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</si>
  <si>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</si>
  <si>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</si>
  <si>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</si>
  <si>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</si>
  <si>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</si>
  <si>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</si>
  <si>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</si>
  <si>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</si>
  <si>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</si>
  <si>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</si>
  <si>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</si>
  <si>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</si>
  <si>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</si>
  <si>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</si>
  <si>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</si>
  <si>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</si>
  <si>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</si>
  <si>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</si>
  <si>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</si>
  <si>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</si>
  <si>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</si>
  <si>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</si>
  <si>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</si>
  <si>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</si>
  <si>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</si>
  <si>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</si>
  <si>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</si>
  <si>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</si>
  <si>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</si>
  <si>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</si>
  <si>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</si>
  <si>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</si>
  <si>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</si>
  <si>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</si>
  <si>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</si>
  <si>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</si>
  <si>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</si>
  <si>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</si>
  <si>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</si>
  <si>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</si>
  <si>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</si>
  <si>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</si>
  <si>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</si>
  <si>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</si>
  <si>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</si>
  <si>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</si>
  <si>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</si>
  <si>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</si>
  <si>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</si>
  <si>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</si>
  <si>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</si>
  <si>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</si>
  <si>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</si>
  <si>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</si>
  <si>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</si>
  <si>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</si>
  <si>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</si>
  <si>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</si>
  <si>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</si>
  <si>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</si>
  <si>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</si>
  <si>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</si>
  <si>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</si>
  <si>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</si>
  <si>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</si>
  <si>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</si>
  <si>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</si>
  <si>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</si>
  <si>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</si>
  <si>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</si>
  <si>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</si>
  <si>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</si>
  <si>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</si>
  <si>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</si>
  <si>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</si>
  <si>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</si>
  <si>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</si>
  <si>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</si>
  <si>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</si>
  <si>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</si>
  <si>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</si>
  <si>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</si>
  <si>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</si>
  <si>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</si>
  <si>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</si>
  <si>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</si>
  <si>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</si>
  <si>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</si>
  <si>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</si>
  <si>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</si>
  <si>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</si>
  <si>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</si>
  <si>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</si>
  <si>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</si>
  <si>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</si>
  <si>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</si>
  <si>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</si>
  <si>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</si>
  <si>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</si>
  <si>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</si>
  <si>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</si>
  <si>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</si>
  <si>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</si>
  <si>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</si>
  <si>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</si>
  <si>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</si>
  <si>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</si>
  <si>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</si>
  <si>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</si>
  <si>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</si>
  <si>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</si>
  <si>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</si>
  <si>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</si>
  <si>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</si>
  <si>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</si>
  <si>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</si>
  <si>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</si>
  <si>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</si>
  <si>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</si>
  <si>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</si>
  <si>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</si>
  <si>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</si>
  <si>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</si>
  <si>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</si>
  <si>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</si>
  <si>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</si>
  <si>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</si>
  <si>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</si>
  <si>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</si>
  <si>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</si>
  <si>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</si>
  <si>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</si>
  <si>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</si>
  <si>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</si>
  <si>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</si>
  <si>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</si>
  <si>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</si>
  <si>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</si>
  <si>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</si>
  <si>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</si>
  <si>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</si>
  <si>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</si>
  <si>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</si>
  <si>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</si>
  <si>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</si>
  <si>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</si>
  <si>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</si>
  <si>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</si>
  <si>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</si>
  <si>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</si>
  <si>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</si>
  <si>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</si>
  <si>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</si>
  <si>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</si>
  <si>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</si>
  <si>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</si>
  <si>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</si>
  <si>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</si>
  <si>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</si>
  <si>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</si>
  <si>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</si>
  <si>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</si>
  <si>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</si>
  <si>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</si>
  <si>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</si>
  <si>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</si>
  <si>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</si>
  <si>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</si>
  <si>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</si>
  <si>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</si>
  <si>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</si>
  <si>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</si>
  <si>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</si>
  <si>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</si>
  <si>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</si>
  <si>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</si>
  <si>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</si>
  <si>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</si>
  <si>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</si>
  <si>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</si>
  <si>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</si>
  <si>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</si>
  <si>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</si>
  <si>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</si>
  <si>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</si>
  <si>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</si>
  <si>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</si>
  <si>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</si>
  <si>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</si>
  <si>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</si>
  <si>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</si>
  <si>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</si>
  <si>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</si>
  <si>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</si>
  <si>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</si>
  <si>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</si>
  <si>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</si>
  <si>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</si>
  <si>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</si>
  <si>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</si>
  <si>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</si>
  <si>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</si>
  <si>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</si>
  <si>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</si>
  <si>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</si>
  <si>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</si>
  <si>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</si>
  <si>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</si>
  <si>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</si>
  <si>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</si>
  <si>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</si>
  <si>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</si>
  <si>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</si>
  <si>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</si>
  <si>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</si>
  <si>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</si>
  <si>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</si>
  <si>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</si>
  <si>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</si>
  <si>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</si>
  <si>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</si>
  <si>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</si>
  <si>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</si>
  <si>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</si>
  <si>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</si>
  <si>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</si>
  <si>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</si>
  <si>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</si>
  <si>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</si>
  <si>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</si>
  <si>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</si>
  <si>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</si>
  <si>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</si>
  <si>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</si>
  <si>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</si>
  <si>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</si>
  <si>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</si>
  <si>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</si>
  <si>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</si>
  <si>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</si>
  <si>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</si>
  <si>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</si>
  <si>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</si>
  <si>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</si>
  <si>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</si>
  <si>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</si>
  <si>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</si>
  <si>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</si>
  <si>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</si>
  <si>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</si>
  <si>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</si>
  <si>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</si>
  <si>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</si>
  <si>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</si>
  <si>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</si>
  <si>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</si>
  <si>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</si>
  <si>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</si>
  <si>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</si>
  <si>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</si>
  <si>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</si>
  <si>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</si>
  <si>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</si>
  <si>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</si>
  <si>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</si>
  <si>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</si>
  <si>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</si>
  <si>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</si>
  <si>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</si>
  <si>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</si>
  <si>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</si>
  <si>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</si>
  <si>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</si>
  <si>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</si>
  <si>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</si>
  <si>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</si>
  <si>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</si>
  <si>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</si>
  <si>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</si>
  <si>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</si>
  <si>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</si>
  <si>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</si>
  <si>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</si>
  <si>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</si>
  <si>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</si>
  <si>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</si>
  <si>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</si>
  <si>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</si>
  <si>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</si>
  <si>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</si>
  <si>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</si>
  <si>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</si>
  <si>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</si>
  <si>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</si>
  <si>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</si>
  <si>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</si>
  <si>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</si>
  <si>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</si>
  <si>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</si>
  <si>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</si>
  <si>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</si>
  <si>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</si>
  <si>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</si>
  <si>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</si>
  <si>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</si>
  <si>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</si>
  <si>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</si>
  <si>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</si>
  <si>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</si>
  <si>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</si>
  <si>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</si>
  <si>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</si>
  <si>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</si>
  <si>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</si>
  <si>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</si>
  <si>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</si>
  <si>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</si>
  <si>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</si>
  <si>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</si>
  <si>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</si>
  <si>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</si>
  <si>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</si>
  <si>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</si>
  <si>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</si>
  <si>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</si>
  <si>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</si>
  <si>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</si>
  <si>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</si>
  <si>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</si>
  <si>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</si>
  <si>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</si>
  <si>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</si>
  <si>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</si>
  <si>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</si>
  <si>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</si>
  <si>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</si>
  <si>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</si>
  <si>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</si>
  <si>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</si>
  <si>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</si>
  <si>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</si>
  <si>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</si>
  <si>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</si>
  <si>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</si>
  <si>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</si>
  <si>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</si>
  <si>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</si>
  <si>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</si>
  <si>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</si>
  <si>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</si>
  <si>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</si>
  <si>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</si>
  <si>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</si>
  <si>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</si>
  <si>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</si>
  <si>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</si>
  <si>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</si>
  <si>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</si>
  <si>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</si>
  <si>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</si>
  <si>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</si>
  <si>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</si>
  <si>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</si>
  <si>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</si>
  <si>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</si>
  <si>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</si>
  <si>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</si>
  <si>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</si>
  <si>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</si>
  <si>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</si>
  <si>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</si>
  <si>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</si>
  <si>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</si>
  <si>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</si>
  <si>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</si>
  <si>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</si>
  <si>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</si>
  <si>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</si>
  <si>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</si>
  <si>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</si>
  <si>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</si>
  <si>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</si>
  <si>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</si>
  <si>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</si>
  <si>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</si>
  <si>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</si>
  <si>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</si>
  <si>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</si>
  <si>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</si>
  <si>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</si>
  <si>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</si>
  <si>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</si>
  <si>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</si>
  <si>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</si>
  <si>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</si>
  <si>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</si>
  <si>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</si>
  <si>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</si>
  <si>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</si>
  <si>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</si>
  <si>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</si>
  <si>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</si>
  <si>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</si>
  <si>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</si>
  <si>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</si>
  <si>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</si>
  <si>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</si>
  <si>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</si>
  <si>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</si>
  <si>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</si>
  <si>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</si>
  <si>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</si>
  <si>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</si>
  <si>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</si>
  <si>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</si>
  <si>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</si>
  <si>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</si>
  <si>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</si>
  <si>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</si>
  <si>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</si>
  <si>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</si>
  <si>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</si>
  <si>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</si>
  <si>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</si>
  <si>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</si>
  <si>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</si>
  <si>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</si>
  <si>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</si>
  <si>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</si>
  <si>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</si>
  <si>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</si>
  <si>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</si>
  <si>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</si>
  <si>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</si>
  <si>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</si>
  <si>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</si>
  <si>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</si>
  <si>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</si>
  <si>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</si>
  <si>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</si>
  <si>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</si>
  <si>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</si>
  <si>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</si>
  <si>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</si>
  <si>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</si>
  <si>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</si>
  <si>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</si>
  <si>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</si>
  <si>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</si>
  <si>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</si>
  <si>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</si>
  <si>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</si>
  <si>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</si>
  <si>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</si>
  <si>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</si>
  <si>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</si>
  <si>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</si>
  <si>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</si>
  <si>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</si>
  <si>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</si>
  <si>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</si>
  <si>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</si>
  <si>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</si>
  <si>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</si>
  <si>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</si>
  <si>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</si>
  <si>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</si>
  <si>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</si>
  <si>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</si>
  <si>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</si>
  <si>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</si>
  <si>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</si>
  <si>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</si>
  <si>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</si>
  <si>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</si>
  <si>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</si>
  <si>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</si>
  <si>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</si>
  <si>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</si>
  <si>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</si>
  <si>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</si>
  <si>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</si>
  <si>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</si>
  <si>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</si>
  <si>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</si>
  <si>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</si>
  <si>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</si>
  <si>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</si>
  <si>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</si>
  <si>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</si>
  <si>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</si>
  <si>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</si>
  <si>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</si>
  <si>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</si>
  <si>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</si>
  <si>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</si>
  <si>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</si>
  <si>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</si>
  <si>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</si>
  <si>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</si>
  <si>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</si>
  <si>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</si>
  <si>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</si>
  <si>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</si>
  <si>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</si>
  <si>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</si>
  <si>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</si>
  <si>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</si>
  <si>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</si>
  <si>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</si>
  <si>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</si>
  <si>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</si>
  <si>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</si>
  <si>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</si>
  <si>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</si>
  <si>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</si>
  <si>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</si>
  <si>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</si>
  <si>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</si>
  <si>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</si>
  <si>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</si>
  <si>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</si>
  <si>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</si>
  <si>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</si>
  <si>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</si>
  <si>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</si>
  <si>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</si>
  <si>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</si>
  <si>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</si>
  <si>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</si>
  <si>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</si>
  <si>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</si>
  <si>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</si>
  <si>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</si>
  <si>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</si>
  <si>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</si>
  <si>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</si>
  <si>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</si>
  <si>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</si>
  <si>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</si>
  <si>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</si>
  <si>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</si>
  <si>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</si>
  <si>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</si>
  <si>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</si>
  <si>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</si>
  <si>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</si>
  <si>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</si>
  <si>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</si>
  <si>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</si>
  <si>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</si>
  <si>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</si>
  <si>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</si>
  <si>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</si>
  <si>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</si>
  <si>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</si>
  <si>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</si>
  <si>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</si>
  <si>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</si>
  <si>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</si>
  <si>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</si>
  <si>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</si>
  <si>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</si>
  <si>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</si>
  <si>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</si>
  <si>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</si>
  <si>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</si>
  <si>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</si>
  <si>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</si>
  <si>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</si>
  <si>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</si>
  <si>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</si>
  <si>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</si>
  <si>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</si>
  <si>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</si>
  <si>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</si>
  <si>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</si>
  <si>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</si>
  <si>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</si>
  <si>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</si>
  <si>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</si>
  <si>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</si>
  <si>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</si>
  <si>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</si>
  <si>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</si>
  <si>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</si>
  <si>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</si>
  <si>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</si>
  <si>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</si>
  <si>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</si>
  <si>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</si>
  <si>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</si>
  <si>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</si>
  <si>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</si>
  <si>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</si>
  <si>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</si>
  <si>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</si>
  <si>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</si>
  <si>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</si>
  <si>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</si>
  <si>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</si>
  <si>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</si>
  <si>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</si>
  <si>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</si>
  <si>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</si>
  <si>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</si>
  <si>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</si>
  <si>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</si>
  <si>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</si>
  <si>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</si>
  <si>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</si>
  <si>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</si>
  <si>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</si>
  <si>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</si>
  <si>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</si>
  <si>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</si>
  <si>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</si>
  <si>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</si>
  <si>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</si>
  <si>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</si>
  <si>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</si>
  <si>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</si>
  <si>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</si>
  <si>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</si>
  <si>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</si>
  <si>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</si>
  <si>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</si>
  <si>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</si>
  <si>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</si>
  <si>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</si>
  <si>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</si>
  <si>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</si>
  <si>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</si>
  <si>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</si>
  <si>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</si>
  <si>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</si>
  <si>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</si>
  <si>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</si>
  <si>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</si>
  <si>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</si>
  <si>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</si>
  <si>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</si>
  <si>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</si>
  <si>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</si>
  <si>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</si>
  <si>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</si>
  <si>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</si>
  <si>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</si>
  <si>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</si>
  <si>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</si>
  <si>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</si>
  <si>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</si>
  <si>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</si>
  <si>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</si>
  <si>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</si>
  <si>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</si>
  <si>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</si>
  <si>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</si>
  <si>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</si>
  <si>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</si>
  <si>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</si>
  <si>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</si>
  <si>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</si>
  <si>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</si>
  <si>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</si>
  <si>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</si>
  <si>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</si>
  <si>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</si>
  <si>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</si>
  <si>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</si>
  <si>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</si>
  <si>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</si>
  <si>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</si>
  <si>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</si>
  <si>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</si>
  <si>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</si>
  <si>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</si>
  <si>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</si>
  <si>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</si>
  <si>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</si>
  <si>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</si>
  <si>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</si>
  <si>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</si>
  <si>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</si>
  <si>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</si>
  <si>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</si>
  <si>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</si>
  <si>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</si>
  <si>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</si>
  <si>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</si>
  <si>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</si>
  <si>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</si>
  <si>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</si>
  <si>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</si>
  <si>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</si>
  <si>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</si>
  <si>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</si>
  <si>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</si>
  <si>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</si>
  <si>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</si>
  <si>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</si>
  <si>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</si>
  <si>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</si>
  <si>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</si>
  <si>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</si>
  <si>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</si>
  <si>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</si>
  <si>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</si>
  <si>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</si>
  <si>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</si>
  <si>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</si>
  <si>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</si>
  <si>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</si>
  <si>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</si>
  <si>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</si>
  <si>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</si>
  <si>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</si>
  <si>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</si>
  <si>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</si>
  <si>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</si>
  <si>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</si>
  <si>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</si>
  <si>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</si>
  <si>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</si>
  <si>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</si>
  <si>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</si>
  <si>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</si>
  <si>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</si>
  <si>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</si>
  <si>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</si>
  <si>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</si>
  <si>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</si>
  <si>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</si>
  <si>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</si>
  <si>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</si>
  <si>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</si>
  <si>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</si>
  <si>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</si>
  <si>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</si>
  <si>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</si>
  <si>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</si>
  <si>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</si>
  <si>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</si>
  <si>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</si>
  <si>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</si>
  <si>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</si>
  <si>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</si>
  <si>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</si>
  <si>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</si>
  <si>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</si>
  <si>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</si>
  <si>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</si>
  <si>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</si>
  <si>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</si>
  <si>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</si>
  <si>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</si>
  <si>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</si>
  <si>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</si>
  <si>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</si>
  <si>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</si>
  <si>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</si>
  <si>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</si>
  <si>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</si>
  <si>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</si>
  <si>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</si>
  <si>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</si>
  <si>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</si>
  <si>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</si>
  <si>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</si>
  <si>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</si>
  <si>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</si>
  <si>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</si>
  <si>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</si>
  <si>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</si>
  <si>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</si>
  <si>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</si>
  <si>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</si>
  <si>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</si>
  <si>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</si>
  <si>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</si>
  <si>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</si>
  <si>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</si>
  <si>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</si>
  <si>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</si>
  <si>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</si>
  <si>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</si>
  <si>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</si>
  <si>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</si>
  <si>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</si>
  <si>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</si>
  <si>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</si>
  <si>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</si>
  <si>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</si>
  <si>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</si>
  <si>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</si>
  <si>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</si>
  <si>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</si>
  <si>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</si>
  <si>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</si>
  <si>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</si>
  <si>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</si>
  <si>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</si>
  <si>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</si>
  <si>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</si>
  <si>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</si>
  <si>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</si>
  <si>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</si>
  <si>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</si>
  <si>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</si>
  <si>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</si>
  <si>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</si>
  <si>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</si>
  <si>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</si>
  <si>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</si>
  <si>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</si>
  <si>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</si>
  <si>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</si>
  <si>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</si>
  <si>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</si>
  <si>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</si>
  <si>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</si>
  <si>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</si>
  <si>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</si>
  <si>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</si>
  <si>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</si>
  <si>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</si>
  <si>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</si>
  <si>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</si>
  <si>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</si>
  <si>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</si>
  <si>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</si>
  <si>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</si>
  <si>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</si>
  <si>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</si>
  <si>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</si>
  <si>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</si>
  <si>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</si>
  <si>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</si>
  <si>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</si>
  <si>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</si>
  <si>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</si>
  <si>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</si>
  <si>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</si>
  <si>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</si>
  <si>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</si>
  <si>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</si>
  <si>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</si>
  <si>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</si>
  <si>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</si>
  <si>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</si>
  <si>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</si>
  <si>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</si>
  <si>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</si>
  <si>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</si>
  <si>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</si>
  <si>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</si>
  <si>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</si>
  <si>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</si>
  <si>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</si>
  <si>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</si>
  <si>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</si>
  <si>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</si>
  <si>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</si>
  <si>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</si>
  <si>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</si>
  <si>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</si>
  <si>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</si>
  <si>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</si>
  <si>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</si>
  <si>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</si>
  <si>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</si>
  <si>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</si>
  <si>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</si>
  <si>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</si>
  <si>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</si>
  <si>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</si>
  <si>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</si>
  <si>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</si>
  <si>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</si>
  <si>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</si>
  <si>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</si>
  <si>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</si>
  <si>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</si>
  <si>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</si>
  <si>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</si>
  <si>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</si>
  <si>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</si>
  <si>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</si>
  <si>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</si>
  <si>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</si>
  <si>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</si>
  <si>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</si>
  <si>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</si>
  <si>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</si>
  <si>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</si>
  <si>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</si>
  <si>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</si>
  <si>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</si>
  <si>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</si>
  <si>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</si>
  <si>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</si>
  <si>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</si>
  <si>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</si>
  <si>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</si>
  <si>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</si>
  <si>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</si>
  <si>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</si>
  <si>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</si>
  <si>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</si>
  <si>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</si>
  <si>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</si>
  <si>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</si>
  <si>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</si>
  <si>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</si>
  <si>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</si>
  <si>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</si>
  <si>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</si>
  <si>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</si>
  <si>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</si>
  <si>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</si>
  <si>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</si>
  <si>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</si>
  <si>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</si>
  <si>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</si>
  <si>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</si>
  <si>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</si>
  <si>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</si>
  <si>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</si>
  <si>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</si>
  <si>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</si>
  <si>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</si>
  <si>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</si>
  <si>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</si>
  <si>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</si>
  <si>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</si>
  <si>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</si>
  <si>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</si>
  <si>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</si>
  <si>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</si>
  <si>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</si>
  <si>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</si>
  <si>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</si>
  <si>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</si>
  <si>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</si>
  <si>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</si>
  <si>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</si>
  <si>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</si>
  <si>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</si>
  <si>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</si>
  <si>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</si>
  <si>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</si>
  <si>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</si>
  <si>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</si>
  <si>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</si>
  <si>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</si>
  <si>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</si>
  <si>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</si>
  <si>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</si>
  <si>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</si>
  <si>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</si>
  <si>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</si>
  <si>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</si>
  <si>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</si>
  <si>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</si>
  <si>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</si>
  <si>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</si>
  <si>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</si>
  <si>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</si>
  <si>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</si>
  <si>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</si>
  <si>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</si>
  <si>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</si>
  <si>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</si>
  <si>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</si>
  <si>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</si>
  <si>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</si>
  <si>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</si>
  <si>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</si>
  <si>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</si>
  <si>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</si>
  <si>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</si>
  <si>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</si>
  <si>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</si>
  <si>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</si>
  <si>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</si>
  <si>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</si>
  <si>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</si>
  <si>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</si>
  <si>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</si>
  <si>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</si>
  <si>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</si>
  <si>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</si>
  <si>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</si>
  <si>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</si>
  <si>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</si>
  <si>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</si>
  <si>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</si>
  <si>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</si>
  <si>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</si>
  <si>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</si>
  <si>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</si>
  <si>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</si>
  <si>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</si>
  <si>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</si>
  <si>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</si>
  <si>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</si>
  <si>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</si>
  <si>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</si>
  <si>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</si>
  <si>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</si>
  <si>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</si>
  <si>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</si>
  <si>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</si>
  <si>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</si>
  <si>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</si>
  <si>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</si>
  <si>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</si>
  <si>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</si>
  <si>
    <t>change done</t>
  </si>
  <si>
    <t>shows z(I,k), change accordingly</t>
  </si>
  <si>
    <t>Look to rule, will change this much</t>
  </si>
  <si>
    <t>looks correct, but indirect accesses need to be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</si>
</sst>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40</xdr:col>
      <xdr:colOff>1</xdr:colOff>
      <xdr:row>30</xdr:row>
      <xdr:rowOff>0</xdr:rowOff>
    </xdr:to>
    <xdr:sp macro="" textlink="">
      <xdr:nvSpPr>
        <xdr:cNvPr id="2" name="OpenSolver1">
          <a:extLst>
            <a:ext uri="{FF2B5EF4-FFF2-40B4-BE49-F238E27FC236}">
              <a16:creationId xmlns:a16="http://schemas.microsoft.com/office/drawing/2014/main" id="{D4ADB8D2-F83F-491F-8874-E16C9FA5C320}"/>
            </a:ext>
          </a:extLst>
        </xdr:cNvPr>
        <xdr:cNvSpPr/>
      </xdr:nvSpPr>
      <xdr:spPr>
        <a:xfrm>
          <a:off x="22258020" y="998220"/>
          <a:ext cx="382524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731519</xdr:colOff>
      <xdr:row>5</xdr:row>
      <xdr:rowOff>0</xdr:rowOff>
    </xdr:from>
    <xdr:to>
      <xdr:col>47</xdr:col>
      <xdr:colOff>0</xdr:colOff>
      <xdr:row>30</xdr:row>
      <xdr:rowOff>0</xdr:rowOff>
    </xdr:to>
    <xdr:sp macro="" textlink="">
      <xdr:nvSpPr>
        <xdr:cNvPr id="3" name="OpenSolver2">
          <a:extLst>
            <a:ext uri="{FF2B5EF4-FFF2-40B4-BE49-F238E27FC236}">
              <a16:creationId xmlns:a16="http://schemas.microsoft.com/office/drawing/2014/main" id="{C7E6380D-7381-4F0C-80DB-1EFAB09377C8}"/>
            </a:ext>
          </a:extLst>
        </xdr:cNvPr>
        <xdr:cNvSpPr/>
      </xdr:nvSpPr>
      <xdr:spPr>
        <a:xfrm>
          <a:off x="26814779" y="998220"/>
          <a:ext cx="3741421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678179</xdr:colOff>
      <xdr:row>5</xdr:row>
      <xdr:rowOff>0</xdr:rowOff>
    </xdr:from>
    <xdr:to>
      <xdr:col>53</xdr:col>
      <xdr:colOff>609599</xdr:colOff>
      <xdr:row>30</xdr:row>
      <xdr:rowOff>0</xdr:rowOff>
    </xdr:to>
    <xdr:sp macro="" textlink="">
      <xdr:nvSpPr>
        <xdr:cNvPr id="4" name="OpenSolver3">
          <a:extLst>
            <a:ext uri="{FF2B5EF4-FFF2-40B4-BE49-F238E27FC236}">
              <a16:creationId xmlns:a16="http://schemas.microsoft.com/office/drawing/2014/main" id="{6F9F13AA-82BF-4413-93EF-243ECBAEF64E}"/>
            </a:ext>
          </a:extLst>
        </xdr:cNvPr>
        <xdr:cNvSpPr/>
      </xdr:nvSpPr>
      <xdr:spPr>
        <a:xfrm>
          <a:off x="31234379" y="998220"/>
          <a:ext cx="36576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1</xdr:colOff>
      <xdr:row>5</xdr:row>
      <xdr:rowOff>0</xdr:rowOff>
    </xdr:from>
    <xdr:to>
      <xdr:col>61</xdr:col>
      <xdr:colOff>1</xdr:colOff>
      <xdr:row>30</xdr:row>
      <xdr:rowOff>0</xdr:rowOff>
    </xdr:to>
    <xdr:sp macro="" textlink="">
      <xdr:nvSpPr>
        <xdr:cNvPr id="5" name="OpenSolver4">
          <a:extLst>
            <a:ext uri="{FF2B5EF4-FFF2-40B4-BE49-F238E27FC236}">
              <a16:creationId xmlns:a16="http://schemas.microsoft.com/office/drawing/2014/main" id="{F8344392-6FDB-4857-83E2-782686A205D9}"/>
            </a:ext>
          </a:extLst>
        </xdr:cNvPr>
        <xdr:cNvSpPr/>
      </xdr:nvSpPr>
      <xdr:spPr>
        <a:xfrm>
          <a:off x="35570161" y="998220"/>
          <a:ext cx="3657600" cy="4953000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0</xdr:rowOff>
    </xdr:from>
    <xdr:to>
      <xdr:col>2</xdr:col>
      <xdr:colOff>0</xdr:colOff>
      <xdr:row>55</xdr:row>
      <xdr:rowOff>0</xdr:rowOff>
    </xdr:to>
    <xdr:sp macro="" textlink="">
      <xdr:nvSpPr>
        <xdr:cNvPr id="6" name="OpenSolver5">
          <a:extLst>
            <a:ext uri="{FF2B5EF4-FFF2-40B4-BE49-F238E27FC236}">
              <a16:creationId xmlns:a16="http://schemas.microsoft.com/office/drawing/2014/main" id="{F78CEF81-BF27-4762-859E-17F4A97E24B6}"/>
            </a:ext>
          </a:extLst>
        </xdr:cNvPr>
        <xdr:cNvSpPr/>
      </xdr:nvSpPr>
      <xdr:spPr>
        <a:xfrm>
          <a:off x="701040" y="10728960"/>
          <a:ext cx="784860" cy="20574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685800</xdr:colOff>
      <xdr:row>53</xdr:row>
      <xdr:rowOff>124460</xdr:rowOff>
    </xdr:from>
    <xdr:to>
      <xdr:col>1</xdr:col>
      <xdr:colOff>233995</xdr:colOff>
      <xdr:row>54</xdr:row>
      <xdr:rowOff>53340</xdr:rowOff>
    </xdr:to>
    <xdr:sp macro="" textlink="">
      <xdr:nvSpPr>
        <xdr:cNvPr id="7" name="OpenSolver6">
          <a:extLst>
            <a:ext uri="{FF2B5EF4-FFF2-40B4-BE49-F238E27FC236}">
              <a16:creationId xmlns:a16="http://schemas.microsoft.com/office/drawing/2014/main" id="{884EAA89-FADE-43AE-9138-5A4D65937818}"/>
            </a:ext>
          </a:extLst>
        </xdr:cNvPr>
        <xdr:cNvSpPr/>
      </xdr:nvSpPr>
      <xdr:spPr>
        <a:xfrm>
          <a:off x="685800" y="106553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1</xdr:rowOff>
    </xdr:to>
    <xdr:sp macro="" textlink="">
      <xdr:nvSpPr>
        <xdr:cNvPr id="8" name="OpenSolver7">
          <a:extLst>
            <a:ext uri="{FF2B5EF4-FFF2-40B4-BE49-F238E27FC236}">
              <a16:creationId xmlns:a16="http://schemas.microsoft.com/office/drawing/2014/main" id="{8054B9E6-5663-48F6-AE71-2F4A9B74F8E1}"/>
            </a:ext>
          </a:extLst>
        </xdr:cNvPr>
        <xdr:cNvSpPr/>
      </xdr:nvSpPr>
      <xdr:spPr>
        <a:xfrm>
          <a:off x="1485900" y="12329160"/>
          <a:ext cx="75438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1</xdr:rowOff>
    </xdr:to>
    <xdr:sp macro="" textlink="">
      <xdr:nvSpPr>
        <xdr:cNvPr id="9" name="OpenSolver8">
          <a:extLst>
            <a:ext uri="{FF2B5EF4-FFF2-40B4-BE49-F238E27FC236}">
              <a16:creationId xmlns:a16="http://schemas.microsoft.com/office/drawing/2014/main" id="{4C640A41-1ED6-4CCB-94FF-ADEC94F6B26A}"/>
            </a:ext>
          </a:extLst>
        </xdr:cNvPr>
        <xdr:cNvSpPr/>
      </xdr:nvSpPr>
      <xdr:spPr>
        <a:xfrm>
          <a:off x="31089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99061</xdr:rowOff>
    </xdr:from>
    <xdr:to>
      <xdr:col>4</xdr:col>
      <xdr:colOff>0</xdr:colOff>
      <xdr:row>74</xdr:row>
      <xdr:rowOff>99061</xdr:rowOff>
    </xdr:to>
    <xdr:cxnSp macro="">
      <xdr:nvCxnSpPr>
        <xdr:cNvPr id="10" name="OpenSolver9">
          <a:extLst>
            <a:ext uri="{FF2B5EF4-FFF2-40B4-BE49-F238E27FC236}">
              <a16:creationId xmlns:a16="http://schemas.microsoft.com/office/drawing/2014/main" id="{C7D3CD84-FBC1-4681-A8D2-68A408A40957}"/>
            </a:ext>
          </a:extLst>
        </xdr:cNvPr>
        <xdr:cNvCxnSpPr>
          <a:stCxn id="8" idx="3"/>
          <a:endCxn id="9" idx="1"/>
        </xdr:cNvCxnSpPr>
      </xdr:nvCxnSpPr>
      <xdr:spPr>
        <a:xfrm>
          <a:off x="2240280" y="14805661"/>
          <a:ext cx="868680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243840</xdr:colOff>
      <xdr:row>73</xdr:row>
      <xdr:rowOff>170181</xdr:rowOff>
    </xdr:from>
    <xdr:to>
      <xdr:col>3</xdr:col>
      <xdr:colOff>624840</xdr:colOff>
      <xdr:row>75</xdr:row>
      <xdr:rowOff>27941</xdr:rowOff>
    </xdr:to>
    <xdr:sp macro="" textlink="">
      <xdr:nvSpPr>
        <xdr:cNvPr id="11" name="OpenSolver10">
          <a:extLst>
            <a:ext uri="{FF2B5EF4-FFF2-40B4-BE49-F238E27FC236}">
              <a16:creationId xmlns:a16="http://schemas.microsoft.com/office/drawing/2014/main" id="{17AE76F4-3693-42F7-98B9-3C2A8926641D}"/>
            </a:ext>
          </a:extLst>
        </xdr:cNvPr>
        <xdr:cNvSpPr/>
      </xdr:nvSpPr>
      <xdr:spPr>
        <a:xfrm>
          <a:off x="248412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1</xdr:rowOff>
    </xdr:to>
    <xdr:sp macro="" textlink="">
      <xdr:nvSpPr>
        <xdr:cNvPr id="12" name="OpenSolver11">
          <a:extLst>
            <a:ext uri="{FF2B5EF4-FFF2-40B4-BE49-F238E27FC236}">
              <a16:creationId xmlns:a16="http://schemas.microsoft.com/office/drawing/2014/main" id="{29CD13D4-2BD5-4F6A-8AF5-EEE20EBE130F}"/>
            </a:ext>
          </a:extLst>
        </xdr:cNvPr>
        <xdr:cNvSpPr/>
      </xdr:nvSpPr>
      <xdr:spPr>
        <a:xfrm>
          <a:off x="51054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0</xdr:colOff>
      <xdr:row>62</xdr:row>
      <xdr:rowOff>0</xdr:rowOff>
    </xdr:from>
    <xdr:to>
      <xdr:col>10</xdr:col>
      <xdr:colOff>0</xdr:colOff>
      <xdr:row>87</xdr:row>
      <xdr:rowOff>1</xdr:rowOff>
    </xdr:to>
    <xdr:sp macro="" textlink="">
      <xdr:nvSpPr>
        <xdr:cNvPr id="13" name="OpenSolver12">
          <a:extLst>
            <a:ext uri="{FF2B5EF4-FFF2-40B4-BE49-F238E27FC236}">
              <a16:creationId xmlns:a16="http://schemas.microsoft.com/office/drawing/2014/main" id="{35153AB3-0FC7-4AB4-8C69-F04BB8A77318}"/>
            </a:ext>
          </a:extLst>
        </xdr:cNvPr>
        <xdr:cNvSpPr/>
      </xdr:nvSpPr>
      <xdr:spPr>
        <a:xfrm>
          <a:off x="65532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99061</xdr:rowOff>
    </xdr:from>
    <xdr:to>
      <xdr:col>9</xdr:col>
      <xdr:colOff>0</xdr:colOff>
      <xdr:row>74</xdr:row>
      <xdr:rowOff>99061</xdr:rowOff>
    </xdr:to>
    <xdr:cxnSp macro="">
      <xdr:nvCxnSpPr>
        <xdr:cNvPr id="14" name="OpenSolver13">
          <a:extLst>
            <a:ext uri="{FF2B5EF4-FFF2-40B4-BE49-F238E27FC236}">
              <a16:creationId xmlns:a16="http://schemas.microsoft.com/office/drawing/2014/main" id="{7B269DAE-D6D4-4A9B-9A53-078CD242E721}"/>
            </a:ext>
          </a:extLst>
        </xdr:cNvPr>
        <xdr:cNvCxnSpPr>
          <a:stCxn id="12" idx="3"/>
          <a:endCxn id="13" idx="1"/>
        </xdr:cNvCxnSpPr>
      </xdr:nvCxnSpPr>
      <xdr:spPr>
        <a:xfrm>
          <a:off x="5722620" y="14805661"/>
          <a:ext cx="830580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224790</xdr:colOff>
      <xdr:row>73</xdr:row>
      <xdr:rowOff>170181</xdr:rowOff>
    </xdr:from>
    <xdr:to>
      <xdr:col>8</xdr:col>
      <xdr:colOff>605790</xdr:colOff>
      <xdr:row>75</xdr:row>
      <xdr:rowOff>27941</xdr:rowOff>
    </xdr:to>
    <xdr:sp macro="" textlink="">
      <xdr:nvSpPr>
        <xdr:cNvPr id="15" name="OpenSolver14">
          <a:extLst>
            <a:ext uri="{FF2B5EF4-FFF2-40B4-BE49-F238E27FC236}">
              <a16:creationId xmlns:a16="http://schemas.microsoft.com/office/drawing/2014/main" id="{27F1E9CD-B4E7-4F2D-985E-E3754055981B}"/>
            </a:ext>
          </a:extLst>
        </xdr:cNvPr>
        <xdr:cNvSpPr/>
      </xdr:nvSpPr>
      <xdr:spPr>
        <a:xfrm>
          <a:off x="594741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1</xdr:rowOff>
    </xdr:to>
    <xdr:sp macro="" textlink="">
      <xdr:nvSpPr>
        <xdr:cNvPr id="16" name="OpenSolver15">
          <a:extLst>
            <a:ext uri="{FF2B5EF4-FFF2-40B4-BE49-F238E27FC236}">
              <a16:creationId xmlns:a16="http://schemas.microsoft.com/office/drawing/2014/main" id="{F4DC7754-A8BD-4B5C-976D-1BE13FC599C8}"/>
            </a:ext>
          </a:extLst>
        </xdr:cNvPr>
        <xdr:cNvSpPr/>
      </xdr:nvSpPr>
      <xdr:spPr>
        <a:xfrm>
          <a:off x="840486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1</xdr:rowOff>
    </xdr:to>
    <xdr:sp macro="" textlink="">
      <xdr:nvSpPr>
        <xdr:cNvPr id="17" name="OpenSolver16">
          <a:extLst>
            <a:ext uri="{FF2B5EF4-FFF2-40B4-BE49-F238E27FC236}">
              <a16:creationId xmlns:a16="http://schemas.microsoft.com/office/drawing/2014/main" id="{774C6688-1826-4E59-85E6-8F1ED731AF13}"/>
            </a:ext>
          </a:extLst>
        </xdr:cNvPr>
        <xdr:cNvSpPr/>
      </xdr:nvSpPr>
      <xdr:spPr>
        <a:xfrm>
          <a:off x="9639300" y="12329160"/>
          <a:ext cx="617220" cy="4953001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99061</xdr:rowOff>
    </xdr:from>
    <xdr:to>
      <xdr:col>14</xdr:col>
      <xdr:colOff>0</xdr:colOff>
      <xdr:row>74</xdr:row>
      <xdr:rowOff>99061</xdr:rowOff>
    </xdr:to>
    <xdr:cxnSp macro="">
      <xdr:nvCxnSpPr>
        <xdr:cNvPr id="18" name="OpenSolver17">
          <a:extLst>
            <a:ext uri="{FF2B5EF4-FFF2-40B4-BE49-F238E27FC236}">
              <a16:creationId xmlns:a16="http://schemas.microsoft.com/office/drawing/2014/main" id="{8C1C233D-F7D0-4417-9AD9-3F2C8324F401}"/>
            </a:ext>
          </a:extLst>
        </xdr:cNvPr>
        <xdr:cNvCxnSpPr>
          <a:stCxn id="16" idx="3"/>
          <a:endCxn id="17" idx="1"/>
        </xdr:cNvCxnSpPr>
      </xdr:nvCxnSpPr>
      <xdr:spPr>
        <a:xfrm>
          <a:off x="9022080" y="14805661"/>
          <a:ext cx="617220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118110</xdr:colOff>
      <xdr:row>73</xdr:row>
      <xdr:rowOff>170181</xdr:rowOff>
    </xdr:from>
    <xdr:to>
      <xdr:col>13</xdr:col>
      <xdr:colOff>499110</xdr:colOff>
      <xdr:row>75</xdr:row>
      <xdr:rowOff>27941</xdr:rowOff>
    </xdr:to>
    <xdr:sp macro="" textlink="">
      <xdr:nvSpPr>
        <xdr:cNvPr id="19" name="OpenSolver18">
          <a:extLst>
            <a:ext uri="{FF2B5EF4-FFF2-40B4-BE49-F238E27FC236}">
              <a16:creationId xmlns:a16="http://schemas.microsoft.com/office/drawing/2014/main" id="{ADCAB3F0-BECD-4CF7-AD43-33559AD0985F}"/>
            </a:ext>
          </a:extLst>
        </xdr:cNvPr>
        <xdr:cNvSpPr/>
      </xdr:nvSpPr>
      <xdr:spPr>
        <a:xfrm>
          <a:off x="9140190" y="14678661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17</xdr:col>
      <xdr:colOff>617219</xdr:colOff>
      <xdr:row>68</xdr:row>
      <xdr:rowOff>0</xdr:rowOff>
    </xdr:to>
    <xdr:sp macro="" textlink="">
      <xdr:nvSpPr>
        <xdr:cNvPr id="20" name="OpenSolver19">
          <a:extLst>
            <a:ext uri="{FF2B5EF4-FFF2-40B4-BE49-F238E27FC236}">
              <a16:creationId xmlns:a16="http://schemas.microsoft.com/office/drawing/2014/main" id="{7A58AFC1-7B62-41BA-B192-DA9A43F70CF2}"/>
            </a:ext>
          </a:extLst>
        </xdr:cNvPr>
        <xdr:cNvSpPr/>
      </xdr:nvSpPr>
      <xdr:spPr>
        <a:xfrm>
          <a:off x="11551920" y="12329160"/>
          <a:ext cx="617219" cy="118872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1</xdr:colOff>
      <xdr:row>68</xdr:row>
      <xdr:rowOff>0</xdr:rowOff>
    </xdr:to>
    <xdr:sp macro="" textlink="">
      <xdr:nvSpPr>
        <xdr:cNvPr id="21" name="OpenSolver20">
          <a:extLst>
            <a:ext uri="{FF2B5EF4-FFF2-40B4-BE49-F238E27FC236}">
              <a16:creationId xmlns:a16="http://schemas.microsoft.com/office/drawing/2014/main" id="{91EF5240-663B-43D6-97D8-E718C554E63B}"/>
            </a:ext>
          </a:extLst>
        </xdr:cNvPr>
        <xdr:cNvSpPr/>
      </xdr:nvSpPr>
      <xdr:spPr>
        <a:xfrm>
          <a:off x="12778740" y="12329160"/>
          <a:ext cx="617221" cy="1188720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17</xdr:col>
      <xdr:colOff>617219</xdr:colOff>
      <xdr:row>65</xdr:row>
      <xdr:rowOff>0</xdr:rowOff>
    </xdr:from>
    <xdr:to>
      <xdr:col>19</xdr:col>
      <xdr:colOff>0</xdr:colOff>
      <xdr:row>65</xdr:row>
      <xdr:rowOff>0</xdr:rowOff>
    </xdr:to>
    <xdr:cxnSp macro="">
      <xdr:nvCxnSpPr>
        <xdr:cNvPr id="22" name="OpenSolver21">
          <a:extLst>
            <a:ext uri="{FF2B5EF4-FFF2-40B4-BE49-F238E27FC236}">
              <a16:creationId xmlns:a16="http://schemas.microsoft.com/office/drawing/2014/main" id="{046FF96E-97F5-4249-BAC1-8B41D083B8CF}"/>
            </a:ext>
          </a:extLst>
        </xdr:cNvPr>
        <xdr:cNvCxnSpPr>
          <a:stCxn id="20" idx="3"/>
          <a:endCxn id="21" idx="1"/>
        </xdr:cNvCxnSpPr>
      </xdr:nvCxnSpPr>
      <xdr:spPr>
        <a:xfrm>
          <a:off x="12169139" y="12923520"/>
          <a:ext cx="609601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114300</xdr:colOff>
      <xdr:row>64</xdr:row>
      <xdr:rowOff>71120</xdr:rowOff>
    </xdr:from>
    <xdr:to>
      <xdr:col>18</xdr:col>
      <xdr:colOff>495300</xdr:colOff>
      <xdr:row>65</xdr:row>
      <xdr:rowOff>127000</xdr:rowOff>
    </xdr:to>
    <xdr:sp macro="" textlink="">
      <xdr:nvSpPr>
        <xdr:cNvPr id="23" name="OpenSolver22">
          <a:extLst>
            <a:ext uri="{FF2B5EF4-FFF2-40B4-BE49-F238E27FC236}">
              <a16:creationId xmlns:a16="http://schemas.microsoft.com/office/drawing/2014/main" id="{3591D113-7125-4905-98CC-8D221D4DF4DD}"/>
            </a:ext>
          </a:extLst>
        </xdr:cNvPr>
        <xdr:cNvSpPr/>
      </xdr:nvSpPr>
      <xdr:spPr>
        <a:xfrm>
          <a:off x="12283440" y="1279652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65</xdr:row>
      <xdr:rowOff>198119</xdr:rowOff>
    </xdr:to>
    <xdr:sp macro="" textlink="">
      <xdr:nvSpPr>
        <xdr:cNvPr id="24" name="OpenSolver23">
          <a:extLst>
            <a:ext uri="{FF2B5EF4-FFF2-40B4-BE49-F238E27FC236}">
              <a16:creationId xmlns:a16="http://schemas.microsoft.com/office/drawing/2014/main" id="{A42858C9-ECAF-4FC3-87F0-0682F12D20CA}"/>
            </a:ext>
          </a:extLst>
        </xdr:cNvPr>
        <xdr:cNvSpPr/>
      </xdr:nvSpPr>
      <xdr:spPr>
        <a:xfrm>
          <a:off x="1462278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65</xdr:row>
      <xdr:rowOff>198119</xdr:rowOff>
    </xdr:to>
    <xdr:sp macro="" textlink="">
      <xdr:nvSpPr>
        <xdr:cNvPr id="25" name="OpenSolver24">
          <a:extLst>
            <a:ext uri="{FF2B5EF4-FFF2-40B4-BE49-F238E27FC236}">
              <a16:creationId xmlns:a16="http://schemas.microsoft.com/office/drawing/2014/main" id="{11B07CEC-56F5-4C12-9F43-6D39D10E078D}"/>
            </a:ext>
          </a:extLst>
        </xdr:cNvPr>
        <xdr:cNvSpPr/>
      </xdr:nvSpPr>
      <xdr:spPr>
        <a:xfrm>
          <a:off x="15925800" y="12329160"/>
          <a:ext cx="617220" cy="792479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0</xdr:rowOff>
    </xdr:from>
    <xdr:to>
      <xdr:col>24</xdr:col>
      <xdr:colOff>0</xdr:colOff>
      <xdr:row>64</xdr:row>
      <xdr:rowOff>0</xdr:rowOff>
    </xdr:to>
    <xdr:cxnSp macro="">
      <xdr:nvCxnSpPr>
        <xdr:cNvPr id="26" name="OpenSolver25">
          <a:extLst>
            <a:ext uri="{FF2B5EF4-FFF2-40B4-BE49-F238E27FC236}">
              <a16:creationId xmlns:a16="http://schemas.microsoft.com/office/drawing/2014/main" id="{4E4D19BC-78FE-47CC-BD48-863577023436}"/>
            </a:ext>
          </a:extLst>
        </xdr:cNvPr>
        <xdr:cNvCxnSpPr>
          <a:stCxn id="24" idx="3"/>
          <a:endCxn id="25" idx="1"/>
        </xdr:cNvCxnSpPr>
      </xdr:nvCxnSpPr>
      <xdr:spPr>
        <a:xfrm>
          <a:off x="15240000" y="12725400"/>
          <a:ext cx="685800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63</xdr:row>
      <xdr:rowOff>71120</xdr:rowOff>
    </xdr:from>
    <xdr:to>
      <xdr:col>23</xdr:col>
      <xdr:colOff>533400</xdr:colOff>
      <xdr:row>64</xdr:row>
      <xdr:rowOff>127000</xdr:rowOff>
    </xdr:to>
    <xdr:sp macro="" textlink="">
      <xdr:nvSpPr>
        <xdr:cNvPr id="27" name="OpenSolver26">
          <a:extLst>
            <a:ext uri="{FF2B5EF4-FFF2-40B4-BE49-F238E27FC236}">
              <a16:creationId xmlns:a16="http://schemas.microsoft.com/office/drawing/2014/main" id="{C8AE7730-51C6-4ADE-9B82-7DAAB17C4D42}"/>
            </a:ext>
          </a:extLst>
        </xdr:cNvPr>
        <xdr:cNvSpPr/>
      </xdr:nvSpPr>
      <xdr:spPr>
        <a:xfrm>
          <a:off x="15392400" y="1259840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25</xdr:col>
      <xdr:colOff>617219</xdr:colOff>
      <xdr:row>62</xdr:row>
      <xdr:rowOff>0</xdr:rowOff>
    </xdr:from>
    <xdr:to>
      <xdr:col>31</xdr:col>
      <xdr:colOff>617219</xdr:colOff>
      <xdr:row>65</xdr:row>
      <xdr:rowOff>0</xdr:rowOff>
    </xdr:to>
    <xdr:sp macro="" textlink="">
      <xdr:nvSpPr>
        <xdr:cNvPr id="28" name="OpenSolver27">
          <a:extLst>
            <a:ext uri="{FF2B5EF4-FFF2-40B4-BE49-F238E27FC236}">
              <a16:creationId xmlns:a16="http://schemas.microsoft.com/office/drawing/2014/main" id="{65CE4653-4531-4249-98CE-7EF11DA375A9}"/>
            </a:ext>
          </a:extLst>
        </xdr:cNvPr>
        <xdr:cNvSpPr/>
      </xdr:nvSpPr>
      <xdr:spPr>
        <a:xfrm>
          <a:off x="17160239" y="12329160"/>
          <a:ext cx="3749040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38</xdr:col>
      <xdr:colOff>617219</xdr:colOff>
      <xdr:row>65</xdr:row>
      <xdr:rowOff>0</xdr:rowOff>
    </xdr:to>
    <xdr:sp macro="" textlink="">
      <xdr:nvSpPr>
        <xdr:cNvPr id="29" name="OpenSolver28">
          <a:extLst>
            <a:ext uri="{FF2B5EF4-FFF2-40B4-BE49-F238E27FC236}">
              <a16:creationId xmlns:a16="http://schemas.microsoft.com/office/drawing/2014/main" id="{F4C67EAB-D846-47C3-B698-1D96B4795FD9}"/>
            </a:ext>
          </a:extLst>
        </xdr:cNvPr>
        <xdr:cNvSpPr/>
      </xdr:nvSpPr>
      <xdr:spPr>
        <a:xfrm>
          <a:off x="21526500" y="12329160"/>
          <a:ext cx="3939539" cy="594360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tr-TR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31</xdr:col>
      <xdr:colOff>617219</xdr:colOff>
      <xdr:row>63</xdr:row>
      <xdr:rowOff>99060</xdr:rowOff>
    </xdr:from>
    <xdr:to>
      <xdr:col>33</xdr:col>
      <xdr:colOff>0</xdr:colOff>
      <xdr:row>63</xdr:row>
      <xdr:rowOff>99060</xdr:rowOff>
    </xdr:to>
    <xdr:cxnSp macro="">
      <xdr:nvCxnSpPr>
        <xdr:cNvPr id="30" name="OpenSolver29">
          <a:extLst>
            <a:ext uri="{FF2B5EF4-FFF2-40B4-BE49-F238E27FC236}">
              <a16:creationId xmlns:a16="http://schemas.microsoft.com/office/drawing/2014/main" id="{A31021F7-5A19-4AEF-B399-D6B38D8AA9A0}"/>
            </a:ext>
          </a:extLst>
        </xdr:cNvPr>
        <xdr:cNvCxnSpPr>
          <a:stCxn id="28" idx="3"/>
          <a:endCxn id="29" idx="1"/>
        </xdr:cNvCxnSpPr>
      </xdr:nvCxnSpPr>
      <xdr:spPr>
        <a:xfrm>
          <a:off x="20909279" y="12626340"/>
          <a:ext cx="617221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118111</xdr:colOff>
      <xdr:row>62</xdr:row>
      <xdr:rowOff>170180</xdr:rowOff>
    </xdr:from>
    <xdr:to>
      <xdr:col>32</xdr:col>
      <xdr:colOff>499111</xdr:colOff>
      <xdr:row>64</xdr:row>
      <xdr:rowOff>27940</xdr:rowOff>
    </xdr:to>
    <xdr:sp macro="" textlink="">
      <xdr:nvSpPr>
        <xdr:cNvPr id="31" name="OpenSolver30">
          <a:extLst>
            <a:ext uri="{FF2B5EF4-FFF2-40B4-BE49-F238E27FC236}">
              <a16:creationId xmlns:a16="http://schemas.microsoft.com/office/drawing/2014/main" id="{B8C9C7D4-6B89-478C-ABB8-98B5C06A0FF3}"/>
            </a:ext>
          </a:extLst>
        </xdr:cNvPr>
        <xdr:cNvSpPr/>
      </xdr:nvSpPr>
      <xdr:spPr>
        <a:xfrm>
          <a:off x="21027391" y="12499340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40</xdr:col>
      <xdr:colOff>1</xdr:colOff>
      <xdr:row>30</xdr:row>
      <xdr:rowOff>0</xdr:rowOff>
    </xdr:to>
    <xdr:sp macro="" textlink="">
      <xdr:nvSpPr>
        <xdr:cNvPr id="32" name="OpenSolver31">
          <a:extLst>
            <a:ext uri="{FF2B5EF4-FFF2-40B4-BE49-F238E27FC236}">
              <a16:creationId xmlns:a16="http://schemas.microsoft.com/office/drawing/2014/main" id="{AAAD26DF-238C-4378-B82C-003B4F76676C}"/>
            </a:ext>
          </a:extLst>
        </xdr:cNvPr>
        <xdr:cNvSpPr/>
      </xdr:nvSpPr>
      <xdr:spPr>
        <a:xfrm>
          <a:off x="22270720" y="1010920"/>
          <a:ext cx="381254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5080</xdr:colOff>
      <xdr:row>4</xdr:row>
      <xdr:rowOff>139700</xdr:rowOff>
    </xdr:from>
    <xdr:to>
      <xdr:col>34</xdr:col>
      <xdr:colOff>326322</xdr:colOff>
      <xdr:row>5</xdr:row>
      <xdr:rowOff>68580</xdr:rowOff>
    </xdr:to>
    <xdr:sp macro="" textlink="">
      <xdr:nvSpPr>
        <xdr:cNvPr id="33" name="OpenSolver32">
          <a:extLst>
            <a:ext uri="{FF2B5EF4-FFF2-40B4-BE49-F238E27FC236}">
              <a16:creationId xmlns:a16="http://schemas.microsoft.com/office/drawing/2014/main" id="{CB9A4E30-2B29-4425-99ED-732FC89107C3}"/>
            </a:ext>
          </a:extLst>
        </xdr:cNvPr>
        <xdr:cNvSpPr/>
      </xdr:nvSpPr>
      <xdr:spPr>
        <a:xfrm>
          <a:off x="22263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12699</xdr:colOff>
      <xdr:row>5</xdr:row>
      <xdr:rowOff>12700</xdr:rowOff>
    </xdr:from>
    <xdr:to>
      <xdr:col>47</xdr:col>
      <xdr:colOff>0</xdr:colOff>
      <xdr:row>30</xdr:row>
      <xdr:rowOff>0</xdr:rowOff>
    </xdr:to>
    <xdr:sp macro="" textlink="">
      <xdr:nvSpPr>
        <xdr:cNvPr id="34" name="OpenSolver33">
          <a:extLst>
            <a:ext uri="{FF2B5EF4-FFF2-40B4-BE49-F238E27FC236}">
              <a16:creationId xmlns:a16="http://schemas.microsoft.com/office/drawing/2014/main" id="{0E51D67B-A188-40EB-95E7-5E3B041D7AB1}"/>
            </a:ext>
          </a:extLst>
        </xdr:cNvPr>
        <xdr:cNvSpPr/>
      </xdr:nvSpPr>
      <xdr:spPr>
        <a:xfrm>
          <a:off x="26827479" y="1010920"/>
          <a:ext cx="3728721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726440</xdr:colOff>
      <xdr:row>4</xdr:row>
      <xdr:rowOff>139700</xdr:rowOff>
    </xdr:from>
    <xdr:to>
      <xdr:col>41</xdr:col>
      <xdr:colOff>316162</xdr:colOff>
      <xdr:row>5</xdr:row>
      <xdr:rowOff>68580</xdr:rowOff>
    </xdr:to>
    <xdr:sp macro="" textlink="">
      <xdr:nvSpPr>
        <xdr:cNvPr id="35" name="OpenSolver34">
          <a:extLst>
            <a:ext uri="{FF2B5EF4-FFF2-40B4-BE49-F238E27FC236}">
              <a16:creationId xmlns:a16="http://schemas.microsoft.com/office/drawing/2014/main" id="{5160659E-FFA7-4A24-9E9B-BF68EEE2C9A8}"/>
            </a:ext>
          </a:extLst>
        </xdr:cNvPr>
        <xdr:cNvSpPr/>
      </xdr:nvSpPr>
      <xdr:spPr>
        <a:xfrm>
          <a:off x="26809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12699</xdr:colOff>
      <xdr:row>5</xdr:row>
      <xdr:rowOff>12700</xdr:rowOff>
    </xdr:from>
    <xdr:to>
      <xdr:col>53</xdr:col>
      <xdr:colOff>609599</xdr:colOff>
      <xdr:row>30</xdr:row>
      <xdr:rowOff>0</xdr:rowOff>
    </xdr:to>
    <xdr:sp macro="" textlink="">
      <xdr:nvSpPr>
        <xdr:cNvPr id="36" name="OpenSolver35">
          <a:extLst>
            <a:ext uri="{FF2B5EF4-FFF2-40B4-BE49-F238E27FC236}">
              <a16:creationId xmlns:a16="http://schemas.microsoft.com/office/drawing/2014/main" id="{71B0DEEB-2A32-41CD-B273-958F842CF93E}"/>
            </a:ext>
          </a:extLst>
        </xdr:cNvPr>
        <xdr:cNvSpPr/>
      </xdr:nvSpPr>
      <xdr:spPr>
        <a:xfrm>
          <a:off x="31247079" y="1010920"/>
          <a:ext cx="36449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47</xdr:col>
      <xdr:colOff>673100</xdr:colOff>
      <xdr:row>4</xdr:row>
      <xdr:rowOff>139700</xdr:rowOff>
    </xdr:from>
    <xdr:to>
      <xdr:col>48</xdr:col>
      <xdr:colOff>316162</xdr:colOff>
      <xdr:row>5</xdr:row>
      <xdr:rowOff>68580</xdr:rowOff>
    </xdr:to>
    <xdr:sp macro="" textlink="">
      <xdr:nvSpPr>
        <xdr:cNvPr id="37" name="OpenSolver36">
          <a:extLst>
            <a:ext uri="{FF2B5EF4-FFF2-40B4-BE49-F238E27FC236}">
              <a16:creationId xmlns:a16="http://schemas.microsoft.com/office/drawing/2014/main" id="{5C77DA59-5162-4AD5-B004-E96BC1CED593}"/>
            </a:ext>
          </a:extLst>
        </xdr:cNvPr>
        <xdr:cNvSpPr/>
      </xdr:nvSpPr>
      <xdr:spPr>
        <a:xfrm>
          <a:off x="312293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12701</xdr:colOff>
      <xdr:row>5</xdr:row>
      <xdr:rowOff>12700</xdr:rowOff>
    </xdr:from>
    <xdr:to>
      <xdr:col>61</xdr:col>
      <xdr:colOff>1</xdr:colOff>
      <xdr:row>30</xdr:row>
      <xdr:rowOff>0</xdr:rowOff>
    </xdr:to>
    <xdr:sp macro="" textlink="">
      <xdr:nvSpPr>
        <xdr:cNvPr id="38" name="OpenSolver37">
          <a:extLst>
            <a:ext uri="{FF2B5EF4-FFF2-40B4-BE49-F238E27FC236}">
              <a16:creationId xmlns:a16="http://schemas.microsoft.com/office/drawing/2014/main" id="{212DB04E-47D4-4565-B9F0-8488C897B7CD}"/>
            </a:ext>
          </a:extLst>
        </xdr:cNvPr>
        <xdr:cNvSpPr/>
      </xdr:nvSpPr>
      <xdr:spPr>
        <a:xfrm>
          <a:off x="35582861" y="1010920"/>
          <a:ext cx="3644900" cy="4940300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tr-TR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2540</xdr:colOff>
      <xdr:row>4</xdr:row>
      <xdr:rowOff>139700</xdr:rowOff>
    </xdr:from>
    <xdr:to>
      <xdr:col>55</xdr:col>
      <xdr:colOff>323782</xdr:colOff>
      <xdr:row>5</xdr:row>
      <xdr:rowOff>68580</xdr:rowOff>
    </xdr:to>
    <xdr:sp macro="" textlink="">
      <xdr:nvSpPr>
        <xdr:cNvPr id="39" name="OpenSolver38">
          <a:extLst>
            <a:ext uri="{FF2B5EF4-FFF2-40B4-BE49-F238E27FC236}">
              <a16:creationId xmlns:a16="http://schemas.microsoft.com/office/drawing/2014/main" id="{FBE66734-E755-4EEC-B896-BE69E55474B9}"/>
            </a:ext>
          </a:extLst>
        </xdr:cNvPr>
        <xdr:cNvSpPr/>
      </xdr:nvSpPr>
      <xdr:spPr>
        <a:xfrm>
          <a:off x="355727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tr-TR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4.4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ht="15" x14ac:dyDescent="0.3">
      <c r="A1" s="56" t="s">
        <v>40</v>
      </c>
    </row>
    <row r="2" spans="1:8" ht="15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ht="15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ht="15" x14ac:dyDescent="0.3">
      <c r="B4" s="46"/>
      <c r="C4" s="46"/>
      <c r="D4" s="46"/>
      <c r="E4" s="46"/>
      <c r="F4" s="46"/>
      <c r="G4" s="46"/>
      <c r="H4" s="46"/>
    </row>
    <row r="5" spans="1:8" ht="15.7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.7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ht="15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ht="15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ht="15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ht="15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ht="15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ht="15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ht="15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ht="15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ht="15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ht="15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ht="15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ht="15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ht="15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ht="15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ht="15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ht="15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ht="15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ht="15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ht="15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ht="15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ht="15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ht="15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37" zoomScale="64" zoomScaleNormal="55" workbookViewId="0">
      <selection activeCell="W66" sqref="W66"/>
    </sheetView>
  </sheetViews>
  <sheetFormatPr defaultRowHeight="15.6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2" ht="16.350000000000001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2" ht="15.75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2" ht="15.75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2" ht="15.75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2" ht="15.75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>
        <v>6</v>
      </c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16">
        <v>6</v>
      </c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16">
        <v>6</v>
      </c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16">
        <v>6</v>
      </c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I5" s="16">
        <v>6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16">
        <v>6</v>
      </c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16">
        <v>6</v>
      </c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  <c r="CD5" s="19">
        <v>6</v>
      </c>
    </row>
    <row r="6" spans="2:82" ht="15.75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>
        <f t="shared" ref="AF6:AF30" si="0">$F$38/$I6-MOD($F$38/$I6,1)</f>
        <v>3</v>
      </c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6">
        <v>0</v>
      </c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6">
        <v>0</v>
      </c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I6" s="16">
        <v>0</v>
      </c>
      <c r="BJ6" s="22">
        <v>1</v>
      </c>
      <c r="BK6" s="16">
        <f>AI6+AP6+AW6+BD6</f>
        <v>0</v>
      </c>
      <c r="BL6" s="16">
        <f t="shared" ref="BL6:BN6" si="1">AJ6+AQ6+AX6+BE6</f>
        <v>0</v>
      </c>
      <c r="BM6" s="16">
        <f t="shared" si="1"/>
        <v>0</v>
      </c>
      <c r="BN6" s="16">
        <f t="shared" si="1"/>
        <v>1</v>
      </c>
      <c r="BO6" s="16">
        <f>AM6+AT6+BA6+BH6</f>
        <v>0</v>
      </c>
      <c r="BP6" s="16">
        <f>AN6+AU6+BB6+BI6</f>
        <v>0</v>
      </c>
      <c r="BQ6" s="23">
        <v>1</v>
      </c>
      <c r="BR6" s="16">
        <f>AI6+AP6*2+AW6*3+BD6*4</f>
        <v>0</v>
      </c>
      <c r="BS6" s="16">
        <f t="shared" ref="BS6:BU6" si="2">AJ6+AQ6*2+AX6*3+BE6*4</f>
        <v>0</v>
      </c>
      <c r="BT6" s="16">
        <f t="shared" si="2"/>
        <v>0</v>
      </c>
      <c r="BU6" s="16">
        <f t="shared" si="2"/>
        <v>1</v>
      </c>
      <c r="BV6" s="16">
        <f>AM6+AT6*2+BA6*3+BH6*4</f>
        <v>0</v>
      </c>
      <c r="BW6" s="16">
        <f>AN6+AU6*2+BB6*3+BI6*4</f>
        <v>0</v>
      </c>
      <c r="BX6" s="23">
        <v>1</v>
      </c>
      <c r="BY6" s="16">
        <f>AI6+AP6*POWER(2,$O6)+AW6*POWER(3,$O6)+BD6*POWER(4,$O6)</f>
        <v>0</v>
      </c>
      <c r="BZ6" s="16">
        <f t="shared" ref="BZ6:CD6" si="3">AJ6+AQ6*POWER(2,$O6)+AX6*POWER(3,$O6)+BE6*POWER(4,$O6)</f>
        <v>0</v>
      </c>
      <c r="CA6" s="16">
        <f t="shared" si="3"/>
        <v>0</v>
      </c>
      <c r="CB6" s="16">
        <f t="shared" si="3"/>
        <v>1</v>
      </c>
      <c r="CC6" s="19">
        <f t="shared" si="3"/>
        <v>0</v>
      </c>
      <c r="CD6" s="19">
        <f t="shared" si="3"/>
        <v>0</v>
      </c>
    </row>
    <row r="7" spans="2:82" ht="15.75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4">$F$33/$I7-MOD($F$33/$I7,1)</f>
        <v>5</v>
      </c>
      <c r="AB7" s="16">
        <f t="shared" ref="AB7:AB30" si="5">$F$34/$I7-MOD($F$34/$I7,1)</f>
        <v>5</v>
      </c>
      <c r="AC7" s="16">
        <f t="shared" ref="AC7:AC30" si="6">$F$35/$I7-MOD($F$35/$I7,1)</f>
        <v>4</v>
      </c>
      <c r="AD7" s="16">
        <f t="shared" ref="AD7:AD29" si="7">$F$36/$I7-MOD($F$36/$I7,1)</f>
        <v>4</v>
      </c>
      <c r="AE7" s="16">
        <f t="shared" ref="AE7:AE30" si="8">$F$37/$I7-MOD($F$37/$I7,1)</f>
        <v>4</v>
      </c>
      <c r="AF7" s="9">
        <f t="shared" si="0"/>
        <v>4</v>
      </c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16">
        <v>0</v>
      </c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6">
        <v>0</v>
      </c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6">
        <v>0</v>
      </c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I7" s="16">
        <v>0</v>
      </c>
      <c r="BJ7" s="22">
        <v>2</v>
      </c>
      <c r="BK7" s="16">
        <f t="shared" ref="BK7:BK30" si="9">AI7+AP7+AW7+BD7</f>
        <v>0</v>
      </c>
      <c r="BL7" s="16">
        <f t="shared" ref="BL7:BL30" si="10">AJ7+AQ7+AX7+BE7</f>
        <v>0</v>
      </c>
      <c r="BM7" s="16">
        <f t="shared" ref="BM7:BM30" si="11">AK7+AR7+AY7+BF7</f>
        <v>0</v>
      </c>
      <c r="BN7" s="16">
        <f t="shared" ref="BN7:BN30" si="12">AL7+AS7+AZ7+BG7</f>
        <v>0</v>
      </c>
      <c r="BO7" s="16">
        <f t="shared" ref="BO7:BP30" si="13">AM7+AT7+BA7+BH7</f>
        <v>1</v>
      </c>
      <c r="BP7" s="16">
        <f t="shared" si="13"/>
        <v>0</v>
      </c>
      <c r="BQ7" s="23">
        <v>2</v>
      </c>
      <c r="BR7" s="16">
        <f t="shared" ref="BR7:BR30" si="14">AI7+AP7*2+AW7*3+BD7*4</f>
        <v>0</v>
      </c>
      <c r="BS7" s="16">
        <f t="shared" ref="BS7:BS30" si="15">AJ7+AQ7*2+AX7*3+BE7*4</f>
        <v>0</v>
      </c>
      <c r="BT7" s="16">
        <f t="shared" ref="BT7:BT30" si="16">AK7+AR7*2+AY7*3+BF7*4</f>
        <v>0</v>
      </c>
      <c r="BU7" s="16">
        <f t="shared" ref="BU7:BU30" si="17">AL7+AS7*2+AZ7*3+BG7*4</f>
        <v>0</v>
      </c>
      <c r="BV7" s="16">
        <f t="shared" ref="BV7:BW30" si="18">AM7+AT7*2+BA7*3+BH7*4</f>
        <v>1</v>
      </c>
      <c r="BW7" s="16">
        <f t="shared" si="18"/>
        <v>0</v>
      </c>
      <c r="BX7" s="23">
        <v>2</v>
      </c>
      <c r="BY7" s="16">
        <f t="shared" ref="BY7:BY30" si="19">AI7+AP7*POWER(2,$O7)+AW7*POWER(3,$O7)+BD7*POWER(4,$O7)</f>
        <v>0</v>
      </c>
      <c r="BZ7" s="16">
        <f t="shared" ref="BZ7:BZ30" si="20">AJ7+AQ7*POWER(2,$O7)+AX7*POWER(3,$O7)+BE7*POWER(4,$O7)</f>
        <v>0</v>
      </c>
      <c r="CA7" s="16">
        <f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D30" si="22">AM7+AT7*POWER(2,$O7)+BA7*POWER(3,$O7)+BH7*POWER(4,$O7)</f>
        <v>1</v>
      </c>
      <c r="CD7" s="19">
        <f t="shared" si="22"/>
        <v>0</v>
      </c>
    </row>
    <row r="8" spans="2:82" ht="15.75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4"/>
        <v>3</v>
      </c>
      <c r="AB8" s="16">
        <f t="shared" si="5"/>
        <v>3</v>
      </c>
      <c r="AC8" s="16">
        <f t="shared" si="6"/>
        <v>2</v>
      </c>
      <c r="AD8" s="16">
        <f t="shared" si="7"/>
        <v>2</v>
      </c>
      <c r="AE8" s="16">
        <f t="shared" si="8"/>
        <v>2</v>
      </c>
      <c r="AF8" s="9">
        <f t="shared" si="0"/>
        <v>2</v>
      </c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16">
        <v>0</v>
      </c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I8" s="16">
        <v>0</v>
      </c>
      <c r="BJ8" s="22">
        <v>3</v>
      </c>
      <c r="BK8" s="16">
        <f>AI8+AP8+AW8+BD8</f>
        <v>0</v>
      </c>
      <c r="BL8" s="16">
        <f t="shared" si="10"/>
        <v>0</v>
      </c>
      <c r="BM8" s="16">
        <f t="shared" si="11"/>
        <v>1</v>
      </c>
      <c r="BN8" s="16">
        <f t="shared" si="12"/>
        <v>0</v>
      </c>
      <c r="BO8" s="16">
        <f t="shared" si="13"/>
        <v>0</v>
      </c>
      <c r="BP8" s="16">
        <f t="shared" si="13"/>
        <v>0</v>
      </c>
      <c r="BQ8" s="23">
        <v>3</v>
      </c>
      <c r="BR8" s="16">
        <f t="shared" si="14"/>
        <v>0</v>
      </c>
      <c r="BS8" s="16">
        <f t="shared" si="15"/>
        <v>0</v>
      </c>
      <c r="BT8" s="16">
        <f t="shared" si="16"/>
        <v>1</v>
      </c>
      <c r="BU8" s="16">
        <f t="shared" si="17"/>
        <v>0</v>
      </c>
      <c r="BV8" s="16">
        <f t="shared" si="18"/>
        <v>0</v>
      </c>
      <c r="BW8" s="16">
        <f t="shared" si="18"/>
        <v>0</v>
      </c>
      <c r="BX8" s="23">
        <v>3</v>
      </c>
      <c r="BY8" s="16">
        <f t="shared" si="19"/>
        <v>0</v>
      </c>
      <c r="BZ8" s="16">
        <f t="shared" si="20"/>
        <v>0</v>
      </c>
      <c r="CA8" s="16">
        <f t="shared" ref="CA8:CA30" si="23">AK8+AR8*POWER(2,$O8)+AY8*POWER(3,$O8)+BF8*POWER(4,$O8)</f>
        <v>1</v>
      </c>
      <c r="CB8" s="16">
        <f t="shared" si="21"/>
        <v>0</v>
      </c>
      <c r="CC8" s="19">
        <f t="shared" si="22"/>
        <v>0</v>
      </c>
      <c r="CD8" s="19">
        <f>AN8+AU8*POWER(2,$O8)+BB8*POWER(3,$O8)+BI8*POWER(4,$O8)</f>
        <v>0</v>
      </c>
    </row>
    <row r="9" spans="2:82" ht="15.75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4"/>
        <v>4</v>
      </c>
      <c r="AB9" s="16">
        <f t="shared" si="5"/>
        <v>4</v>
      </c>
      <c r="AC9" s="16">
        <f t="shared" si="6"/>
        <v>3</v>
      </c>
      <c r="AD9" s="16">
        <f t="shared" si="7"/>
        <v>3</v>
      </c>
      <c r="AE9" s="16">
        <f t="shared" si="8"/>
        <v>4</v>
      </c>
      <c r="AF9" s="9">
        <f t="shared" si="0"/>
        <v>3</v>
      </c>
      <c r="AH9" s="22">
        <v>4</v>
      </c>
      <c r="AI9" s="16">
        <v>0</v>
      </c>
      <c r="AJ9" s="16">
        <v>0</v>
      </c>
      <c r="AK9" s="16">
        <v>1</v>
      </c>
      <c r="AL9" s="16">
        <v>0</v>
      </c>
      <c r="AM9" s="16">
        <v>0</v>
      </c>
      <c r="AN9" s="16">
        <v>0</v>
      </c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6">
        <v>0</v>
      </c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6">
        <v>0</v>
      </c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I9" s="16">
        <v>0</v>
      </c>
      <c r="BJ9" s="22">
        <v>4</v>
      </c>
      <c r="BK9" s="16">
        <f t="shared" si="9"/>
        <v>0</v>
      </c>
      <c r="BL9" s="16">
        <f t="shared" si="10"/>
        <v>0</v>
      </c>
      <c r="BM9" s="16">
        <f t="shared" si="11"/>
        <v>1</v>
      </c>
      <c r="BN9" s="16">
        <f t="shared" si="12"/>
        <v>0</v>
      </c>
      <c r="BO9" s="16">
        <f t="shared" si="13"/>
        <v>0</v>
      </c>
      <c r="BP9" s="16">
        <f t="shared" si="13"/>
        <v>0</v>
      </c>
      <c r="BQ9" s="23">
        <v>4</v>
      </c>
      <c r="BR9" s="16">
        <f t="shared" si="14"/>
        <v>0</v>
      </c>
      <c r="BS9" s="16">
        <f t="shared" si="15"/>
        <v>0</v>
      </c>
      <c r="BT9" s="16">
        <f t="shared" si="16"/>
        <v>1</v>
      </c>
      <c r="BU9" s="16">
        <f t="shared" si="17"/>
        <v>0</v>
      </c>
      <c r="BV9" s="16">
        <f t="shared" si="18"/>
        <v>0</v>
      </c>
      <c r="BW9" s="16">
        <f t="shared" si="18"/>
        <v>0</v>
      </c>
      <c r="BX9" s="23">
        <v>4</v>
      </c>
      <c r="BY9" s="16">
        <f t="shared" si="19"/>
        <v>0</v>
      </c>
      <c r="BZ9" s="16">
        <f t="shared" si="20"/>
        <v>0</v>
      </c>
      <c r="CA9" s="16">
        <f t="shared" si="23"/>
        <v>1</v>
      </c>
      <c r="CB9" s="16">
        <f t="shared" si="21"/>
        <v>0</v>
      </c>
      <c r="CC9" s="19">
        <f t="shared" si="22"/>
        <v>0</v>
      </c>
      <c r="CD9" s="19">
        <f t="shared" si="22"/>
        <v>0</v>
      </c>
    </row>
    <row r="10" spans="2:82" ht="15.75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4"/>
        <v>3</v>
      </c>
      <c r="AB10" s="16">
        <f t="shared" si="5"/>
        <v>3</v>
      </c>
      <c r="AC10" s="16">
        <f t="shared" si="6"/>
        <v>2</v>
      </c>
      <c r="AD10" s="16">
        <f t="shared" si="7"/>
        <v>3</v>
      </c>
      <c r="AE10" s="16">
        <f t="shared" si="8"/>
        <v>3</v>
      </c>
      <c r="AF10" s="9">
        <f t="shared" si="0"/>
        <v>2</v>
      </c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I10" s="16">
        <v>0</v>
      </c>
      <c r="BJ10" s="22">
        <v>5</v>
      </c>
      <c r="BK10" s="16">
        <f t="shared" si="9"/>
        <v>0</v>
      </c>
      <c r="BL10" s="16">
        <f t="shared" si="10"/>
        <v>0</v>
      </c>
      <c r="BM10" s="16">
        <f t="shared" si="11"/>
        <v>1</v>
      </c>
      <c r="BN10" s="16">
        <f t="shared" si="12"/>
        <v>0</v>
      </c>
      <c r="BO10" s="16">
        <f t="shared" si="13"/>
        <v>0</v>
      </c>
      <c r="BP10" s="16">
        <f t="shared" si="13"/>
        <v>0</v>
      </c>
      <c r="BQ10" s="23">
        <v>5</v>
      </c>
      <c r="BR10" s="16">
        <f t="shared" si="14"/>
        <v>0</v>
      </c>
      <c r="BS10" s="16">
        <f t="shared" si="15"/>
        <v>0</v>
      </c>
      <c r="BT10" s="16">
        <f t="shared" si="16"/>
        <v>4</v>
      </c>
      <c r="BU10" s="16">
        <f t="shared" si="17"/>
        <v>0</v>
      </c>
      <c r="BV10" s="16">
        <f t="shared" si="18"/>
        <v>0</v>
      </c>
      <c r="BW10" s="16">
        <f t="shared" si="18"/>
        <v>0</v>
      </c>
      <c r="BX10" s="23">
        <v>5</v>
      </c>
      <c r="BY10" s="16">
        <f t="shared" si="19"/>
        <v>0</v>
      </c>
      <c r="BZ10" s="16">
        <f t="shared" si="20"/>
        <v>0</v>
      </c>
      <c r="CA10" s="16">
        <f t="shared" si="23"/>
        <v>3.4822022531844965</v>
      </c>
      <c r="CB10" s="16">
        <f t="shared" si="21"/>
        <v>0</v>
      </c>
      <c r="CC10" s="19">
        <f t="shared" si="22"/>
        <v>0</v>
      </c>
      <c r="CD10" s="19">
        <f t="shared" si="22"/>
        <v>0</v>
      </c>
    </row>
    <row r="11" spans="2:82" ht="15.75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4"/>
        <v>4</v>
      </c>
      <c r="AB11" s="16">
        <f t="shared" si="5"/>
        <v>3</v>
      </c>
      <c r="AC11" s="16">
        <f t="shared" si="6"/>
        <v>3</v>
      </c>
      <c r="AD11" s="16">
        <f t="shared" si="7"/>
        <v>3</v>
      </c>
      <c r="AE11" s="16">
        <f t="shared" si="8"/>
        <v>3</v>
      </c>
      <c r="AF11" s="9">
        <f t="shared" si="0"/>
        <v>3</v>
      </c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1</v>
      </c>
      <c r="AN11" s="16">
        <v>0</v>
      </c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0</v>
      </c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6">
        <v>0</v>
      </c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I11" s="16">
        <v>0</v>
      </c>
      <c r="BJ11" s="22">
        <v>6</v>
      </c>
      <c r="BK11" s="16">
        <f t="shared" si="9"/>
        <v>0</v>
      </c>
      <c r="BL11" s="16">
        <f t="shared" si="10"/>
        <v>0</v>
      </c>
      <c r="BM11" s="16">
        <f t="shared" si="11"/>
        <v>0</v>
      </c>
      <c r="BN11" s="16">
        <f t="shared" si="12"/>
        <v>0</v>
      </c>
      <c r="BO11" s="16">
        <f t="shared" si="13"/>
        <v>1</v>
      </c>
      <c r="BP11" s="16">
        <f t="shared" si="13"/>
        <v>0</v>
      </c>
      <c r="BQ11" s="23">
        <v>6</v>
      </c>
      <c r="BR11" s="16">
        <f t="shared" si="14"/>
        <v>0</v>
      </c>
      <c r="BS11" s="16">
        <f t="shared" si="15"/>
        <v>0</v>
      </c>
      <c r="BT11" s="16">
        <f t="shared" si="16"/>
        <v>0</v>
      </c>
      <c r="BU11" s="16">
        <f t="shared" si="17"/>
        <v>0</v>
      </c>
      <c r="BV11" s="16">
        <f t="shared" si="18"/>
        <v>1</v>
      </c>
      <c r="BW11" s="16">
        <f t="shared" si="18"/>
        <v>0</v>
      </c>
      <c r="BX11" s="23">
        <v>6</v>
      </c>
      <c r="BY11" s="16">
        <f t="shared" si="19"/>
        <v>0</v>
      </c>
      <c r="BZ11" s="16">
        <f t="shared" si="20"/>
        <v>0</v>
      </c>
      <c r="CA11" s="16">
        <f t="shared" si="23"/>
        <v>0</v>
      </c>
      <c r="CB11" s="16">
        <f t="shared" si="21"/>
        <v>0</v>
      </c>
      <c r="CC11" s="19">
        <f t="shared" si="22"/>
        <v>1</v>
      </c>
      <c r="CD11" s="19">
        <f t="shared" si="22"/>
        <v>0</v>
      </c>
    </row>
    <row r="12" spans="2:82" ht="15.75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4"/>
        <v>5</v>
      </c>
      <c r="AB12" s="16">
        <f t="shared" si="5"/>
        <v>5</v>
      </c>
      <c r="AC12" s="16">
        <f t="shared" si="6"/>
        <v>4</v>
      </c>
      <c r="AD12" s="16">
        <f t="shared" si="7"/>
        <v>4</v>
      </c>
      <c r="AE12" s="16">
        <f t="shared" si="8"/>
        <v>4</v>
      </c>
      <c r="AF12" s="9">
        <f t="shared" si="0"/>
        <v>4</v>
      </c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6">
        <v>0</v>
      </c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I12" s="16">
        <v>0</v>
      </c>
      <c r="BJ12" s="22">
        <v>7</v>
      </c>
      <c r="BK12" s="16">
        <f t="shared" si="9"/>
        <v>0</v>
      </c>
      <c r="BL12" s="16">
        <f t="shared" si="10"/>
        <v>0</v>
      </c>
      <c r="BM12" s="16">
        <f t="shared" si="11"/>
        <v>0</v>
      </c>
      <c r="BN12" s="16">
        <f t="shared" si="12"/>
        <v>0</v>
      </c>
      <c r="BO12" s="16">
        <f t="shared" si="13"/>
        <v>0</v>
      </c>
      <c r="BP12" s="16">
        <f t="shared" si="13"/>
        <v>0</v>
      </c>
      <c r="BQ12" s="23">
        <v>7</v>
      </c>
      <c r="BR12" s="16">
        <f t="shared" si="14"/>
        <v>0</v>
      </c>
      <c r="BS12" s="16">
        <f t="shared" si="15"/>
        <v>0</v>
      </c>
      <c r="BT12" s="16">
        <f t="shared" si="16"/>
        <v>0</v>
      </c>
      <c r="BU12" s="16">
        <f t="shared" si="17"/>
        <v>0</v>
      </c>
      <c r="BV12" s="16">
        <f t="shared" si="18"/>
        <v>0</v>
      </c>
      <c r="BW12" s="16">
        <f t="shared" si="18"/>
        <v>0</v>
      </c>
      <c r="BX12" s="23">
        <v>7</v>
      </c>
      <c r="BY12" s="16">
        <f t="shared" si="19"/>
        <v>0</v>
      </c>
      <c r="BZ12" s="16">
        <f t="shared" si="20"/>
        <v>0</v>
      </c>
      <c r="CA12" s="16">
        <f t="shared" si="23"/>
        <v>0</v>
      </c>
      <c r="CB12" s="16">
        <f t="shared" si="21"/>
        <v>0</v>
      </c>
      <c r="CC12" s="19">
        <f t="shared" si="22"/>
        <v>0</v>
      </c>
      <c r="CD12" s="19">
        <f t="shared" si="22"/>
        <v>0</v>
      </c>
    </row>
    <row r="13" spans="2:82" ht="15.75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4"/>
        <v>3</v>
      </c>
      <c r="AB13" s="16">
        <f t="shared" si="5"/>
        <v>3</v>
      </c>
      <c r="AC13" s="16">
        <f t="shared" si="6"/>
        <v>2</v>
      </c>
      <c r="AD13" s="16">
        <f t="shared" si="7"/>
        <v>3</v>
      </c>
      <c r="AE13" s="16">
        <f t="shared" si="8"/>
        <v>3</v>
      </c>
      <c r="AF13" s="9">
        <f t="shared" si="0"/>
        <v>2</v>
      </c>
      <c r="AH13" s="22">
        <v>8</v>
      </c>
      <c r="AI13" s="16">
        <v>1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6">
        <v>0</v>
      </c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6">
        <v>0</v>
      </c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I13" s="16">
        <v>0</v>
      </c>
      <c r="BJ13" s="22">
        <v>8</v>
      </c>
      <c r="BK13" s="16">
        <f t="shared" si="9"/>
        <v>1</v>
      </c>
      <c r="BL13" s="16">
        <f t="shared" si="10"/>
        <v>0</v>
      </c>
      <c r="BM13" s="16">
        <f t="shared" si="11"/>
        <v>0</v>
      </c>
      <c r="BN13" s="16">
        <f t="shared" si="12"/>
        <v>0</v>
      </c>
      <c r="BO13" s="16">
        <f t="shared" si="13"/>
        <v>0</v>
      </c>
      <c r="BP13" s="16">
        <f t="shared" si="13"/>
        <v>0</v>
      </c>
      <c r="BQ13" s="23">
        <v>8</v>
      </c>
      <c r="BR13" s="16">
        <f t="shared" si="14"/>
        <v>1</v>
      </c>
      <c r="BS13" s="16">
        <f t="shared" si="15"/>
        <v>0</v>
      </c>
      <c r="BT13" s="16">
        <f t="shared" si="16"/>
        <v>0</v>
      </c>
      <c r="BU13" s="16">
        <f t="shared" si="17"/>
        <v>0</v>
      </c>
      <c r="BV13" s="16">
        <f t="shared" si="18"/>
        <v>0</v>
      </c>
      <c r="BW13" s="16">
        <f t="shared" si="18"/>
        <v>0</v>
      </c>
      <c r="BX13" s="23">
        <v>8</v>
      </c>
      <c r="BY13" s="16">
        <f t="shared" si="19"/>
        <v>1</v>
      </c>
      <c r="BZ13" s="16">
        <f t="shared" si="20"/>
        <v>0</v>
      </c>
      <c r="CA13" s="16">
        <f t="shared" si="23"/>
        <v>0</v>
      </c>
      <c r="CB13" s="16">
        <f t="shared" si="21"/>
        <v>0</v>
      </c>
      <c r="CC13" s="19">
        <f t="shared" si="22"/>
        <v>0</v>
      </c>
      <c r="CD13" s="19">
        <f t="shared" si="22"/>
        <v>0</v>
      </c>
    </row>
    <row r="14" spans="2:82" ht="15.75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4"/>
        <v>3</v>
      </c>
      <c r="AB14" s="16">
        <f t="shared" si="5"/>
        <v>3</v>
      </c>
      <c r="AC14" s="16">
        <f t="shared" si="6"/>
        <v>2</v>
      </c>
      <c r="AD14" s="16">
        <f t="shared" si="7"/>
        <v>3</v>
      </c>
      <c r="AE14" s="16">
        <f t="shared" si="8"/>
        <v>3</v>
      </c>
      <c r="AF14" s="9">
        <f t="shared" si="0"/>
        <v>2</v>
      </c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23">
        <v>9</v>
      </c>
      <c r="AW14" s="16">
        <v>0</v>
      </c>
      <c r="AX14" s="16">
        <v>0</v>
      </c>
      <c r="AY14" s="16">
        <v>0</v>
      </c>
      <c r="AZ14" s="16">
        <v>1</v>
      </c>
      <c r="BA14" s="16">
        <v>0</v>
      </c>
      <c r="BB14" s="16">
        <v>0</v>
      </c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I14" s="16">
        <v>0</v>
      </c>
      <c r="BJ14" s="22">
        <v>9</v>
      </c>
      <c r="BK14" s="16">
        <f t="shared" si="9"/>
        <v>0</v>
      </c>
      <c r="BL14" s="16">
        <f t="shared" si="10"/>
        <v>0</v>
      </c>
      <c r="BM14" s="16">
        <f t="shared" si="11"/>
        <v>0</v>
      </c>
      <c r="BN14" s="16">
        <f t="shared" si="12"/>
        <v>1</v>
      </c>
      <c r="BO14" s="16">
        <f t="shared" si="13"/>
        <v>0</v>
      </c>
      <c r="BP14" s="16">
        <f t="shared" si="13"/>
        <v>0</v>
      </c>
      <c r="BQ14" s="23">
        <v>9</v>
      </c>
      <c r="BR14" s="16">
        <f t="shared" si="14"/>
        <v>0</v>
      </c>
      <c r="BS14" s="16">
        <f t="shared" si="15"/>
        <v>0</v>
      </c>
      <c r="BT14" s="16">
        <f t="shared" si="16"/>
        <v>0</v>
      </c>
      <c r="BU14" s="16">
        <f t="shared" si="17"/>
        <v>3</v>
      </c>
      <c r="BV14" s="16">
        <f t="shared" si="18"/>
        <v>0</v>
      </c>
      <c r="BW14" s="16">
        <f t="shared" si="18"/>
        <v>0</v>
      </c>
      <c r="BX14" s="23">
        <v>9</v>
      </c>
      <c r="BY14" s="16">
        <f t="shared" si="19"/>
        <v>0</v>
      </c>
      <c r="BZ14" s="16">
        <f t="shared" si="20"/>
        <v>0</v>
      </c>
      <c r="CA14" s="16">
        <f t="shared" si="23"/>
        <v>0</v>
      </c>
      <c r="CB14" s="16">
        <f t="shared" si="21"/>
        <v>2.4082246852806923</v>
      </c>
      <c r="CC14" s="19">
        <f t="shared" si="22"/>
        <v>0</v>
      </c>
      <c r="CD14" s="19">
        <f t="shared" si="22"/>
        <v>0</v>
      </c>
    </row>
    <row r="15" spans="2:82" ht="15.75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4"/>
        <v>3</v>
      </c>
      <c r="AB15" s="16">
        <f t="shared" si="5"/>
        <v>3</v>
      </c>
      <c r="AC15" s="16">
        <f t="shared" si="6"/>
        <v>2</v>
      </c>
      <c r="AD15" s="16">
        <f t="shared" si="7"/>
        <v>3</v>
      </c>
      <c r="AE15" s="16">
        <f t="shared" si="8"/>
        <v>3</v>
      </c>
      <c r="AF15" s="9">
        <f t="shared" si="0"/>
        <v>2</v>
      </c>
      <c r="AH15" s="22">
        <v>10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6">
        <v>0</v>
      </c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16">
        <v>0</v>
      </c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I15" s="16">
        <v>1</v>
      </c>
      <c r="BJ15" s="22">
        <v>10</v>
      </c>
      <c r="BK15" s="16">
        <f t="shared" si="9"/>
        <v>0</v>
      </c>
      <c r="BL15" s="16">
        <f t="shared" si="10"/>
        <v>0</v>
      </c>
      <c r="BM15" s="16">
        <f t="shared" si="11"/>
        <v>0</v>
      </c>
      <c r="BN15" s="16">
        <f t="shared" si="12"/>
        <v>0</v>
      </c>
      <c r="BO15" s="16">
        <f t="shared" si="13"/>
        <v>0</v>
      </c>
      <c r="BP15" s="16">
        <f t="shared" si="13"/>
        <v>1</v>
      </c>
      <c r="BQ15" s="23">
        <v>10</v>
      </c>
      <c r="BR15" s="16">
        <f t="shared" si="14"/>
        <v>0</v>
      </c>
      <c r="BS15" s="16">
        <f t="shared" si="15"/>
        <v>0</v>
      </c>
      <c r="BT15" s="16">
        <f t="shared" si="16"/>
        <v>0</v>
      </c>
      <c r="BU15" s="16">
        <f t="shared" si="17"/>
        <v>0</v>
      </c>
      <c r="BV15" s="16">
        <f t="shared" si="18"/>
        <v>0</v>
      </c>
      <c r="BW15" s="16">
        <f t="shared" si="18"/>
        <v>4</v>
      </c>
      <c r="BX15" s="23">
        <v>10</v>
      </c>
      <c r="BY15" s="16">
        <f t="shared" si="19"/>
        <v>0</v>
      </c>
      <c r="BZ15" s="16">
        <f t="shared" si="20"/>
        <v>0</v>
      </c>
      <c r="CA15" s="16">
        <f t="shared" si="23"/>
        <v>0</v>
      </c>
      <c r="CB15" s="16">
        <f t="shared" si="21"/>
        <v>0</v>
      </c>
      <c r="CC15" s="19">
        <f t="shared" si="22"/>
        <v>0</v>
      </c>
      <c r="CD15" s="19">
        <f t="shared" si="22"/>
        <v>3.031433133020796</v>
      </c>
    </row>
    <row r="16" spans="2:82" ht="15.75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4"/>
        <v>6</v>
      </c>
      <c r="AB16" s="16">
        <f t="shared" si="5"/>
        <v>6</v>
      </c>
      <c r="AC16" s="16">
        <f t="shared" si="6"/>
        <v>5</v>
      </c>
      <c r="AD16" s="16">
        <f t="shared" si="7"/>
        <v>5</v>
      </c>
      <c r="AE16" s="16">
        <f t="shared" si="8"/>
        <v>5</v>
      </c>
      <c r="AF16" s="9">
        <f t="shared" si="0"/>
        <v>5</v>
      </c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I16" s="16">
        <v>0</v>
      </c>
      <c r="BJ16" s="22">
        <v>11</v>
      </c>
      <c r="BK16" s="16">
        <f t="shared" si="9"/>
        <v>0</v>
      </c>
      <c r="BL16" s="16">
        <f t="shared" si="10"/>
        <v>0</v>
      </c>
      <c r="BM16" s="16">
        <f t="shared" si="11"/>
        <v>0</v>
      </c>
      <c r="BN16" s="16">
        <f t="shared" si="12"/>
        <v>0</v>
      </c>
      <c r="BO16" s="16">
        <f t="shared" si="13"/>
        <v>0</v>
      </c>
      <c r="BP16" s="16">
        <f t="shared" si="13"/>
        <v>0</v>
      </c>
      <c r="BQ16" s="23">
        <v>11</v>
      </c>
      <c r="BR16" s="16">
        <f t="shared" si="14"/>
        <v>0</v>
      </c>
      <c r="BS16" s="16">
        <f t="shared" si="15"/>
        <v>0</v>
      </c>
      <c r="BT16" s="16">
        <f t="shared" si="16"/>
        <v>0</v>
      </c>
      <c r="BU16" s="16">
        <f t="shared" si="17"/>
        <v>0</v>
      </c>
      <c r="BV16" s="16">
        <f t="shared" si="18"/>
        <v>0</v>
      </c>
      <c r="BW16" s="16">
        <f t="shared" si="18"/>
        <v>0</v>
      </c>
      <c r="BX16" s="23">
        <v>11</v>
      </c>
      <c r="BY16" s="16">
        <f t="shared" si="19"/>
        <v>0</v>
      </c>
      <c r="BZ16" s="16">
        <f t="shared" si="20"/>
        <v>0</v>
      </c>
      <c r="CA16" s="16">
        <f t="shared" si="23"/>
        <v>0</v>
      </c>
      <c r="CB16" s="16">
        <f t="shared" si="21"/>
        <v>0</v>
      </c>
      <c r="CC16" s="19">
        <f t="shared" si="22"/>
        <v>0</v>
      </c>
      <c r="CD16" s="19">
        <f t="shared" si="22"/>
        <v>0</v>
      </c>
    </row>
    <row r="17" spans="2:82" ht="15.75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4"/>
        <v>5</v>
      </c>
      <c r="AB17" s="16">
        <f t="shared" si="5"/>
        <v>5</v>
      </c>
      <c r="AC17" s="16">
        <f t="shared" si="6"/>
        <v>4</v>
      </c>
      <c r="AD17" s="16">
        <f t="shared" si="7"/>
        <v>4</v>
      </c>
      <c r="AE17" s="16">
        <f t="shared" si="8"/>
        <v>4</v>
      </c>
      <c r="AF17" s="9">
        <f t="shared" si="0"/>
        <v>4</v>
      </c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6">
        <v>0</v>
      </c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6">
        <v>0</v>
      </c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I17" s="16">
        <v>0</v>
      </c>
      <c r="BJ17" s="22">
        <v>12</v>
      </c>
      <c r="BK17" s="16">
        <f t="shared" si="9"/>
        <v>0</v>
      </c>
      <c r="BL17" s="16">
        <f t="shared" si="10"/>
        <v>0</v>
      </c>
      <c r="BM17" s="16">
        <f t="shared" si="11"/>
        <v>0</v>
      </c>
      <c r="BN17" s="16">
        <f t="shared" si="12"/>
        <v>1</v>
      </c>
      <c r="BO17" s="16">
        <f t="shared" si="13"/>
        <v>0</v>
      </c>
      <c r="BP17" s="16">
        <f t="shared" si="13"/>
        <v>0</v>
      </c>
      <c r="BQ17" s="23">
        <v>12</v>
      </c>
      <c r="BR17" s="16">
        <f t="shared" si="14"/>
        <v>0</v>
      </c>
      <c r="BS17" s="16">
        <f t="shared" si="15"/>
        <v>0</v>
      </c>
      <c r="BT17" s="16">
        <f t="shared" si="16"/>
        <v>0</v>
      </c>
      <c r="BU17" s="16">
        <f t="shared" si="17"/>
        <v>4</v>
      </c>
      <c r="BV17" s="16">
        <f t="shared" si="18"/>
        <v>0</v>
      </c>
      <c r="BW17" s="16">
        <f t="shared" si="18"/>
        <v>0</v>
      </c>
      <c r="BX17" s="23">
        <v>12</v>
      </c>
      <c r="BY17" s="16">
        <f t="shared" si="19"/>
        <v>0</v>
      </c>
      <c r="BZ17" s="16">
        <f t="shared" si="20"/>
        <v>0</v>
      </c>
      <c r="CA17" s="16">
        <f t="shared" si="23"/>
        <v>0</v>
      </c>
      <c r="CB17" s="16">
        <f t="shared" si="21"/>
        <v>3.031433133020796</v>
      </c>
      <c r="CC17" s="19">
        <f t="shared" si="22"/>
        <v>0</v>
      </c>
      <c r="CD17" s="19">
        <f t="shared" si="22"/>
        <v>0</v>
      </c>
    </row>
    <row r="18" spans="2:82" ht="15.75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4"/>
        <v>5</v>
      </c>
      <c r="AB18" s="16">
        <f t="shared" si="5"/>
        <v>5</v>
      </c>
      <c r="AC18" s="16">
        <f t="shared" si="6"/>
        <v>4</v>
      </c>
      <c r="AD18" s="16">
        <f t="shared" si="7"/>
        <v>4</v>
      </c>
      <c r="AE18" s="16">
        <f t="shared" si="8"/>
        <v>4</v>
      </c>
      <c r="AF18" s="9">
        <f t="shared" si="0"/>
        <v>4</v>
      </c>
      <c r="AH18" s="22">
        <v>13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I18" s="16">
        <v>0</v>
      </c>
      <c r="BJ18" s="22">
        <v>13</v>
      </c>
      <c r="BK18" s="16">
        <f t="shared" si="9"/>
        <v>0</v>
      </c>
      <c r="BL18" s="16">
        <f t="shared" si="10"/>
        <v>0</v>
      </c>
      <c r="BM18" s="16">
        <f t="shared" si="11"/>
        <v>0</v>
      </c>
      <c r="BN18" s="16">
        <f t="shared" si="12"/>
        <v>0</v>
      </c>
      <c r="BO18" s="16">
        <f t="shared" si="13"/>
        <v>0</v>
      </c>
      <c r="BP18" s="16">
        <f t="shared" si="13"/>
        <v>0</v>
      </c>
      <c r="BQ18" s="23">
        <v>13</v>
      </c>
      <c r="BR18" s="16">
        <f t="shared" si="14"/>
        <v>0</v>
      </c>
      <c r="BS18" s="16">
        <f t="shared" si="15"/>
        <v>0</v>
      </c>
      <c r="BT18" s="16">
        <f t="shared" si="16"/>
        <v>0</v>
      </c>
      <c r="BU18" s="16">
        <f t="shared" si="17"/>
        <v>0</v>
      </c>
      <c r="BV18" s="16">
        <f t="shared" si="18"/>
        <v>0</v>
      </c>
      <c r="BW18" s="16">
        <f t="shared" si="18"/>
        <v>0</v>
      </c>
      <c r="BX18" s="23">
        <v>13</v>
      </c>
      <c r="BY18" s="16">
        <f t="shared" si="19"/>
        <v>0</v>
      </c>
      <c r="BZ18" s="16">
        <f t="shared" si="20"/>
        <v>0</v>
      </c>
      <c r="CA18" s="16">
        <f t="shared" si="23"/>
        <v>0</v>
      </c>
      <c r="CB18" s="16">
        <f t="shared" si="21"/>
        <v>0</v>
      </c>
      <c r="CC18" s="19">
        <f t="shared" si="22"/>
        <v>0</v>
      </c>
      <c r="CD18" s="19">
        <f t="shared" si="22"/>
        <v>0</v>
      </c>
    </row>
    <row r="19" spans="2:82" ht="15.75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4"/>
        <v>3</v>
      </c>
      <c r="AB19" s="16">
        <f t="shared" si="5"/>
        <v>3</v>
      </c>
      <c r="AC19" s="16">
        <f t="shared" si="6"/>
        <v>2</v>
      </c>
      <c r="AD19" s="16">
        <f t="shared" si="7"/>
        <v>3</v>
      </c>
      <c r="AE19" s="16">
        <f t="shared" si="8"/>
        <v>3</v>
      </c>
      <c r="AF19" s="9">
        <f t="shared" si="0"/>
        <v>2</v>
      </c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I19" s="16">
        <v>0</v>
      </c>
      <c r="BJ19" s="22">
        <v>14</v>
      </c>
      <c r="BK19" s="16">
        <f t="shared" si="9"/>
        <v>0</v>
      </c>
      <c r="BL19" s="16">
        <f t="shared" si="10"/>
        <v>0</v>
      </c>
      <c r="BM19" s="16">
        <f t="shared" si="11"/>
        <v>1</v>
      </c>
      <c r="BN19" s="16">
        <f t="shared" si="12"/>
        <v>0</v>
      </c>
      <c r="BO19" s="16">
        <f t="shared" si="13"/>
        <v>0</v>
      </c>
      <c r="BP19" s="16">
        <f t="shared" si="13"/>
        <v>0</v>
      </c>
      <c r="BQ19" s="23">
        <v>14</v>
      </c>
      <c r="BR19" s="16">
        <f t="shared" si="14"/>
        <v>0</v>
      </c>
      <c r="BS19" s="16">
        <f t="shared" si="15"/>
        <v>0</v>
      </c>
      <c r="BT19" s="16">
        <f t="shared" si="16"/>
        <v>4</v>
      </c>
      <c r="BU19" s="16">
        <f t="shared" si="17"/>
        <v>0</v>
      </c>
      <c r="BV19" s="16">
        <f t="shared" si="18"/>
        <v>0</v>
      </c>
      <c r="BW19" s="16">
        <f t="shared" si="18"/>
        <v>0</v>
      </c>
      <c r="BX19" s="23">
        <v>14</v>
      </c>
      <c r="BY19" s="16">
        <f t="shared" si="19"/>
        <v>0</v>
      </c>
      <c r="BZ19" s="16">
        <f t="shared" si="20"/>
        <v>0</v>
      </c>
      <c r="CA19" s="16">
        <f t="shared" si="23"/>
        <v>3.031433133020796</v>
      </c>
      <c r="CB19" s="16">
        <f t="shared" si="21"/>
        <v>0</v>
      </c>
      <c r="CC19" s="19">
        <f t="shared" si="22"/>
        <v>0</v>
      </c>
      <c r="CD19" s="19">
        <f t="shared" si="22"/>
        <v>0</v>
      </c>
    </row>
    <row r="20" spans="2:82" ht="15.75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4"/>
        <v>4</v>
      </c>
      <c r="AB20" s="16">
        <f t="shared" si="5"/>
        <v>3</v>
      </c>
      <c r="AC20" s="16">
        <f t="shared" si="6"/>
        <v>3</v>
      </c>
      <c r="AD20" s="16">
        <f t="shared" si="7"/>
        <v>3</v>
      </c>
      <c r="AE20" s="16">
        <f t="shared" si="8"/>
        <v>3</v>
      </c>
      <c r="AF20" s="9">
        <f t="shared" si="0"/>
        <v>3</v>
      </c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23">
        <v>15</v>
      </c>
      <c r="BD20" s="16">
        <v>0</v>
      </c>
      <c r="BE20" s="16">
        <v>0</v>
      </c>
      <c r="BF20" s="16">
        <v>0</v>
      </c>
      <c r="BG20" s="16">
        <v>1</v>
      </c>
      <c r="BH20" s="19">
        <v>0</v>
      </c>
      <c r="BI20" s="16">
        <v>0</v>
      </c>
      <c r="BJ20" s="22">
        <v>15</v>
      </c>
      <c r="BK20" s="16">
        <f t="shared" si="9"/>
        <v>0</v>
      </c>
      <c r="BL20" s="16">
        <f t="shared" si="10"/>
        <v>0</v>
      </c>
      <c r="BM20" s="16">
        <f t="shared" si="11"/>
        <v>0</v>
      </c>
      <c r="BN20" s="16">
        <f t="shared" si="12"/>
        <v>1</v>
      </c>
      <c r="BO20" s="16">
        <f t="shared" si="13"/>
        <v>0</v>
      </c>
      <c r="BP20" s="16">
        <f t="shared" si="13"/>
        <v>0</v>
      </c>
      <c r="BQ20" s="23">
        <v>15</v>
      </c>
      <c r="BR20" s="16">
        <f t="shared" si="14"/>
        <v>0</v>
      </c>
      <c r="BS20" s="16">
        <f t="shared" si="15"/>
        <v>0</v>
      </c>
      <c r="BT20" s="16">
        <f t="shared" si="16"/>
        <v>0</v>
      </c>
      <c r="BU20" s="16">
        <f t="shared" si="17"/>
        <v>4</v>
      </c>
      <c r="BV20" s="16">
        <f t="shared" si="18"/>
        <v>0</v>
      </c>
      <c r="BW20" s="16">
        <f t="shared" si="18"/>
        <v>0</v>
      </c>
      <c r="BX20" s="23">
        <v>15</v>
      </c>
      <c r="BY20" s="16">
        <f t="shared" si="19"/>
        <v>0</v>
      </c>
      <c r="BZ20" s="16">
        <f t="shared" si="20"/>
        <v>0</v>
      </c>
      <c r="CA20" s="16">
        <f t="shared" si="23"/>
        <v>0</v>
      </c>
      <c r="CB20" s="16">
        <f t="shared" si="21"/>
        <v>3.031433133020796</v>
      </c>
      <c r="CC20" s="19">
        <f t="shared" si="22"/>
        <v>0</v>
      </c>
      <c r="CD20" s="19">
        <f t="shared" si="22"/>
        <v>0</v>
      </c>
    </row>
    <row r="21" spans="2:82" ht="15.75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4"/>
        <v>6</v>
      </c>
      <c r="AB21" s="16">
        <f t="shared" si="5"/>
        <v>6</v>
      </c>
      <c r="AC21" s="16">
        <f t="shared" si="6"/>
        <v>5</v>
      </c>
      <c r="AD21" s="16">
        <f t="shared" si="7"/>
        <v>5</v>
      </c>
      <c r="AE21" s="16">
        <f t="shared" si="8"/>
        <v>5</v>
      </c>
      <c r="AF21" s="9">
        <f t="shared" si="0"/>
        <v>5</v>
      </c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6">
        <v>0</v>
      </c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I21" s="16">
        <v>0</v>
      </c>
      <c r="BJ21" s="22">
        <v>16</v>
      </c>
      <c r="BK21" s="16">
        <f t="shared" si="9"/>
        <v>0</v>
      </c>
      <c r="BL21" s="16">
        <f t="shared" si="10"/>
        <v>0</v>
      </c>
      <c r="BM21" s="16">
        <f t="shared" si="11"/>
        <v>0</v>
      </c>
      <c r="BN21" s="16">
        <f t="shared" si="12"/>
        <v>0</v>
      </c>
      <c r="BO21" s="16">
        <f t="shared" si="13"/>
        <v>0</v>
      </c>
      <c r="BP21" s="16">
        <f t="shared" si="13"/>
        <v>0</v>
      </c>
      <c r="BQ21" s="23">
        <v>16</v>
      </c>
      <c r="BR21" s="16">
        <f t="shared" si="14"/>
        <v>0</v>
      </c>
      <c r="BS21" s="16">
        <f t="shared" si="15"/>
        <v>0</v>
      </c>
      <c r="BT21" s="16">
        <f t="shared" si="16"/>
        <v>0</v>
      </c>
      <c r="BU21" s="16">
        <f t="shared" si="17"/>
        <v>0</v>
      </c>
      <c r="BV21" s="16">
        <f t="shared" si="18"/>
        <v>0</v>
      </c>
      <c r="BW21" s="16">
        <f t="shared" si="18"/>
        <v>0</v>
      </c>
      <c r="BX21" s="23">
        <v>16</v>
      </c>
      <c r="BY21" s="16">
        <f t="shared" si="19"/>
        <v>0</v>
      </c>
      <c r="BZ21" s="16">
        <f t="shared" si="20"/>
        <v>0</v>
      </c>
      <c r="CA21" s="16">
        <f t="shared" si="23"/>
        <v>0</v>
      </c>
      <c r="CB21" s="16">
        <f t="shared" si="21"/>
        <v>0</v>
      </c>
      <c r="CC21" s="19">
        <f t="shared" si="22"/>
        <v>0</v>
      </c>
      <c r="CD21" s="19">
        <f t="shared" si="22"/>
        <v>0</v>
      </c>
    </row>
    <row r="22" spans="2:82" ht="15.75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4"/>
        <v>5</v>
      </c>
      <c r="AB22" s="16">
        <f t="shared" si="5"/>
        <v>5</v>
      </c>
      <c r="AC22" s="16">
        <f t="shared" si="6"/>
        <v>4</v>
      </c>
      <c r="AD22" s="16">
        <f t="shared" si="7"/>
        <v>4</v>
      </c>
      <c r="AE22" s="16">
        <f t="shared" si="8"/>
        <v>4</v>
      </c>
      <c r="AF22" s="9">
        <f t="shared" si="0"/>
        <v>4</v>
      </c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I22" s="16">
        <v>0</v>
      </c>
      <c r="BJ22" s="22">
        <v>17</v>
      </c>
      <c r="BK22" s="16">
        <f t="shared" si="9"/>
        <v>0</v>
      </c>
      <c r="BL22" s="16">
        <f t="shared" si="10"/>
        <v>0</v>
      </c>
      <c r="BM22" s="16">
        <f t="shared" si="11"/>
        <v>0</v>
      </c>
      <c r="BN22" s="16">
        <f t="shared" si="12"/>
        <v>0</v>
      </c>
      <c r="BO22" s="16">
        <f t="shared" si="13"/>
        <v>0</v>
      </c>
      <c r="BP22" s="16">
        <f t="shared" si="13"/>
        <v>0</v>
      </c>
      <c r="BQ22" s="23">
        <v>17</v>
      </c>
      <c r="BR22" s="16">
        <f t="shared" si="14"/>
        <v>0</v>
      </c>
      <c r="BS22" s="16">
        <f t="shared" si="15"/>
        <v>0</v>
      </c>
      <c r="BT22" s="16">
        <f t="shared" si="16"/>
        <v>0</v>
      </c>
      <c r="BU22" s="16">
        <f t="shared" si="17"/>
        <v>0</v>
      </c>
      <c r="BV22" s="16">
        <f t="shared" si="18"/>
        <v>0</v>
      </c>
      <c r="BW22" s="16">
        <f t="shared" si="18"/>
        <v>0</v>
      </c>
      <c r="BX22" s="23">
        <v>17</v>
      </c>
      <c r="BY22" s="16">
        <f t="shared" si="19"/>
        <v>0</v>
      </c>
      <c r="BZ22" s="16">
        <f t="shared" si="20"/>
        <v>0</v>
      </c>
      <c r="CA22" s="16">
        <f t="shared" si="23"/>
        <v>0</v>
      </c>
      <c r="CB22" s="16">
        <f t="shared" si="21"/>
        <v>0</v>
      </c>
      <c r="CC22" s="19">
        <f t="shared" si="22"/>
        <v>0</v>
      </c>
      <c r="CD22" s="19">
        <f t="shared" si="22"/>
        <v>0</v>
      </c>
    </row>
    <row r="23" spans="2:82" ht="15.75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4"/>
        <v>4</v>
      </c>
      <c r="AB23" s="16">
        <f t="shared" si="5"/>
        <v>3</v>
      </c>
      <c r="AC23" s="16">
        <f t="shared" si="6"/>
        <v>3</v>
      </c>
      <c r="AD23" s="16">
        <f t="shared" si="7"/>
        <v>3</v>
      </c>
      <c r="AE23" s="16">
        <f t="shared" si="8"/>
        <v>3</v>
      </c>
      <c r="AF23" s="9">
        <f t="shared" si="0"/>
        <v>3</v>
      </c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6">
        <v>0</v>
      </c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I23" s="16">
        <v>0</v>
      </c>
      <c r="BJ23" s="22">
        <v>18</v>
      </c>
      <c r="BK23" s="16">
        <f t="shared" si="9"/>
        <v>0</v>
      </c>
      <c r="BL23" s="16">
        <f t="shared" si="10"/>
        <v>0</v>
      </c>
      <c r="BM23" s="16">
        <f t="shared" si="11"/>
        <v>0</v>
      </c>
      <c r="BN23" s="16">
        <f t="shared" si="12"/>
        <v>0</v>
      </c>
      <c r="BO23" s="16">
        <f t="shared" si="13"/>
        <v>0</v>
      </c>
      <c r="BP23" s="16">
        <f t="shared" si="13"/>
        <v>0</v>
      </c>
      <c r="BQ23" s="23">
        <v>18</v>
      </c>
      <c r="BR23" s="16">
        <f t="shared" si="14"/>
        <v>0</v>
      </c>
      <c r="BS23" s="16">
        <f t="shared" si="15"/>
        <v>0</v>
      </c>
      <c r="BT23" s="16">
        <f t="shared" si="16"/>
        <v>0</v>
      </c>
      <c r="BU23" s="16">
        <f t="shared" si="17"/>
        <v>0</v>
      </c>
      <c r="BV23" s="16">
        <f t="shared" si="18"/>
        <v>0</v>
      </c>
      <c r="BW23" s="16">
        <f t="shared" si="18"/>
        <v>0</v>
      </c>
      <c r="BX23" s="23">
        <v>18</v>
      </c>
      <c r="BY23" s="16">
        <f t="shared" si="19"/>
        <v>0</v>
      </c>
      <c r="BZ23" s="16">
        <f t="shared" si="20"/>
        <v>0</v>
      </c>
      <c r="CA23" s="16">
        <f t="shared" si="23"/>
        <v>0</v>
      </c>
      <c r="CB23" s="16">
        <f t="shared" si="21"/>
        <v>0</v>
      </c>
      <c r="CC23" s="19">
        <f t="shared" si="22"/>
        <v>0</v>
      </c>
      <c r="CD23" s="19">
        <f t="shared" si="22"/>
        <v>0</v>
      </c>
    </row>
    <row r="24" spans="2:82" ht="15.75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4"/>
        <v>3</v>
      </c>
      <c r="AB24" s="16">
        <f t="shared" si="5"/>
        <v>3</v>
      </c>
      <c r="AC24" s="16">
        <f t="shared" si="6"/>
        <v>2</v>
      </c>
      <c r="AD24" s="16">
        <f t="shared" si="7"/>
        <v>3</v>
      </c>
      <c r="AE24" s="16">
        <f t="shared" si="8"/>
        <v>3</v>
      </c>
      <c r="AF24" s="9">
        <f t="shared" si="0"/>
        <v>2</v>
      </c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6">
        <v>0</v>
      </c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I24" s="16">
        <v>0</v>
      </c>
      <c r="BJ24" s="22">
        <v>19</v>
      </c>
      <c r="BK24" s="16">
        <f t="shared" si="9"/>
        <v>0</v>
      </c>
      <c r="BL24" s="16">
        <f t="shared" si="10"/>
        <v>0</v>
      </c>
      <c r="BM24" s="16">
        <f t="shared" si="11"/>
        <v>0</v>
      </c>
      <c r="BN24" s="16">
        <f t="shared" si="12"/>
        <v>0</v>
      </c>
      <c r="BO24" s="16">
        <f t="shared" si="13"/>
        <v>0</v>
      </c>
      <c r="BP24" s="16">
        <f t="shared" si="13"/>
        <v>0</v>
      </c>
      <c r="BQ24" s="23">
        <v>19</v>
      </c>
      <c r="BR24" s="16">
        <f t="shared" si="14"/>
        <v>0</v>
      </c>
      <c r="BS24" s="16">
        <f t="shared" si="15"/>
        <v>0</v>
      </c>
      <c r="BT24" s="16">
        <f t="shared" si="16"/>
        <v>0</v>
      </c>
      <c r="BU24" s="16">
        <f t="shared" si="17"/>
        <v>0</v>
      </c>
      <c r="BV24" s="16">
        <f t="shared" si="18"/>
        <v>0</v>
      </c>
      <c r="BW24" s="16">
        <f t="shared" si="18"/>
        <v>0</v>
      </c>
      <c r="BX24" s="23">
        <v>19</v>
      </c>
      <c r="BY24" s="16">
        <f t="shared" si="19"/>
        <v>0</v>
      </c>
      <c r="BZ24" s="16">
        <f t="shared" si="20"/>
        <v>0</v>
      </c>
      <c r="CA24" s="16">
        <f t="shared" si="23"/>
        <v>0</v>
      </c>
      <c r="CB24" s="16">
        <f t="shared" si="21"/>
        <v>0</v>
      </c>
      <c r="CC24" s="19">
        <f t="shared" si="22"/>
        <v>0</v>
      </c>
      <c r="CD24" s="19">
        <f t="shared" si="22"/>
        <v>0</v>
      </c>
    </row>
    <row r="25" spans="2:82" ht="15.75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4"/>
        <v>5</v>
      </c>
      <c r="AB25" s="16">
        <f t="shared" si="5"/>
        <v>5</v>
      </c>
      <c r="AC25" s="16">
        <f t="shared" si="6"/>
        <v>4</v>
      </c>
      <c r="AD25" s="16">
        <f t="shared" si="7"/>
        <v>4</v>
      </c>
      <c r="AE25" s="16">
        <f t="shared" si="8"/>
        <v>4</v>
      </c>
      <c r="AF25" s="9">
        <f t="shared" si="0"/>
        <v>4</v>
      </c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I25" s="16">
        <v>0</v>
      </c>
      <c r="BJ25" s="22">
        <v>20</v>
      </c>
      <c r="BK25" s="16">
        <f t="shared" si="9"/>
        <v>0</v>
      </c>
      <c r="BL25" s="16">
        <f t="shared" si="10"/>
        <v>0</v>
      </c>
      <c r="BM25" s="16">
        <f t="shared" si="11"/>
        <v>0</v>
      </c>
      <c r="BN25" s="16">
        <f t="shared" si="12"/>
        <v>0</v>
      </c>
      <c r="BO25" s="16">
        <f t="shared" si="13"/>
        <v>0</v>
      </c>
      <c r="BP25" s="16">
        <f t="shared" si="13"/>
        <v>0</v>
      </c>
      <c r="BQ25" s="23">
        <v>20</v>
      </c>
      <c r="BR25" s="16">
        <f t="shared" si="14"/>
        <v>0</v>
      </c>
      <c r="BS25" s="16">
        <f t="shared" si="15"/>
        <v>0</v>
      </c>
      <c r="BT25" s="16">
        <f t="shared" si="16"/>
        <v>0</v>
      </c>
      <c r="BU25" s="16">
        <f t="shared" si="17"/>
        <v>0</v>
      </c>
      <c r="BV25" s="16">
        <f t="shared" si="18"/>
        <v>0</v>
      </c>
      <c r="BW25" s="16">
        <f t="shared" si="18"/>
        <v>0</v>
      </c>
      <c r="BX25" s="23">
        <v>20</v>
      </c>
      <c r="BY25" s="16">
        <f t="shared" si="19"/>
        <v>0</v>
      </c>
      <c r="BZ25" s="16">
        <f t="shared" si="20"/>
        <v>0</v>
      </c>
      <c r="CA25" s="16">
        <f t="shared" si="23"/>
        <v>0</v>
      </c>
      <c r="CB25" s="16">
        <f t="shared" si="21"/>
        <v>0</v>
      </c>
      <c r="CC25" s="19">
        <f t="shared" si="22"/>
        <v>0</v>
      </c>
      <c r="CD25" s="19">
        <f t="shared" si="22"/>
        <v>0</v>
      </c>
    </row>
    <row r="26" spans="2:82" ht="15.75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4"/>
        <v>4</v>
      </c>
      <c r="AB26" s="16">
        <f t="shared" si="5"/>
        <v>3</v>
      </c>
      <c r="AC26" s="16">
        <f t="shared" si="6"/>
        <v>3</v>
      </c>
      <c r="AD26" s="16">
        <f t="shared" si="7"/>
        <v>3</v>
      </c>
      <c r="AE26" s="16">
        <f t="shared" si="8"/>
        <v>3</v>
      </c>
      <c r="AF26" s="9">
        <f t="shared" si="0"/>
        <v>3</v>
      </c>
      <c r="AH26" s="22">
        <v>21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1</v>
      </c>
      <c r="BI26" s="16">
        <v>0</v>
      </c>
      <c r="BJ26" s="22">
        <v>21</v>
      </c>
      <c r="BK26" s="16">
        <f t="shared" si="9"/>
        <v>0</v>
      </c>
      <c r="BL26" s="16">
        <f t="shared" si="10"/>
        <v>0</v>
      </c>
      <c r="BM26" s="16">
        <f t="shared" si="11"/>
        <v>0</v>
      </c>
      <c r="BN26" s="16">
        <f t="shared" si="12"/>
        <v>0</v>
      </c>
      <c r="BO26" s="16">
        <f t="shared" si="13"/>
        <v>1</v>
      </c>
      <c r="BP26" s="16">
        <f t="shared" si="13"/>
        <v>0</v>
      </c>
      <c r="BQ26" s="23">
        <v>21</v>
      </c>
      <c r="BR26" s="16">
        <f t="shared" si="14"/>
        <v>0</v>
      </c>
      <c r="BS26" s="16">
        <f t="shared" si="15"/>
        <v>0</v>
      </c>
      <c r="BT26" s="16">
        <f t="shared" si="16"/>
        <v>0</v>
      </c>
      <c r="BU26" s="16">
        <f t="shared" si="17"/>
        <v>0</v>
      </c>
      <c r="BV26" s="16">
        <f t="shared" si="18"/>
        <v>4</v>
      </c>
      <c r="BW26" s="16">
        <f t="shared" si="18"/>
        <v>0</v>
      </c>
      <c r="BX26" s="23">
        <v>21</v>
      </c>
      <c r="BY26" s="16">
        <f t="shared" si="19"/>
        <v>0</v>
      </c>
      <c r="BZ26" s="16">
        <f t="shared" si="20"/>
        <v>0</v>
      </c>
      <c r="CA26" s="16">
        <f t="shared" si="23"/>
        <v>0</v>
      </c>
      <c r="CB26" s="16">
        <f t="shared" si="21"/>
        <v>0</v>
      </c>
      <c r="CC26" s="19">
        <f t="shared" si="22"/>
        <v>2.2973967099940702</v>
      </c>
      <c r="CD26" s="19">
        <f t="shared" si="22"/>
        <v>0</v>
      </c>
    </row>
    <row r="27" spans="2:82" ht="15.75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4"/>
        <v>3</v>
      </c>
      <c r="AB27" s="16">
        <f t="shared" si="5"/>
        <v>3</v>
      </c>
      <c r="AC27" s="16">
        <f t="shared" si="6"/>
        <v>2</v>
      </c>
      <c r="AD27" s="16">
        <f t="shared" si="7"/>
        <v>3</v>
      </c>
      <c r="AE27" s="16">
        <f t="shared" si="8"/>
        <v>3</v>
      </c>
      <c r="AF27" s="9">
        <f t="shared" si="0"/>
        <v>2</v>
      </c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16">
        <v>0</v>
      </c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I27" s="16">
        <v>0</v>
      </c>
      <c r="BJ27" s="22">
        <v>22</v>
      </c>
      <c r="BK27" s="16">
        <f t="shared" si="9"/>
        <v>0</v>
      </c>
      <c r="BL27" s="16">
        <f t="shared" si="10"/>
        <v>0</v>
      </c>
      <c r="BM27" s="16">
        <f t="shared" si="11"/>
        <v>0</v>
      </c>
      <c r="BN27" s="16">
        <f t="shared" si="12"/>
        <v>0</v>
      </c>
      <c r="BO27" s="16">
        <f t="shared" si="13"/>
        <v>1</v>
      </c>
      <c r="BP27" s="16">
        <f t="shared" si="13"/>
        <v>0</v>
      </c>
      <c r="BQ27" s="23">
        <v>22</v>
      </c>
      <c r="BR27" s="16">
        <f t="shared" si="14"/>
        <v>0</v>
      </c>
      <c r="BS27" s="16">
        <f t="shared" si="15"/>
        <v>0</v>
      </c>
      <c r="BT27" s="16">
        <f t="shared" si="16"/>
        <v>0</v>
      </c>
      <c r="BU27" s="16">
        <f t="shared" si="17"/>
        <v>0</v>
      </c>
      <c r="BV27" s="16">
        <f t="shared" si="18"/>
        <v>1</v>
      </c>
      <c r="BW27" s="16">
        <f t="shared" si="18"/>
        <v>0</v>
      </c>
      <c r="BX27" s="23">
        <v>22</v>
      </c>
      <c r="BY27" s="16">
        <f t="shared" si="19"/>
        <v>0</v>
      </c>
      <c r="BZ27" s="16">
        <f t="shared" si="20"/>
        <v>0</v>
      </c>
      <c r="CA27" s="16">
        <f t="shared" si="23"/>
        <v>0</v>
      </c>
      <c r="CB27" s="16">
        <f t="shared" si="21"/>
        <v>0</v>
      </c>
      <c r="CC27" s="19">
        <f t="shared" si="22"/>
        <v>1</v>
      </c>
      <c r="CD27" s="19">
        <f t="shared" si="22"/>
        <v>0</v>
      </c>
    </row>
    <row r="28" spans="2:82" ht="15.75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4"/>
        <v>4</v>
      </c>
      <c r="AB28" s="16">
        <f t="shared" si="5"/>
        <v>4</v>
      </c>
      <c r="AC28" s="16">
        <f t="shared" si="6"/>
        <v>3</v>
      </c>
      <c r="AD28" s="16">
        <f t="shared" si="7"/>
        <v>3</v>
      </c>
      <c r="AE28" s="16">
        <f t="shared" si="8"/>
        <v>4</v>
      </c>
      <c r="AF28" s="9">
        <f t="shared" si="0"/>
        <v>3</v>
      </c>
      <c r="AH28" s="22">
        <v>23</v>
      </c>
      <c r="AI28" s="16">
        <v>1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I28" s="16">
        <v>0</v>
      </c>
      <c r="BJ28" s="22">
        <v>23</v>
      </c>
      <c r="BK28" s="16">
        <f t="shared" si="9"/>
        <v>1</v>
      </c>
      <c r="BL28" s="16">
        <f t="shared" si="10"/>
        <v>0</v>
      </c>
      <c r="BM28" s="16">
        <f t="shared" si="11"/>
        <v>0</v>
      </c>
      <c r="BN28" s="16">
        <f t="shared" si="12"/>
        <v>0</v>
      </c>
      <c r="BO28" s="16">
        <f t="shared" si="13"/>
        <v>0</v>
      </c>
      <c r="BP28" s="16">
        <f t="shared" si="13"/>
        <v>0</v>
      </c>
      <c r="BQ28" s="23">
        <v>23</v>
      </c>
      <c r="BR28" s="16">
        <f t="shared" si="14"/>
        <v>1</v>
      </c>
      <c r="BS28" s="16">
        <f t="shared" si="15"/>
        <v>0</v>
      </c>
      <c r="BT28" s="16">
        <f t="shared" si="16"/>
        <v>0</v>
      </c>
      <c r="BU28" s="16">
        <f t="shared" si="17"/>
        <v>0</v>
      </c>
      <c r="BV28" s="16">
        <f t="shared" si="18"/>
        <v>0</v>
      </c>
      <c r="BW28" s="16">
        <f t="shared" si="18"/>
        <v>0</v>
      </c>
      <c r="BX28" s="23">
        <v>23</v>
      </c>
      <c r="BY28" s="16">
        <f t="shared" si="19"/>
        <v>1</v>
      </c>
      <c r="BZ28" s="16">
        <f t="shared" si="20"/>
        <v>0</v>
      </c>
      <c r="CA28" s="16">
        <f t="shared" si="23"/>
        <v>0</v>
      </c>
      <c r="CB28" s="16">
        <f t="shared" si="21"/>
        <v>0</v>
      </c>
      <c r="CC28" s="19">
        <f t="shared" si="22"/>
        <v>0</v>
      </c>
      <c r="CD28" s="19">
        <f t="shared" si="22"/>
        <v>0</v>
      </c>
    </row>
    <row r="29" spans="2:82" ht="15.75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4"/>
        <v>6</v>
      </c>
      <c r="AB29" s="16">
        <f t="shared" si="5"/>
        <v>6</v>
      </c>
      <c r="AC29" s="16">
        <f t="shared" si="6"/>
        <v>5</v>
      </c>
      <c r="AD29" s="16">
        <f t="shared" si="7"/>
        <v>5</v>
      </c>
      <c r="AE29" s="16">
        <f t="shared" si="8"/>
        <v>5</v>
      </c>
      <c r="AF29" s="9">
        <f t="shared" si="0"/>
        <v>5</v>
      </c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23">
        <v>24</v>
      </c>
      <c r="AP29" s="16">
        <v>1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I29" s="16">
        <v>0</v>
      </c>
      <c r="BJ29" s="22">
        <v>24</v>
      </c>
      <c r="BK29" s="16">
        <f t="shared" si="9"/>
        <v>1</v>
      </c>
      <c r="BL29" s="16">
        <f t="shared" si="10"/>
        <v>0</v>
      </c>
      <c r="BM29" s="16">
        <f t="shared" si="11"/>
        <v>0</v>
      </c>
      <c r="BN29" s="16">
        <f t="shared" si="12"/>
        <v>0</v>
      </c>
      <c r="BO29" s="16">
        <f t="shared" si="13"/>
        <v>0</v>
      </c>
      <c r="BP29" s="16">
        <f t="shared" si="13"/>
        <v>0</v>
      </c>
      <c r="BQ29" s="23">
        <v>24</v>
      </c>
      <c r="BR29" s="16">
        <f t="shared" si="14"/>
        <v>2</v>
      </c>
      <c r="BS29" s="16">
        <f t="shared" si="15"/>
        <v>0</v>
      </c>
      <c r="BT29" s="16">
        <f t="shared" si="16"/>
        <v>0</v>
      </c>
      <c r="BU29" s="16">
        <f t="shared" si="17"/>
        <v>0</v>
      </c>
      <c r="BV29" s="16">
        <f t="shared" si="18"/>
        <v>0</v>
      </c>
      <c r="BW29" s="16">
        <f t="shared" si="18"/>
        <v>0</v>
      </c>
      <c r="BX29" s="23">
        <v>24</v>
      </c>
      <c r="BY29" s="16">
        <f t="shared" si="19"/>
        <v>1.7411011265922482</v>
      </c>
      <c r="BZ29" s="16">
        <f t="shared" si="20"/>
        <v>0</v>
      </c>
      <c r="CA29" s="16">
        <f t="shared" si="23"/>
        <v>0</v>
      </c>
      <c r="CB29" s="16">
        <f t="shared" si="21"/>
        <v>0</v>
      </c>
      <c r="CC29" s="19">
        <f t="shared" si="22"/>
        <v>0</v>
      </c>
      <c r="CD29" s="19">
        <f t="shared" si="22"/>
        <v>0</v>
      </c>
    </row>
    <row r="30" spans="2:82" ht="15.75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4"/>
        <v>3</v>
      </c>
      <c r="AB30" s="16">
        <f t="shared" si="5"/>
        <v>3</v>
      </c>
      <c r="AC30" s="16">
        <f t="shared" si="6"/>
        <v>2</v>
      </c>
      <c r="AD30" s="16">
        <f>$F$36/$I30-MOD($F$36/$I30,1)</f>
        <v>2</v>
      </c>
      <c r="AE30" s="16">
        <f t="shared" si="8"/>
        <v>2</v>
      </c>
      <c r="AF30" s="9">
        <f t="shared" si="0"/>
        <v>2</v>
      </c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23">
        <v>25</v>
      </c>
      <c r="BD30" s="16">
        <v>0</v>
      </c>
      <c r="BE30" s="16">
        <v>1</v>
      </c>
      <c r="BF30" s="16">
        <v>0</v>
      </c>
      <c r="BG30" s="16">
        <v>0</v>
      </c>
      <c r="BH30" s="19">
        <v>0</v>
      </c>
      <c r="BI30" s="16">
        <v>0</v>
      </c>
      <c r="BJ30" s="22">
        <v>25</v>
      </c>
      <c r="BK30" s="16">
        <f t="shared" si="9"/>
        <v>0</v>
      </c>
      <c r="BL30" s="16">
        <f t="shared" si="10"/>
        <v>1</v>
      </c>
      <c r="BM30" s="16">
        <f t="shared" si="11"/>
        <v>0</v>
      </c>
      <c r="BN30" s="16">
        <f t="shared" si="12"/>
        <v>0</v>
      </c>
      <c r="BO30" s="16">
        <f t="shared" si="13"/>
        <v>0</v>
      </c>
      <c r="BP30" s="16">
        <f t="shared" si="13"/>
        <v>0</v>
      </c>
      <c r="BQ30" s="23">
        <v>25</v>
      </c>
      <c r="BR30" s="16">
        <f t="shared" si="14"/>
        <v>0</v>
      </c>
      <c r="BS30" s="16">
        <f t="shared" si="15"/>
        <v>4</v>
      </c>
      <c r="BT30" s="16">
        <f t="shared" si="16"/>
        <v>0</v>
      </c>
      <c r="BU30" s="16">
        <f t="shared" si="17"/>
        <v>0</v>
      </c>
      <c r="BV30" s="16">
        <f t="shared" si="18"/>
        <v>0</v>
      </c>
      <c r="BW30" s="16">
        <f t="shared" si="18"/>
        <v>0</v>
      </c>
      <c r="BX30" s="23">
        <v>25</v>
      </c>
      <c r="BY30" s="16">
        <f t="shared" si="19"/>
        <v>0</v>
      </c>
      <c r="BZ30" s="16">
        <f t="shared" si="20"/>
        <v>3.4822022531844965</v>
      </c>
      <c r="CA30" s="16">
        <f t="shared" si="23"/>
        <v>0</v>
      </c>
      <c r="CB30" s="16">
        <f t="shared" si="21"/>
        <v>0</v>
      </c>
      <c r="CC30" s="19">
        <f t="shared" si="22"/>
        <v>0</v>
      </c>
      <c r="CD30" s="19">
        <f t="shared" si="22"/>
        <v>0</v>
      </c>
    </row>
    <row r="31" spans="2:82" ht="15.75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2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350000000000001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ht="15.75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ht="15.75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ht="15.75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ht="15.75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ht="15.75" x14ac:dyDescent="0.3">
      <c r="B38" s="32">
        <v>6</v>
      </c>
      <c r="C38" s="28">
        <v>40</v>
      </c>
      <c r="D38" s="8"/>
      <c r="E38" s="8">
        <v>6</v>
      </c>
      <c r="F38" s="8">
        <v>25</v>
      </c>
      <c r="G38" s="8"/>
      <c r="H38" s="8">
        <v>6</v>
      </c>
      <c r="I38" s="8">
        <v>0.45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ht="15.75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ht="15.75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ht="15.75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ht="15.75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ht="15.75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ht="15.75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ht="15.75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ht="15.75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ht="15.75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ht="15.75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ht="15.75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350000000000001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350000000000001" thickBot="1" x14ac:dyDescent="0.35">
      <c r="AH51" s="1">
        <f ca="1">SUM(INDIRECT(ADDRESS(6,26+ROWS($A$1:A3))):INDIRECT(ADDRESS(30,26+ROWS($A$1:A3))))</f>
        <v>78</v>
      </c>
    </row>
    <row r="52" spans="1:91" ht="15.75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ht="15.75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ht="15.75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350000000000001" thickBot="1" x14ac:dyDescent="0.35">
      <c r="B55" s="25" cm="1">
        <f t="array" ref="B55">SUMPRODUCT(MMULT(BY6:CD30*C6:C30*L6:L30*POWER(F6:F30,O6:O30),I33:I38))</f>
        <v>7165.3031686325785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350000000000001" thickBot="1" x14ac:dyDescent="0.35"/>
    <row r="57" spans="1:91" ht="15.75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SUM(AI6:AN6,AP6:AT6,AW6:BB6,BD6:BI6)</f>
        <v>1</v>
      </c>
      <c r="D63" s="8" t="s">
        <v>21</v>
      </c>
      <c r="E63" s="8">
        <v>1</v>
      </c>
      <c r="F63" s="8"/>
      <c r="G63" s="8"/>
      <c r="H63" s="8" cm="1">
        <f t="array" ref="H63">SUM(AA6:AF6*BR6:BW6-R6*BK6:BP6)</f>
        <v>1</v>
      </c>
      <c r="I63" s="8" t="s">
        <v>25</v>
      </c>
      <c r="J63" s="8">
        <v>0</v>
      </c>
      <c r="K63" s="8"/>
      <c r="L63" s="8"/>
      <c r="M63" s="8" cm="1">
        <f t="array" ref="M63">SUM(AA6:AF6*BR6:BW6-U6*BK6:BP6)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-1</v>
      </c>
      <c r="S63" s="8" t="s">
        <v>21</v>
      </c>
      <c r="T63" s="8">
        <v>0</v>
      </c>
      <c r="U63" s="8"/>
      <c r="V63" s="8"/>
      <c r="W63" s="8">
        <f ca="1">SUM(INDIRECT(ADDRESS(5+B47,63)):INDIRECT(ADDRESS(5+B47,68)))-SUM(INDIRECT(ADDRESS(5+C47,63)):INDIRECT(ADDRESS(5+C47,68)))</f>
        <v>0</v>
      </c>
      <c r="X63" s="8" t="s">
        <v>26</v>
      </c>
      <c r="Y63" s="8">
        <v>0</v>
      </c>
      <c r="Z63" s="8"/>
      <c r="AA63" s="8" cm="1">
        <f t="array" aca="1" ref="AA63" ca="1">INDIRECT(ADDRESS(5+$B42,62+COLUMNS($A1:F1)))+INDIRECT(ADDRESS(5+$C42,62+COLUMNS($A1:F1)))</f>
        <v>0</v>
      </c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>
        <v>1</v>
      </c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 t="shared" ref="C64:C87" si="24">SUM(AI7:AN7,AP7:AU7,AW7:BB7,BD7:BI7)</f>
        <v>1</v>
      </c>
      <c r="D64" s="8" t="s">
        <v>21</v>
      </c>
      <c r="E64" s="8">
        <v>1</v>
      </c>
      <c r="F64" s="8"/>
      <c r="G64" s="8"/>
      <c r="H64" s="8" cm="1">
        <f t="array" ref="H64">SUM(AA7:AF7*BR7:BW7-R7*BK7:BP7)</f>
        <v>3</v>
      </c>
      <c r="I64" s="8" t="s">
        <v>25</v>
      </c>
      <c r="J64" s="8">
        <v>0</v>
      </c>
      <c r="K64" s="8"/>
      <c r="L64" s="8"/>
      <c r="M64" s="8" cm="1">
        <f t="array" ref="M64">SUM(AA7:AF7*BR7:BW7-U7*BK7:BP7)</f>
        <v>-15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-1</v>
      </c>
      <c r="S64" s="8" t="s">
        <v>21</v>
      </c>
      <c r="T64" s="8">
        <v>0</v>
      </c>
      <c r="U64" s="8"/>
      <c r="V64" s="8"/>
      <c r="W64" s="8">
        <f ca="1">SUM(INDIRECT(ADDRESS(5+B48,63)):INDIRECT(ADDRESS(5+B48,68)))-SUM(INDIRECT(ADDRESS(5+C48,63)):INDIRECT(ADDRESS(5+C48,68)))</f>
        <v>0</v>
      </c>
      <c r="X64" s="8" t="s">
        <v>26</v>
      </c>
      <c r="Y64" s="8">
        <v>0</v>
      </c>
      <c r="Z64" s="8"/>
      <c r="AA64" s="8" cm="1">
        <f t="array" aca="1" ref="AA64" ca="1">INDIRECT(ADDRESS(5+$B43,62+COLUMNS($A2:F2)))+INDIRECT(ADDRESS(5+$C43,62+COLUMNS($A2:F2)))</f>
        <v>0</v>
      </c>
      <c r="AB64" s="8" cm="1">
        <f t="array" aca="1" ref="AB64" ca="1">INDIRECT(ADDRESS(5+$B43,62+COLUMNS($A2:A2)))+INDIRECT(ADDRESS(5+$C43,62+COLUMNS($A2:A2)))</f>
        <v>1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0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>
        <v>1</v>
      </c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24"/>
        <v>1</v>
      </c>
      <c r="D65" s="8" t="s">
        <v>21</v>
      </c>
      <c r="E65" s="8">
        <v>1</v>
      </c>
      <c r="F65" s="8"/>
      <c r="G65" s="8"/>
      <c r="H65" s="8" cm="1">
        <f t="array" ref="H65">SUM(AA8:AF8*BR8:BW8-R8*BK8:BP8)</f>
        <v>1</v>
      </c>
      <c r="I65" s="8" t="s">
        <v>25</v>
      </c>
      <c r="J65" s="8">
        <v>0</v>
      </c>
      <c r="K65" s="8"/>
      <c r="L65" s="8"/>
      <c r="M65" s="8" cm="1">
        <f t="array" ref="M65">SUM(AA8:AF8*BR8:BW8-U8*BK8:BP8)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21</v>
      </c>
      <c r="T65" s="8">
        <v>0</v>
      </c>
      <c r="U65" s="8"/>
      <c r="V65" s="8"/>
      <c r="W65" s="8">
        <f ca="1">SUM(INDIRECT(ADDRESS(5+B49,63)):INDIRECT(ADDRESS(5+B49,68)))-SUM(INDIRECT(ADDRESS(5+C49,63)):INDIRECT(ADDRESS(5+C49,68)))</f>
        <v>0</v>
      </c>
      <c r="X65" s="8" t="s">
        <v>26</v>
      </c>
      <c r="Y65" s="8">
        <v>0</v>
      </c>
      <c r="Z65" s="8"/>
      <c r="AA65" s="8" cm="1">
        <f t="array" aca="1" ref="AA65" ca="1">INDIRECT(ADDRESS(5+$B44,62+COLUMNS($A3:F3)))+INDIRECT(ADDRESS(5+$C44,62+COLUMNS($A3:F3)))</f>
        <v>0</v>
      </c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>
        <v>1</v>
      </c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24"/>
        <v>1</v>
      </c>
      <c r="D66" s="8" t="s">
        <v>21</v>
      </c>
      <c r="E66" s="8">
        <v>1</v>
      </c>
      <c r="F66" s="8"/>
      <c r="G66" s="8"/>
      <c r="H66" s="8" cm="1">
        <f t="array" ref="H66">SUM(AA9:AF9*BR9:BW9-R9*BK9:BP9)</f>
        <v>2</v>
      </c>
      <c r="I66" s="8" t="s">
        <v>25</v>
      </c>
      <c r="J66" s="8">
        <v>0</v>
      </c>
      <c r="K66" s="8"/>
      <c r="L66" s="8"/>
      <c r="M66" s="8" cm="1">
        <f t="array" ref="M66">SUM(AA9:AF9*BR9:BW9-U9*BK9:BP9)</f>
        <v>-6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-2</v>
      </c>
      <c r="S66" s="8" t="s">
        <v>21</v>
      </c>
      <c r="T66" s="8">
        <v>0</v>
      </c>
      <c r="U66" s="8"/>
      <c r="V66" s="8"/>
      <c r="W66" s="8">
        <f ca="1">SUM(INDIRECT(ADDRESS(5+B50,63)):INDIRECT(ADDRESS(5+B50,68)))-SUM(INDIRECT(ADDRESS(5+C50,63)):INDIRECT(ADDRESS(5+C50,68)))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24"/>
        <v>1</v>
      </c>
      <c r="D67" s="8" t="s">
        <v>21</v>
      </c>
      <c r="E67" s="8">
        <v>1</v>
      </c>
      <c r="F67" s="11"/>
      <c r="G67" s="8"/>
      <c r="H67" s="8" cm="1">
        <f t="array" ref="H67">SUM(AA10:AF10*BR10:BW10-R10*BK10:BP10)</f>
        <v>7</v>
      </c>
      <c r="I67" s="8" t="s">
        <v>25</v>
      </c>
      <c r="J67" s="8">
        <v>0</v>
      </c>
      <c r="K67" s="8"/>
      <c r="L67" s="8"/>
      <c r="M67" s="8" cm="1">
        <f t="array" ref="M67">SUM(AA10:AF10*BR10:BW10-U10*BK10:BP10)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0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24"/>
        <v>1</v>
      </c>
      <c r="D68" s="8" t="s">
        <v>21</v>
      </c>
      <c r="E68" s="8">
        <v>1</v>
      </c>
      <c r="F68" s="11"/>
      <c r="G68" s="8"/>
      <c r="H68" s="8" cm="1">
        <f t="array" ref="H68">SUM(AA11:AF11*BR11:BW11-R11*BK11:BP11)</f>
        <v>2</v>
      </c>
      <c r="I68" s="8" t="s">
        <v>25</v>
      </c>
      <c r="J68" s="8">
        <v>0</v>
      </c>
      <c r="K68" s="8"/>
      <c r="L68" s="8"/>
      <c r="M68" s="8" cm="1">
        <f t="array" ref="M68">SUM(AA11:AF11*BR11:BW11-U11*BK11:BP11)</f>
        <v>-18</v>
      </c>
      <c r="N68" s="8" t="s">
        <v>21</v>
      </c>
      <c r="O68" s="8">
        <v>0</v>
      </c>
      <c r="P68" s="8"/>
      <c r="Q68" s="8"/>
      <c r="R68" s="8" cm="1">
        <f t="array" aca="1" ref="R68" ca="1">-C38+SUM(INDIRECT(ADDRESS(6,69+ROWS($A$1:A6))):INDIRECT(ADDRESS(30,69+ROWS($A$1:A6)))*$F$6:$F$30)</f>
        <v>0</v>
      </c>
      <c r="S68" s="8" t="s">
        <v>21</v>
      </c>
      <c r="T68" s="8">
        <v>0</v>
      </c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24"/>
        <v>0</v>
      </c>
      <c r="D69" s="8" t="s">
        <v>21</v>
      </c>
      <c r="E69" s="8">
        <v>1</v>
      </c>
      <c r="F69" s="11"/>
      <c r="G69" s="8"/>
      <c r="H69" s="8" cm="1">
        <f t="array" ref="H69">SUM(AA12:AF12*BR12:BW12-R12*BK12:BP12)</f>
        <v>0</v>
      </c>
      <c r="I69" s="8" t="s">
        <v>25</v>
      </c>
      <c r="J69" s="8">
        <v>0</v>
      </c>
      <c r="K69" s="8"/>
      <c r="L69" s="8"/>
      <c r="M69" s="8" cm="1">
        <f t="array" ref="M69">SUM(AA12:AF12*BR12:BW12-U12*BK12:BP12)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 t="s">
        <v>1167</v>
      </c>
      <c r="X69" s="8"/>
      <c r="Y69" s="8"/>
      <c r="Z69" s="8"/>
      <c r="AA69" s="8"/>
      <c r="AB69" s="8"/>
      <c r="AC69" s="8"/>
      <c r="AD69" s="8"/>
      <c r="AE69" s="8" t="s">
        <v>1168</v>
      </c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24"/>
        <v>1</v>
      </c>
      <c r="D70" s="8" t="s">
        <v>21</v>
      </c>
      <c r="E70" s="8">
        <v>1</v>
      </c>
      <c r="F70" s="11"/>
      <c r="G70" s="8"/>
      <c r="H70" s="8" cm="1">
        <f t="array" ref="H70">SUM(AA13:AF13*BR13:BW13-R13*BK13:BP13)</f>
        <v>2</v>
      </c>
      <c r="I70" s="8" t="s">
        <v>25</v>
      </c>
      <c r="J70" s="8">
        <v>0</v>
      </c>
      <c r="K70" s="8"/>
      <c r="L70" s="8"/>
      <c r="M70" s="8" cm="1">
        <f t="array" ref="M70">SUM(AA13:AF13*BR13:BW13-U13*BK13:BP13)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24"/>
        <v>1</v>
      </c>
      <c r="D71" s="8" t="s">
        <v>21</v>
      </c>
      <c r="E71" s="8">
        <v>1</v>
      </c>
      <c r="F71" s="11"/>
      <c r="G71" s="8"/>
      <c r="H71" s="8" cm="1">
        <f t="array" ref="H71">SUM(AA14:AF14*BR14:BW14-R14*BK14:BP14)</f>
        <v>7</v>
      </c>
      <c r="I71" s="8" t="s">
        <v>25</v>
      </c>
      <c r="J71" s="8">
        <v>0</v>
      </c>
      <c r="K71" s="8"/>
      <c r="L71" s="8"/>
      <c r="M71" s="8" cm="1">
        <f t="array" ref="M71">SUM(AA14:AF14*BR14:BW14-U14*BK14:BP14)</f>
        <v>-2</v>
      </c>
      <c r="N71" s="8" t="s">
        <v>21</v>
      </c>
      <c r="O71" s="8">
        <v>0</v>
      </c>
      <c r="P71" s="8"/>
      <c r="Q71" s="8"/>
      <c r="R71" s="8" t="s">
        <v>1169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24"/>
        <v>1</v>
      </c>
      <c r="D72" s="8" t="s">
        <v>21</v>
      </c>
      <c r="E72" s="8">
        <v>1</v>
      </c>
      <c r="F72" s="11"/>
      <c r="G72" s="8"/>
      <c r="H72" s="8" cm="1">
        <f t="array" ref="H72">SUM(AA15:AF15*BR15:BW15-R15*BK15:BP15)</f>
        <v>7</v>
      </c>
      <c r="I72" s="8" t="s">
        <v>25</v>
      </c>
      <c r="J72" s="8">
        <v>0</v>
      </c>
      <c r="K72" s="8"/>
      <c r="L72" s="8"/>
      <c r="M72" s="8" cm="1">
        <f t="array" ref="M72">SUM(AA15:AF15*BR15:BW15-U15*BK15:BP15)</f>
        <v>-3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24"/>
        <v>0</v>
      </c>
      <c r="D73" s="8" t="s">
        <v>21</v>
      </c>
      <c r="E73" s="8">
        <v>1</v>
      </c>
      <c r="F73" s="11"/>
      <c r="G73" s="8"/>
      <c r="H73" s="8" cm="1">
        <f t="array" ref="H73">SUM(AA16:AF16*BR16:BW16-R16*BK16:BP16)</f>
        <v>0</v>
      </c>
      <c r="I73" s="8" t="s">
        <v>25</v>
      </c>
      <c r="J73" s="8">
        <v>0</v>
      </c>
      <c r="K73" s="8"/>
      <c r="L73" s="8"/>
      <c r="M73" s="8" cm="1">
        <f t="array" ref="M73">SUM(AA16:AF16*BR16:BW16-U16*BK16:BP16)</f>
        <v>0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24"/>
        <v>1</v>
      </c>
      <c r="D74" s="8" t="s">
        <v>21</v>
      </c>
      <c r="E74" s="8">
        <v>1</v>
      </c>
      <c r="F74" s="11"/>
      <c r="G74" s="8"/>
      <c r="H74" s="8" cm="1">
        <f t="array" ref="H74">SUM(AA17:AF17*BR17:BW17-R17*BK17:BP17)</f>
        <v>14</v>
      </c>
      <c r="I74" s="8" t="s">
        <v>25</v>
      </c>
      <c r="J74" s="8">
        <v>0</v>
      </c>
      <c r="K74" s="8"/>
      <c r="L74" s="8"/>
      <c r="M74" s="8" cm="1">
        <f t="array" ref="M74">SUM(AA17:AF17*BR17:BW17-U17*BK17:BP17)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24"/>
        <v>0</v>
      </c>
      <c r="D75" s="8" t="s">
        <v>21</v>
      </c>
      <c r="E75" s="8">
        <v>1</v>
      </c>
      <c r="F75" s="11"/>
      <c r="G75" s="8"/>
      <c r="H75" s="8" cm="1">
        <f t="array" ref="H75">SUM(AA18:AF18*BR18:BW18-R18*BK18:BP18)</f>
        <v>0</v>
      </c>
      <c r="I75" s="8" t="s">
        <v>25</v>
      </c>
      <c r="J75" s="8">
        <v>0</v>
      </c>
      <c r="K75" s="8"/>
      <c r="L75" s="8"/>
      <c r="M75" s="8" cm="1">
        <f t="array" ref="M75">SUM(AA18:AF18*BR18:BW18-U18*BK18:BP18)</f>
        <v>0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24"/>
        <v>1</v>
      </c>
      <c r="D76" s="8" t="s">
        <v>21</v>
      </c>
      <c r="E76" s="8">
        <v>1</v>
      </c>
      <c r="F76" s="8"/>
      <c r="G76" s="8"/>
      <c r="H76" s="8" cm="1">
        <f t="array" ref="H76">SUM(AA19:AF19*BR19:BW19-R19*BK19:BP19)</f>
        <v>5</v>
      </c>
      <c r="I76" s="8" t="s">
        <v>25</v>
      </c>
      <c r="J76" s="8">
        <v>0</v>
      </c>
      <c r="K76" s="8"/>
      <c r="L76" s="8"/>
      <c r="M76" s="8" cm="1">
        <f t="array" ref="M76">SUM(AA19:AF19*BR19:BW19-U19*BK19:BP19)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24"/>
        <v>1</v>
      </c>
      <c r="D77" s="8" t="s">
        <v>21</v>
      </c>
      <c r="E77" s="8">
        <v>1</v>
      </c>
      <c r="F77" s="8"/>
      <c r="G77" s="8"/>
      <c r="H77" s="8" cm="1">
        <f t="array" ref="H77">SUM(AA20:AF20*BR20:BW20-R20*BK20:BP20)</f>
        <v>9</v>
      </c>
      <c r="I77" s="8" t="s">
        <v>25</v>
      </c>
      <c r="J77" s="8">
        <v>0</v>
      </c>
      <c r="K77" s="8"/>
      <c r="L77" s="8"/>
      <c r="M77" s="8" cm="1">
        <f t="array" ref="M77">SUM(AA20:AF20*BR20:BW20-U20*BK20:BP20)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4"/>
        <v>0</v>
      </c>
      <c r="D78" s="8" t="s">
        <v>21</v>
      </c>
      <c r="E78" s="8">
        <v>1</v>
      </c>
      <c r="F78" s="8"/>
      <c r="G78" s="8"/>
      <c r="H78" s="8" cm="1">
        <f t="array" ref="H78">SUM(AA21:AF21*BR21:BW21-R21*BK21:BP21)</f>
        <v>0</v>
      </c>
      <c r="I78" s="8" t="s">
        <v>25</v>
      </c>
      <c r="J78" s="8">
        <v>0</v>
      </c>
      <c r="K78" s="8"/>
      <c r="L78" s="8"/>
      <c r="M78" s="8" cm="1">
        <f t="array" ref="M78">SUM(AA21:AF21*BR21:BW21-U21*BK21:BP21)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4"/>
        <v>0</v>
      </c>
      <c r="D79" s="8" t="s">
        <v>21</v>
      </c>
      <c r="E79" s="8">
        <v>1</v>
      </c>
      <c r="F79" s="8"/>
      <c r="G79" s="8"/>
      <c r="H79" s="8" cm="1">
        <f t="array" ref="H79">SUM(AA22:AF22*BR22:BW22-R22*BK22:BP22)</f>
        <v>0</v>
      </c>
      <c r="I79" s="8" t="s">
        <v>25</v>
      </c>
      <c r="J79" s="8">
        <v>0</v>
      </c>
      <c r="K79" s="8"/>
      <c r="L79" s="8"/>
      <c r="M79" s="8" cm="1">
        <f t="array" ref="M79">SUM(AA22:AF22*BR22:BW22-U22*BK22:BP22)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4"/>
        <v>0</v>
      </c>
      <c r="D80" s="8" t="s">
        <v>21</v>
      </c>
      <c r="E80" s="8">
        <v>1</v>
      </c>
      <c r="F80" s="8"/>
      <c r="G80" s="8"/>
      <c r="H80" s="8" cm="1">
        <f t="array" ref="H80">SUM(AA23:AF23*BR23:BW23-R23*BK23:BP23)</f>
        <v>0</v>
      </c>
      <c r="I80" s="8" t="s">
        <v>25</v>
      </c>
      <c r="J80" s="8">
        <v>0</v>
      </c>
      <c r="K80" s="8"/>
      <c r="L80" s="8"/>
      <c r="M80" s="8" cm="1">
        <f t="array" ref="M80">SUM(AA23:AF23*BR23:BW23-U23*BK23:BP23)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4"/>
        <v>0</v>
      </c>
      <c r="D81" s="8" t="s">
        <v>21</v>
      </c>
      <c r="E81" s="8">
        <v>1</v>
      </c>
      <c r="F81" s="8"/>
      <c r="G81" s="8"/>
      <c r="H81" s="8" cm="1">
        <f t="array" ref="H81">SUM(AA24:AF24*BR24:BW24-R24*BK24:BP24)</f>
        <v>0</v>
      </c>
      <c r="I81" s="8" t="s">
        <v>25</v>
      </c>
      <c r="J81" s="8">
        <v>0</v>
      </c>
      <c r="K81" s="8"/>
      <c r="L81" s="8"/>
      <c r="M81" s="8" cm="1">
        <f t="array" ref="M81">SUM(AA24:AF24*BR24:BW24-U24*BK24:BP24)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4"/>
        <v>0</v>
      </c>
      <c r="D82" s="8" t="s">
        <v>21</v>
      </c>
      <c r="E82" s="8">
        <v>1</v>
      </c>
      <c r="F82" s="8"/>
      <c r="G82" s="8"/>
      <c r="H82" s="8" cm="1">
        <f t="array" ref="H82">SUM(AA25:AF25*BR25:BW25-R25*BK25:BP25)</f>
        <v>0</v>
      </c>
      <c r="I82" s="8" t="s">
        <v>25</v>
      </c>
      <c r="J82" s="8">
        <v>0</v>
      </c>
      <c r="K82" s="8"/>
      <c r="L82" s="8"/>
      <c r="M82" s="8" cm="1">
        <f t="array" ref="M82">SUM(AA25:AF25*BR25:BW25-U25*BK25:BP25)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4"/>
        <v>1</v>
      </c>
      <c r="D83" s="8" t="s">
        <v>21</v>
      </c>
      <c r="E83" s="8">
        <v>1</v>
      </c>
      <c r="F83" s="8"/>
      <c r="G83" s="8"/>
      <c r="H83" s="8" cm="1">
        <f t="array" ref="H83">SUM(AA26:AF26*BR26:BW26-R26*BK26:BP26)</f>
        <v>10</v>
      </c>
      <c r="I83" s="8" t="s">
        <v>25</v>
      </c>
      <c r="J83" s="8">
        <v>0</v>
      </c>
      <c r="K83" s="8"/>
      <c r="L83" s="8"/>
      <c r="M83" s="8" cm="1">
        <f t="array" ref="M83">SUM(AA26:AF26*BR26:BW26-U26*BK26:BP26)</f>
        <v>-12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4"/>
        <v>1</v>
      </c>
      <c r="D84" s="8" t="s">
        <v>21</v>
      </c>
      <c r="E84" s="8">
        <v>1</v>
      </c>
      <c r="F84" s="8"/>
      <c r="G84" s="8"/>
      <c r="H84" s="8" cm="1">
        <f t="array" ref="H84">SUM(AA27:AF27*BR27:BW27-R27*BK27:BP27)</f>
        <v>2</v>
      </c>
      <c r="I84" s="8" t="s">
        <v>25</v>
      </c>
      <c r="J84" s="8">
        <v>0</v>
      </c>
      <c r="K84" s="8"/>
      <c r="L84" s="8"/>
      <c r="M84" s="8" cm="1">
        <f t="array" ref="M84">SUM(AA27:AF27*BR27:BW27-U27*BK27:BP27)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4"/>
        <v>1</v>
      </c>
      <c r="D85" s="8" t="s">
        <v>21</v>
      </c>
      <c r="E85" s="8">
        <v>1</v>
      </c>
      <c r="F85" s="8"/>
      <c r="G85" s="8"/>
      <c r="H85" s="8" cm="1">
        <f t="array" ref="H85">SUM(AA28:AF28*BR28:BW28-R28*BK28:BP28)</f>
        <v>2</v>
      </c>
      <c r="I85" s="8" t="s">
        <v>25</v>
      </c>
      <c r="J85" s="8">
        <v>0</v>
      </c>
      <c r="K85" s="8"/>
      <c r="L85" s="8"/>
      <c r="M85" s="8" cm="1">
        <f t="array" ref="M85">SUM(AA28:AF28*BR28:BW28-U28*BK28:BP28)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4"/>
        <v>1</v>
      </c>
      <c r="D86" s="8" t="s">
        <v>21</v>
      </c>
      <c r="E86" s="8">
        <v>1</v>
      </c>
      <c r="F86" s="8"/>
      <c r="G86" s="8"/>
      <c r="H86" s="8" cm="1">
        <f t="array" ref="H86">SUM(AA29:AF29*BR29:BW29-R29*BK29:BP29)</f>
        <v>11</v>
      </c>
      <c r="I86" s="8" t="s">
        <v>25</v>
      </c>
      <c r="J86" s="8">
        <v>0</v>
      </c>
      <c r="K86" s="8"/>
      <c r="L86" s="8"/>
      <c r="M86" s="8" cm="1">
        <f t="array" ref="M86">SUM(AA29:AF29*BR29:BW29-U29*BK29:BP29)</f>
        <v>-4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 t="shared" si="24"/>
        <v>1</v>
      </c>
      <c r="D87" s="8" t="s">
        <v>21</v>
      </c>
      <c r="E87" s="8">
        <v>1</v>
      </c>
      <c r="F87" s="8"/>
      <c r="G87" s="8"/>
      <c r="H87" s="8" cm="1">
        <f t="array" ref="H87">SUM(AA30:AF30*BR30:BW30-R30*BK30:BP30)</f>
        <v>10</v>
      </c>
      <c r="I87" s="8" t="s">
        <v>25</v>
      </c>
      <c r="J87" s="8">
        <v>0</v>
      </c>
      <c r="K87" s="8"/>
      <c r="L87" s="8"/>
      <c r="M87" s="8" cm="1">
        <f t="array" ref="M87">SUM(AA30:AF30*BR30:BW30-U30*BK30:BP30)</f>
        <v>-2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 t="s">
        <v>1166</v>
      </c>
      <c r="D89" s="8"/>
      <c r="E89" s="8"/>
      <c r="F89" s="8"/>
      <c r="G89" s="8"/>
      <c r="H89" s="8" t="s">
        <v>1166</v>
      </c>
      <c r="I89" s="8"/>
      <c r="J89" s="8"/>
      <c r="K89" s="8"/>
      <c r="L89" s="8"/>
      <c r="M89" s="8" t="s">
        <v>1166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2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ersel hengrmen</cp:lastModifiedBy>
  <dcterms:created xsi:type="dcterms:W3CDTF">2021-01-09T17:11:28Z</dcterms:created>
  <dcterms:modified xsi:type="dcterms:W3CDTF">2021-01-13T19:20:11Z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