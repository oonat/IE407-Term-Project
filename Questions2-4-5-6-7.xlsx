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eng\OneDrive\Documents\GitHub\IE407-Term-Project\"/>
    </mc:Choice>
  </mc:AlternateContent>
  <xr:revisionPtr revIDLastSave="0" documentId="13_ncr:1_{BED322C3-9AA4-4173-92C7-27A84616545D}" xr6:coauthVersionLast="46" xr6:coauthVersionMax="46" xr10:uidLastSave="{00000000-0000-0000-0000-000000000000}"/>
  <bookViews>
    <workbookView xWindow="-108" yWindow="-108" windowWidth="23256" windowHeight="12576" activeTab="2" xr2:uid="{29C75357-6D86-4F34-87D3-5ABA805A4EC9}"/>
  </bookViews>
  <sheets>
    <sheet name="Sayfa1 Sensitivity" sheetId="2" r:id="rId1"/>
    <sheet name="Q2" sheetId="1" r:id="rId2"/>
    <sheet name="Q4" sheetId="3" r:id="rId3"/>
    <sheet name="Q5" sheetId="4" r:id="rId4"/>
    <sheet name="Q6-115cm" sheetId="5" r:id="rId5"/>
    <sheet name="Q6-120cm" sheetId="7" r:id="rId6"/>
    <sheet name="Q7" sheetId="6" r:id="rId7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'Q2'!$AI$6:$AM$30,'Q2'!$AP$6:$AT$30,'Q2'!$AW$6:$BA$30,'Q2'!$BD$6:$BH$30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'Q2'!$C$63:$C$87</definedName>
    <definedName name="solver_lhs10" localSheetId="1" hidden="1">'Q2'!$BD$6:$BH$30</definedName>
    <definedName name="solver_lhs2" localSheetId="1" hidden="1">'Q2'!$H$63:$H$87</definedName>
    <definedName name="solver_lhs3" localSheetId="1" hidden="1">'Q2'!$M$63:$M$87</definedName>
    <definedName name="solver_lhs4" localSheetId="1" hidden="1">'Q2'!$R$63:$R$67</definedName>
    <definedName name="solver_lhs5" localSheetId="1" hidden="1">'Q2'!$W$63:$W$66</definedName>
    <definedName name="solver_lhs6" localSheetId="1" hidden="1">'Q2'!$AB$63:$AF$65</definedName>
    <definedName name="solver_lhs7" localSheetId="1" hidden="1">'Q2'!$AI$6:$AM$30</definedName>
    <definedName name="solver_lhs8" localSheetId="1" hidden="1">'Q2'!$AP$6:$AT$30</definedName>
    <definedName name="solver_lhs9" localSheetId="1" hidden="1">'Q2'!$AW$6:$BA$30</definedName>
    <definedName name="solver_neg" localSheetId="1" hidden="1">1</definedName>
    <definedName name="solver_num" localSheetId="1" hidden="1">10</definedName>
    <definedName name="solver_nwt" localSheetId="1" hidden="1">1</definedName>
    <definedName name="solver_opt" localSheetId="1" hidden="1">'Q2'!$B$55</definedName>
    <definedName name="solver_pre" localSheetId="1" hidden="1">0.000001</definedName>
    <definedName name="solver_rel1" localSheetId="1" hidden="1">1</definedName>
    <definedName name="solver_rel10" localSheetId="1" hidden="1">5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'Q2'!$E$63:$E$87</definedName>
    <definedName name="solver_rhs10" localSheetId="1" hidden="1">binary</definedName>
    <definedName name="solver_rhs2" localSheetId="1" hidden="1">'Q2'!$J$63:$J$87</definedName>
    <definedName name="solver_rhs3" localSheetId="1" hidden="1">'Q2'!$O$63:$O$87</definedName>
    <definedName name="solver_rhs4" localSheetId="1" hidden="1">'Q2'!$T$63:$T$67</definedName>
    <definedName name="solver_rhs5" localSheetId="1" hidden="1">'Q2'!$Y$63:$Y$66</definedName>
    <definedName name="solver_rhs6" localSheetId="1" hidden="1">'Q2'!$AH$63:$AL$65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7" i="7" l="1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BR35" i="7"/>
  <c r="BK35" i="7"/>
  <c r="BD35" i="7"/>
  <c r="AW35" i="7"/>
  <c r="AP35" i="7"/>
  <c r="AI35" i="7"/>
  <c r="AA35" i="7"/>
  <c r="CC30" i="7"/>
  <c r="CB30" i="7"/>
  <c r="CA30" i="7"/>
  <c r="BZ30" i="7"/>
  <c r="BY30" i="7"/>
  <c r="BV30" i="7"/>
  <c r="BU30" i="7"/>
  <c r="BT30" i="7"/>
  <c r="BS30" i="7"/>
  <c r="BR30" i="7"/>
  <c r="BO30" i="7"/>
  <c r="BN30" i="7"/>
  <c r="BM30" i="7"/>
  <c r="BL30" i="7"/>
  <c r="BK30" i="7"/>
  <c r="AE30" i="7"/>
  <c r="AD30" i="7"/>
  <c r="AC30" i="7"/>
  <c r="AB30" i="7"/>
  <c r="AA30" i="7"/>
  <c r="M87" i="7" s="1" a="1"/>
  <c r="M87" i="7" s="1"/>
  <c r="CC29" i="7"/>
  <c r="CB29" i="7"/>
  <c r="CA29" i="7"/>
  <c r="BZ29" i="7"/>
  <c r="BY29" i="7"/>
  <c r="BV29" i="7"/>
  <c r="BU29" i="7"/>
  <c r="BT29" i="7"/>
  <c r="BS29" i="7"/>
  <c r="BR29" i="7"/>
  <c r="BO29" i="7"/>
  <c r="BN29" i="7"/>
  <c r="BM29" i="7"/>
  <c r="BL29" i="7"/>
  <c r="BK29" i="7"/>
  <c r="AE29" i="7"/>
  <c r="AD29" i="7"/>
  <c r="AC29" i="7"/>
  <c r="AB29" i="7"/>
  <c r="AA29" i="7"/>
  <c r="H86" i="7" s="1" a="1"/>
  <c r="H86" i="7" s="1"/>
  <c r="CC28" i="7"/>
  <c r="CB28" i="7"/>
  <c r="CA28" i="7"/>
  <c r="BZ28" i="7"/>
  <c r="BY28" i="7"/>
  <c r="BV28" i="7"/>
  <c r="BU28" i="7"/>
  <c r="BT28" i="7"/>
  <c r="BS28" i="7"/>
  <c r="BR28" i="7"/>
  <c r="BO28" i="7"/>
  <c r="BN28" i="7"/>
  <c r="BM28" i="7"/>
  <c r="BL28" i="7"/>
  <c r="BK28" i="7"/>
  <c r="AE28" i="7"/>
  <c r="AD28" i="7"/>
  <c r="AC28" i="7"/>
  <c r="AB28" i="7"/>
  <c r="AA28" i="7"/>
  <c r="M85" i="7" s="1" a="1"/>
  <c r="M85" i="7" s="1"/>
  <c r="CC27" i="7"/>
  <c r="CB27" i="7"/>
  <c r="CA27" i="7"/>
  <c r="BZ27" i="7"/>
  <c r="BY27" i="7"/>
  <c r="BV27" i="7"/>
  <c r="BU27" i="7"/>
  <c r="BT27" i="7"/>
  <c r="BS27" i="7"/>
  <c r="BR27" i="7"/>
  <c r="BO27" i="7"/>
  <c r="BN27" i="7"/>
  <c r="BM27" i="7"/>
  <c r="BL27" i="7"/>
  <c r="BK27" i="7"/>
  <c r="AE27" i="7"/>
  <c r="AD27" i="7"/>
  <c r="AC27" i="7"/>
  <c r="AB27" i="7"/>
  <c r="AA27" i="7"/>
  <c r="M84" i="7" s="1" a="1"/>
  <c r="M84" i="7" s="1"/>
  <c r="CC26" i="7"/>
  <c r="CB26" i="7"/>
  <c r="CA26" i="7"/>
  <c r="BZ26" i="7"/>
  <c r="BY26" i="7"/>
  <c r="BV26" i="7"/>
  <c r="BU26" i="7"/>
  <c r="BT26" i="7"/>
  <c r="H83" i="7" s="1" a="1"/>
  <c r="H83" i="7" s="1"/>
  <c r="BS26" i="7"/>
  <c r="BR26" i="7"/>
  <c r="BO26" i="7"/>
  <c r="BN26" i="7"/>
  <c r="BM26" i="7"/>
  <c r="BL26" i="7"/>
  <c r="BK26" i="7"/>
  <c r="AE26" i="7"/>
  <c r="AD26" i="7"/>
  <c r="AC26" i="7"/>
  <c r="AB26" i="7"/>
  <c r="AA26" i="7"/>
  <c r="M83" i="7" s="1" a="1"/>
  <c r="M83" i="7" s="1"/>
  <c r="CC25" i="7"/>
  <c r="CB25" i="7"/>
  <c r="CA25" i="7"/>
  <c r="BZ25" i="7"/>
  <c r="BY25" i="7"/>
  <c r="BV25" i="7"/>
  <c r="BU25" i="7"/>
  <c r="BT25" i="7"/>
  <c r="BS25" i="7"/>
  <c r="BR25" i="7"/>
  <c r="BO25" i="7"/>
  <c r="BN25" i="7"/>
  <c r="BM25" i="7"/>
  <c r="BL25" i="7"/>
  <c r="BK25" i="7"/>
  <c r="AE25" i="7"/>
  <c r="AD25" i="7"/>
  <c r="AC25" i="7"/>
  <c r="AB25" i="7"/>
  <c r="AA25" i="7"/>
  <c r="M82" i="7" s="1" a="1"/>
  <c r="M82" i="7" s="1"/>
  <c r="CC24" i="7"/>
  <c r="CB24" i="7"/>
  <c r="CA24" i="7"/>
  <c r="BZ24" i="7"/>
  <c r="BY24" i="7"/>
  <c r="BV24" i="7"/>
  <c r="BU24" i="7"/>
  <c r="BT24" i="7"/>
  <c r="M81" i="7" s="1" a="1"/>
  <c r="M81" i="7" s="1"/>
  <c r="BS24" i="7"/>
  <c r="BR24" i="7"/>
  <c r="BO24" i="7"/>
  <c r="BN24" i="7"/>
  <c r="BM24" i="7"/>
  <c r="BL24" i="7"/>
  <c r="BK24" i="7"/>
  <c r="AE24" i="7"/>
  <c r="AD24" i="7"/>
  <c r="AC24" i="7"/>
  <c r="AB24" i="7"/>
  <c r="AA24" i="7"/>
  <c r="H81" i="7" s="1" a="1"/>
  <c r="H81" i="7" s="1"/>
  <c r="CC23" i="7"/>
  <c r="CB23" i="7"/>
  <c r="CA23" i="7"/>
  <c r="BZ23" i="7"/>
  <c r="BY23" i="7"/>
  <c r="BV23" i="7"/>
  <c r="BU23" i="7"/>
  <c r="BT23" i="7"/>
  <c r="BS23" i="7"/>
  <c r="BR23" i="7"/>
  <c r="BO23" i="7"/>
  <c r="BN23" i="7"/>
  <c r="BM23" i="7"/>
  <c r="BL23" i="7"/>
  <c r="BK23" i="7"/>
  <c r="AE23" i="7"/>
  <c r="AD23" i="7"/>
  <c r="AC23" i="7"/>
  <c r="AB23" i="7"/>
  <c r="AA23" i="7"/>
  <c r="H80" i="7" s="1" a="1"/>
  <c r="H80" i="7" s="1"/>
  <c r="CC22" i="7"/>
  <c r="CB22" i="7"/>
  <c r="CA22" i="7"/>
  <c r="BZ22" i="7"/>
  <c r="BY22" i="7"/>
  <c r="BV22" i="7"/>
  <c r="BU22" i="7"/>
  <c r="BT22" i="7"/>
  <c r="BS22" i="7"/>
  <c r="BR22" i="7"/>
  <c r="BO22" i="7"/>
  <c r="BN22" i="7"/>
  <c r="BM22" i="7"/>
  <c r="BL22" i="7"/>
  <c r="BK22" i="7"/>
  <c r="AE22" i="7"/>
  <c r="AD22" i="7"/>
  <c r="AC22" i="7"/>
  <c r="AB22" i="7"/>
  <c r="AA22" i="7"/>
  <c r="M79" i="7" s="1" a="1"/>
  <c r="M79" i="7" s="1"/>
  <c r="CC21" i="7"/>
  <c r="CB21" i="7"/>
  <c r="CA21" i="7"/>
  <c r="BZ21" i="7"/>
  <c r="BY21" i="7"/>
  <c r="BV21" i="7"/>
  <c r="BU21" i="7"/>
  <c r="BT21" i="7"/>
  <c r="BS21" i="7"/>
  <c r="BR21" i="7"/>
  <c r="BO21" i="7"/>
  <c r="BN21" i="7"/>
  <c r="BM21" i="7"/>
  <c r="BL21" i="7"/>
  <c r="BK21" i="7"/>
  <c r="AE21" i="7"/>
  <c r="AD21" i="7"/>
  <c r="AC21" i="7"/>
  <c r="AB21" i="7"/>
  <c r="AA21" i="7"/>
  <c r="H78" i="7" s="1" a="1"/>
  <c r="H78" i="7" s="1"/>
  <c r="CC20" i="7"/>
  <c r="CB20" i="7"/>
  <c r="CA20" i="7"/>
  <c r="BZ20" i="7"/>
  <c r="BY20" i="7"/>
  <c r="BV20" i="7"/>
  <c r="BU20" i="7"/>
  <c r="BT20" i="7"/>
  <c r="BS20" i="7"/>
  <c r="BR20" i="7"/>
  <c r="BO20" i="7"/>
  <c r="BN20" i="7"/>
  <c r="BM20" i="7"/>
  <c r="BL20" i="7"/>
  <c r="BK20" i="7"/>
  <c r="AE20" i="7"/>
  <c r="AD20" i="7"/>
  <c r="AC20" i="7"/>
  <c r="AB20" i="7"/>
  <c r="AA20" i="7"/>
  <c r="M77" i="7" s="1" a="1"/>
  <c r="M77" i="7" s="1"/>
  <c r="CC19" i="7"/>
  <c r="CB19" i="7"/>
  <c r="CA19" i="7"/>
  <c r="BZ19" i="7"/>
  <c r="BY19" i="7"/>
  <c r="BV19" i="7"/>
  <c r="BU19" i="7"/>
  <c r="BT19" i="7"/>
  <c r="BS19" i="7"/>
  <c r="BR19" i="7"/>
  <c r="BO19" i="7"/>
  <c r="BN19" i="7"/>
  <c r="BM19" i="7"/>
  <c r="BL19" i="7"/>
  <c r="BK19" i="7"/>
  <c r="AE19" i="7"/>
  <c r="AD19" i="7"/>
  <c r="AC19" i="7"/>
  <c r="AB19" i="7"/>
  <c r="AA19" i="7"/>
  <c r="M76" i="7" s="1" a="1"/>
  <c r="M76" i="7" s="1"/>
  <c r="CC18" i="7"/>
  <c r="CB18" i="7"/>
  <c r="CA18" i="7"/>
  <c r="BZ18" i="7"/>
  <c r="BY18" i="7"/>
  <c r="BV18" i="7"/>
  <c r="BU18" i="7"/>
  <c r="BT18" i="7"/>
  <c r="H75" i="7" s="1" a="1"/>
  <c r="H75" i="7" s="1"/>
  <c r="BS18" i="7"/>
  <c r="BR18" i="7"/>
  <c r="BO18" i="7"/>
  <c r="BN18" i="7"/>
  <c r="BM18" i="7"/>
  <c r="BL18" i="7"/>
  <c r="BK18" i="7"/>
  <c r="AE18" i="7"/>
  <c r="AD18" i="7"/>
  <c r="AC18" i="7"/>
  <c r="AB18" i="7"/>
  <c r="AA18" i="7"/>
  <c r="M75" i="7" s="1" a="1"/>
  <c r="M75" i="7" s="1"/>
  <c r="CC17" i="7"/>
  <c r="CB17" i="7"/>
  <c r="CA17" i="7"/>
  <c r="BZ17" i="7"/>
  <c r="BY17" i="7"/>
  <c r="BV17" i="7"/>
  <c r="BU17" i="7"/>
  <c r="BT17" i="7"/>
  <c r="BS17" i="7"/>
  <c r="BR17" i="7"/>
  <c r="BO17" i="7"/>
  <c r="BN17" i="7"/>
  <c r="BM17" i="7"/>
  <c r="BL17" i="7"/>
  <c r="BK17" i="7"/>
  <c r="AE17" i="7"/>
  <c r="AD17" i="7"/>
  <c r="AC17" i="7"/>
  <c r="AB17" i="7"/>
  <c r="AA17" i="7"/>
  <c r="M74" i="7" s="1" a="1"/>
  <c r="M74" i="7" s="1"/>
  <c r="CC16" i="7"/>
  <c r="CB16" i="7"/>
  <c r="CA16" i="7"/>
  <c r="BZ16" i="7"/>
  <c r="BY16" i="7"/>
  <c r="BV16" i="7"/>
  <c r="BU16" i="7"/>
  <c r="BT16" i="7"/>
  <c r="M73" i="7" s="1" a="1"/>
  <c r="M73" i="7" s="1"/>
  <c r="BS16" i="7"/>
  <c r="BR16" i="7"/>
  <c r="BO16" i="7"/>
  <c r="BN16" i="7"/>
  <c r="BM16" i="7"/>
  <c r="BL16" i="7"/>
  <c r="BK16" i="7"/>
  <c r="AE16" i="7"/>
  <c r="AD16" i="7"/>
  <c r="AC16" i="7"/>
  <c r="AB16" i="7"/>
  <c r="AA16" i="7"/>
  <c r="H73" i="7" s="1" a="1"/>
  <c r="H73" i="7" s="1"/>
  <c r="CC15" i="7"/>
  <c r="CB15" i="7"/>
  <c r="CA15" i="7"/>
  <c r="BZ15" i="7"/>
  <c r="BY15" i="7"/>
  <c r="BV15" i="7"/>
  <c r="BU15" i="7"/>
  <c r="BT15" i="7"/>
  <c r="BS15" i="7"/>
  <c r="BR15" i="7"/>
  <c r="BO15" i="7"/>
  <c r="BN15" i="7"/>
  <c r="BM15" i="7"/>
  <c r="BL15" i="7"/>
  <c r="BK15" i="7"/>
  <c r="AE15" i="7"/>
  <c r="AD15" i="7"/>
  <c r="AC15" i="7"/>
  <c r="AB15" i="7"/>
  <c r="AA15" i="7"/>
  <c r="M72" i="7" s="1" a="1"/>
  <c r="M72" i="7" s="1"/>
  <c r="CC14" i="7"/>
  <c r="CB14" i="7"/>
  <c r="CA14" i="7"/>
  <c r="BZ14" i="7"/>
  <c r="BY14" i="7"/>
  <c r="BV14" i="7"/>
  <c r="BU14" i="7"/>
  <c r="BT14" i="7"/>
  <c r="BS14" i="7"/>
  <c r="BR14" i="7"/>
  <c r="BO14" i="7"/>
  <c r="BN14" i="7"/>
  <c r="BM14" i="7"/>
  <c r="BL14" i="7"/>
  <c r="BK14" i="7"/>
  <c r="AE14" i="7"/>
  <c r="AD14" i="7"/>
  <c r="AC14" i="7"/>
  <c r="AB14" i="7"/>
  <c r="AA14" i="7"/>
  <c r="M71" i="7" s="1" a="1"/>
  <c r="M71" i="7" s="1"/>
  <c r="CC13" i="7"/>
  <c r="CB13" i="7"/>
  <c r="CA13" i="7"/>
  <c r="BZ13" i="7"/>
  <c r="BY13" i="7"/>
  <c r="BV13" i="7"/>
  <c r="BU13" i="7"/>
  <c r="BT13" i="7"/>
  <c r="BS13" i="7"/>
  <c r="BR13" i="7"/>
  <c r="BO13" i="7"/>
  <c r="BN13" i="7"/>
  <c r="BM13" i="7"/>
  <c r="BL13" i="7"/>
  <c r="BK13" i="7"/>
  <c r="AE13" i="7"/>
  <c r="AD13" i="7"/>
  <c r="AC13" i="7"/>
  <c r="AB13" i="7"/>
  <c r="AA13" i="7"/>
  <c r="H70" i="7" s="1" a="1"/>
  <c r="H70" i="7" s="1"/>
  <c r="CC12" i="7"/>
  <c r="CB12" i="7"/>
  <c r="CA12" i="7"/>
  <c r="BZ12" i="7"/>
  <c r="BY12" i="7"/>
  <c r="BV12" i="7"/>
  <c r="BU12" i="7"/>
  <c r="BT12" i="7"/>
  <c r="BS12" i="7"/>
  <c r="BR12" i="7"/>
  <c r="BO12" i="7"/>
  <c r="BN12" i="7"/>
  <c r="BM12" i="7"/>
  <c r="BL12" i="7"/>
  <c r="BK12" i="7"/>
  <c r="AE12" i="7"/>
  <c r="AD12" i="7"/>
  <c r="AC12" i="7"/>
  <c r="AB12" i="7"/>
  <c r="AA12" i="7"/>
  <c r="M69" i="7" s="1" a="1"/>
  <c r="M69" i="7" s="1"/>
  <c r="CC11" i="7"/>
  <c r="CB11" i="7"/>
  <c r="CA11" i="7"/>
  <c r="BZ11" i="7"/>
  <c r="BY11" i="7"/>
  <c r="BV11" i="7"/>
  <c r="BU11" i="7"/>
  <c r="BT11" i="7"/>
  <c r="BS11" i="7"/>
  <c r="BR11" i="7"/>
  <c r="BO11" i="7"/>
  <c r="BN11" i="7"/>
  <c r="BM11" i="7"/>
  <c r="BL11" i="7"/>
  <c r="BK11" i="7"/>
  <c r="AE11" i="7"/>
  <c r="AD11" i="7"/>
  <c r="AC11" i="7"/>
  <c r="AB11" i="7"/>
  <c r="AA11" i="7"/>
  <c r="M68" i="7" s="1" a="1"/>
  <c r="M68" i="7" s="1"/>
  <c r="CC10" i="7"/>
  <c r="CB10" i="7"/>
  <c r="CA10" i="7"/>
  <c r="BZ10" i="7"/>
  <c r="BY10" i="7"/>
  <c r="BV10" i="7"/>
  <c r="BU10" i="7"/>
  <c r="BT10" i="7"/>
  <c r="M67" i="7" s="1" a="1"/>
  <c r="M67" i="7" s="1"/>
  <c r="BS10" i="7"/>
  <c r="BR10" i="7"/>
  <c r="BO10" i="7"/>
  <c r="BN10" i="7"/>
  <c r="BM10" i="7"/>
  <c r="BL10" i="7"/>
  <c r="BK10" i="7"/>
  <c r="AE10" i="7"/>
  <c r="AD10" i="7"/>
  <c r="AC10" i="7"/>
  <c r="AB10" i="7"/>
  <c r="AA10" i="7"/>
  <c r="H67" i="7" s="1" a="1"/>
  <c r="H67" i="7" s="1"/>
  <c r="CC9" i="7"/>
  <c r="CB9" i="7"/>
  <c r="CA9" i="7"/>
  <c r="BZ9" i="7"/>
  <c r="BY9" i="7"/>
  <c r="BV9" i="7"/>
  <c r="BU9" i="7"/>
  <c r="BT9" i="7"/>
  <c r="BS9" i="7"/>
  <c r="BR9" i="7"/>
  <c r="BO9" i="7"/>
  <c r="BN9" i="7"/>
  <c r="BM9" i="7"/>
  <c r="BL9" i="7"/>
  <c r="BK9" i="7"/>
  <c r="AE9" i="7"/>
  <c r="AD9" i="7"/>
  <c r="AC9" i="7"/>
  <c r="AB9" i="7"/>
  <c r="AA9" i="7"/>
  <c r="H66" i="7" s="1" a="1"/>
  <c r="H66" i="7" s="1"/>
  <c r="CC8" i="7"/>
  <c r="CB8" i="7"/>
  <c r="CA8" i="7"/>
  <c r="BZ8" i="7"/>
  <c r="BY8" i="7"/>
  <c r="BV8" i="7"/>
  <c r="BU8" i="7"/>
  <c r="BT8" i="7"/>
  <c r="BS8" i="7"/>
  <c r="BR8" i="7"/>
  <c r="BO8" i="7"/>
  <c r="BN8" i="7"/>
  <c r="BM8" i="7"/>
  <c r="BL8" i="7"/>
  <c r="BK8" i="7"/>
  <c r="AE8" i="7"/>
  <c r="AD8" i="7"/>
  <c r="AC8" i="7"/>
  <c r="AB8" i="7"/>
  <c r="AA8" i="7"/>
  <c r="M65" i="7" s="1" a="1"/>
  <c r="M65" i="7" s="1"/>
  <c r="CC7" i="7"/>
  <c r="CB7" i="7"/>
  <c r="CA7" i="7"/>
  <c r="BZ7" i="7"/>
  <c r="BY7" i="7"/>
  <c r="BV7" i="7"/>
  <c r="BU7" i="7"/>
  <c r="BT7" i="7"/>
  <c r="BS7" i="7"/>
  <c r="BR7" i="7"/>
  <c r="BO7" i="7"/>
  <c r="BN7" i="7"/>
  <c r="BM7" i="7"/>
  <c r="BL7" i="7"/>
  <c r="BK7" i="7"/>
  <c r="AE7" i="7"/>
  <c r="AD7" i="7"/>
  <c r="AC7" i="7"/>
  <c r="AB7" i="7"/>
  <c r="AA7" i="7"/>
  <c r="M64" i="7" s="1" a="1"/>
  <c r="M64" i="7" s="1"/>
  <c r="CC6" i="7"/>
  <c r="CB6" i="7"/>
  <c r="CA6" i="7"/>
  <c r="BZ6" i="7"/>
  <c r="BY6" i="7"/>
  <c r="BV6" i="7"/>
  <c r="BU6" i="7"/>
  <c r="BT6" i="7"/>
  <c r="BS6" i="7"/>
  <c r="BR6" i="7"/>
  <c r="BO6" i="7"/>
  <c r="BN6" i="7"/>
  <c r="BM6" i="7"/>
  <c r="BL6" i="7"/>
  <c r="BK6" i="7"/>
  <c r="M63" i="7" s="1" a="1"/>
  <c r="M63" i="7" s="1"/>
  <c r="AE6" i="7"/>
  <c r="AD6" i="7"/>
  <c r="AC6" i="7"/>
  <c r="AB6" i="7"/>
  <c r="AA6" i="7"/>
  <c r="H63" i="7" s="1" a="1"/>
  <c r="H63" i="7" s="1"/>
  <c r="BL39" i="7" a="1"/>
  <c r="BM41" i="7" a="1"/>
  <c r="BN40" i="7" a="1"/>
  <c r="AB65" i="7" a="1"/>
  <c r="R67" i="7" a="1"/>
  <c r="BN43" i="7" a="1"/>
  <c r="BK58" i="7" a="1"/>
  <c r="BK48" i="7" a="1"/>
  <c r="BL45" i="7" a="1"/>
  <c r="BN47" i="7" a="1"/>
  <c r="BM59" i="7" a="1"/>
  <c r="BM39" i="7" a="1"/>
  <c r="BL42" i="7" a="1"/>
  <c r="BO52" i="7" a="1"/>
  <c r="BK43" i="7" a="1"/>
  <c r="BN60" i="7" a="1"/>
  <c r="BM58" i="7" a="1"/>
  <c r="BL56" i="7" a="1"/>
  <c r="BM49" i="7" a="1"/>
  <c r="BO48" i="7" a="1"/>
  <c r="BM42" i="7" a="1"/>
  <c r="BN59" i="7" a="1"/>
  <c r="AE65" i="7" a="1"/>
  <c r="BO41" i="7" a="1"/>
  <c r="BM47" i="7" a="1"/>
  <c r="BM54" i="7" a="1"/>
  <c r="BL40" i="7" a="1"/>
  <c r="AB63" i="7" a="1"/>
  <c r="BL53" i="7" a="1"/>
  <c r="BM57" i="7" a="1"/>
  <c r="BK50" i="7" a="1"/>
  <c r="BM63" i="7" a="1"/>
  <c r="BK55" i="7" a="1"/>
  <c r="BM50" i="7" a="1"/>
  <c r="BL47" i="7" a="1"/>
  <c r="AF65" i="7" a="1"/>
  <c r="BO59" i="7" a="1"/>
  <c r="BO39" i="7" a="1"/>
  <c r="BM61" i="7" a="1"/>
  <c r="BK53" i="7" a="1"/>
  <c r="BO44" i="7" a="1"/>
  <c r="BL58" i="7" a="1"/>
  <c r="R64" i="7" a="1"/>
  <c r="AC63" i="7" a="1"/>
  <c r="W66" i="7"/>
  <c r="AF64" i="7" a="1"/>
  <c r="R66" i="7" a="1"/>
  <c r="R65" i="7" a="1"/>
  <c r="BO57" i="7" a="1"/>
  <c r="BO47" i="7" a="1"/>
  <c r="BN63" i="7" a="1"/>
  <c r="BN45" i="7" a="1"/>
  <c r="BM55" i="7" a="1"/>
  <c r="BL44" i="7" a="1"/>
  <c r="BO62" i="7" a="1"/>
  <c r="BK51" i="7" a="1"/>
  <c r="BK41" i="7" a="1"/>
  <c r="BN58" i="7" a="1"/>
  <c r="BM56" i="7" a="1"/>
  <c r="BL54" i="7" a="1"/>
  <c r="BK61" i="7" a="1"/>
  <c r="BL51" i="7" a="1"/>
  <c r="BN62" i="7" a="1"/>
  <c r="AE63" i="7" a="1"/>
  <c r="AB64" i="7" a="1"/>
  <c r="W65" i="7"/>
  <c r="BO61" i="7" a="1"/>
  <c r="BO55" i="7" a="1"/>
  <c r="BK46" i="7" a="1"/>
  <c r="BN61" i="7" a="1"/>
  <c r="BN41" i="7" a="1"/>
  <c r="BM53" i="7" a="1"/>
  <c r="BL63" i="7" a="1"/>
  <c r="BO60" i="7" a="1"/>
  <c r="BO50" i="7" a="1"/>
  <c r="BO40" i="7" a="1"/>
  <c r="BN56" i="7" a="1"/>
  <c r="BM52" i="7" a="1"/>
  <c r="BL52" i="7" a="1"/>
  <c r="BK39" i="7" a="1"/>
  <c r="BL50" i="7" a="1"/>
  <c r="BM46" i="7" a="1"/>
  <c r="BK63" i="7" a="1"/>
  <c r="BK45" i="7" a="1"/>
  <c r="BK42" i="7" a="1"/>
  <c r="BO43" i="7" a="1"/>
  <c r="BL59" i="7" a="1"/>
  <c r="BM60" i="7" a="1"/>
  <c r="BN46" i="7" a="1"/>
  <c r="AF63" i="7" a="1"/>
  <c r="BO45" i="7" a="1"/>
  <c r="BK62" i="7" a="1"/>
  <c r="BN53" i="7" a="1"/>
  <c r="BK57" i="7" a="1"/>
  <c r="BN44" i="7" a="1"/>
  <c r="W63" i="7"/>
  <c r="BK56" i="7" a="1"/>
  <c r="BN51" i="7" a="1"/>
  <c r="BM40" i="7" a="1"/>
  <c r="BN42" i="7" a="1"/>
  <c r="BK54" i="7" a="1"/>
  <c r="BN48" i="7" a="1"/>
  <c r="BL49" i="7" a="1"/>
  <c r="BO49" i="7" a="1"/>
  <c r="BN49" i="7" a="1"/>
  <c r="BL46" i="7" a="1"/>
  <c r="BM44" i="7" a="1"/>
  <c r="BL55" i="7" a="1"/>
  <c r="BO42" i="7" a="1"/>
  <c r="BO54" i="7" a="1"/>
  <c r="AE64" i="7" a="1"/>
  <c r="R63" i="7" a="1"/>
  <c r="W64" i="7"/>
  <c r="BN50" i="7" a="1"/>
  <c r="BO53" i="7" a="1"/>
  <c r="BK44" i="7" a="1"/>
  <c r="BN57" i="7" a="1"/>
  <c r="BN39" i="7" a="1"/>
  <c r="BM51" i="7" a="1"/>
  <c r="BL61" i="7" a="1"/>
  <c r="BK59" i="7" a="1"/>
  <c r="BK49" i="7" a="1"/>
  <c r="BN54" i="7" a="1"/>
  <c r="BM48" i="7" a="1"/>
  <c r="AD65" i="7" a="1"/>
  <c r="AC65" i="7" a="1"/>
  <c r="AD63" i="7" a="1"/>
  <c r="BK52" i="7" a="1"/>
  <c r="BN55" i="7" a="1"/>
  <c r="BL43" i="7" a="1"/>
  <c r="BO58" i="7" a="1"/>
  <c r="BL48" i="7" a="1"/>
  <c r="AD64" i="7" a="1"/>
  <c r="AC64" i="7" a="1"/>
  <c r="BO63" i="7" a="1"/>
  <c r="BO51" i="7" a="1"/>
  <c r="BL41" i="7" a="1"/>
  <c r="BL57" i="7" a="1"/>
  <c r="BK47" i="7" a="1"/>
  <c r="BL62" i="7" a="1"/>
  <c r="BO56" i="7" a="1"/>
  <c r="BN52" i="7" a="1"/>
  <c r="BK60" i="7" a="1"/>
  <c r="BK40" i="7" a="1"/>
  <c r="BM45" i="7" a="1"/>
  <c r="BO46" i="7" a="1"/>
  <c r="BL60" i="7" a="1"/>
  <c r="BM43" i="7" a="1"/>
  <c r="BM62" i="7" a="1"/>
  <c r="BL40" i="7" l="1"/>
  <c r="BL48" i="7"/>
  <c r="BL50" i="7"/>
  <c r="BL52" i="7"/>
  <c r="BL54" i="7"/>
  <c r="BL56" i="7"/>
  <c r="BL58" i="7"/>
  <c r="BL60" i="7"/>
  <c r="BL62" i="7"/>
  <c r="BM42" i="7"/>
  <c r="BM48" i="7"/>
  <c r="BM52" i="7"/>
  <c r="BM56" i="7"/>
  <c r="BM58" i="7"/>
  <c r="BM62" i="7"/>
  <c r="BN42" i="7"/>
  <c r="BN44" i="7"/>
  <c r="BN46" i="7"/>
  <c r="BN54" i="7"/>
  <c r="BN56" i="7"/>
  <c r="BN58" i="7"/>
  <c r="BN60" i="7"/>
  <c r="BM44" i="7"/>
  <c r="BM50" i="7"/>
  <c r="BM54" i="7"/>
  <c r="BM60" i="7"/>
  <c r="BK39" i="7"/>
  <c r="BO40" i="7"/>
  <c r="BK41" i="7"/>
  <c r="BK43" i="7"/>
  <c r="BO44" i="7"/>
  <c r="BO46" i="7"/>
  <c r="BK47" i="7"/>
  <c r="BO48" i="7"/>
  <c r="BK49" i="7"/>
  <c r="BO50" i="7"/>
  <c r="BK51" i="7"/>
  <c r="BO52" i="7"/>
  <c r="BK53" i="7"/>
  <c r="BK55" i="7"/>
  <c r="BK57" i="7"/>
  <c r="BO58" i="7"/>
  <c r="BK59" i="7"/>
  <c r="BO60" i="7"/>
  <c r="BO62" i="7"/>
  <c r="BL42" i="7"/>
  <c r="BL46" i="7"/>
  <c r="BM40" i="7"/>
  <c r="BL57" i="7"/>
  <c r="BL59" i="7"/>
  <c r="BL61" i="7"/>
  <c r="BL63" i="7"/>
  <c r="BL44" i="7"/>
  <c r="BM39" i="7"/>
  <c r="BM43" i="7"/>
  <c r="BM45" i="7"/>
  <c r="BM47" i="7"/>
  <c r="BM49" i="7"/>
  <c r="BM51" i="7"/>
  <c r="BM53" i="7"/>
  <c r="BM55" i="7"/>
  <c r="BM59" i="7"/>
  <c r="BM61" i="7"/>
  <c r="BM63" i="7"/>
  <c r="BL41" i="7"/>
  <c r="BL43" i="7"/>
  <c r="BN39" i="7"/>
  <c r="BN41" i="7"/>
  <c r="BN45" i="7"/>
  <c r="BN47" i="7"/>
  <c r="BN49" i="7"/>
  <c r="BN51" i="7"/>
  <c r="BN53" i="7"/>
  <c r="BN55" i="7"/>
  <c r="BN57" i="7"/>
  <c r="BN61" i="7"/>
  <c r="BN63" i="7"/>
  <c r="BL45" i="7"/>
  <c r="BO39" i="7"/>
  <c r="BK40" i="7"/>
  <c r="BO41" i="7"/>
  <c r="BO43" i="7"/>
  <c r="BK44" i="7"/>
  <c r="BK46" i="7"/>
  <c r="BO47" i="7"/>
  <c r="BK48" i="7"/>
  <c r="BO49" i="7"/>
  <c r="BK50" i="7"/>
  <c r="BO51" i="7"/>
  <c r="BK52" i="7"/>
  <c r="BO53" i="7"/>
  <c r="BO55" i="7"/>
  <c r="BO57" i="7"/>
  <c r="BK58" i="7"/>
  <c r="BO59" i="7"/>
  <c r="BK60" i="7"/>
  <c r="BK62" i="7"/>
  <c r="BK42" i="7"/>
  <c r="BN50" i="7"/>
  <c r="BO61" i="7"/>
  <c r="R65" i="7"/>
  <c r="BN43" i="7"/>
  <c r="BK56" i="7"/>
  <c r="AE65" i="7"/>
  <c r="AD63" i="7"/>
  <c r="R66" i="7"/>
  <c r="R67" i="7"/>
  <c r="BL49" i="7"/>
  <c r="BM57" i="7"/>
  <c r="BO63" i="7"/>
  <c r="BK45" i="7"/>
  <c r="R63" i="7"/>
  <c r="AB64" i="7"/>
  <c r="AF64" i="7"/>
  <c r="AB65" i="7"/>
  <c r="AF65" i="7"/>
  <c r="BN52" i="7"/>
  <c r="BO45" i="7"/>
  <c r="AE64" i="7"/>
  <c r="AE63" i="7"/>
  <c r="BN40" i="7"/>
  <c r="BN48" i="7"/>
  <c r="BL53" i="7"/>
  <c r="BN59" i="7"/>
  <c r="BK63" i="7"/>
  <c r="BO54" i="7"/>
  <c r="BN62" i="7"/>
  <c r="AC64" i="7"/>
  <c r="AC65" i="7"/>
  <c r="BO42" i="7"/>
  <c r="BL51" i="7"/>
  <c r="AC63" i="7"/>
  <c r="BM41" i="7"/>
  <c r="BK54" i="7"/>
  <c r="AB63" i="7"/>
  <c r="AF63" i="7"/>
  <c r="BM46" i="7"/>
  <c r="BL55" i="7"/>
  <c r="BK61" i="7"/>
  <c r="R64" i="7"/>
  <c r="BL39" i="7"/>
  <c r="BL47" i="7"/>
  <c r="BO56" i="7"/>
  <c r="AD64" i="7"/>
  <c r="AD65" i="7"/>
  <c r="M86" i="7" a="1"/>
  <c r="M86" i="7" s="1"/>
  <c r="H69" i="7" a="1"/>
  <c r="H69" i="7" s="1"/>
  <c r="H77" i="7" a="1"/>
  <c r="H77" i="7" s="1"/>
  <c r="H85" i="7" a="1"/>
  <c r="H85" i="7" s="1"/>
  <c r="M66" i="7" a="1"/>
  <c r="M66" i="7" s="1"/>
  <c r="H72" i="7" a="1"/>
  <c r="H72" i="7" s="1"/>
  <c r="H74" i="7" a="1"/>
  <c r="H74" i="7" s="1"/>
  <c r="M80" i="7" a="1"/>
  <c r="M80" i="7" s="1"/>
  <c r="H82" i="7" a="1"/>
  <c r="H82" i="7" s="1"/>
  <c r="B55" i="7" a="1"/>
  <c r="B55" i="7" s="1"/>
  <c r="H64" i="7" a="1"/>
  <c r="H64" i="7" s="1"/>
  <c r="H65" i="7" a="1"/>
  <c r="H65" i="7" s="1"/>
  <c r="H71" i="7" a="1"/>
  <c r="H71" i="7" s="1"/>
  <c r="H79" i="7" a="1"/>
  <c r="H79" i="7" s="1"/>
  <c r="H87" i="7" a="1"/>
  <c r="H87" i="7" s="1"/>
  <c r="M70" i="7" a="1"/>
  <c r="M70" i="7" s="1"/>
  <c r="H68" i="7" a="1"/>
  <c r="H68" i="7" s="1"/>
  <c r="H76" i="7" a="1"/>
  <c r="H76" i="7" s="1"/>
  <c r="H84" i="7" a="1"/>
  <c r="H84" i="7" s="1"/>
  <c r="M78" i="7" a="1"/>
  <c r="M78" i="7" s="1"/>
  <c r="BP58" i="7" l="1"/>
  <c r="BP48" i="7"/>
  <c r="BP45" i="7"/>
  <c r="BP62" i="7"/>
  <c r="BP60" i="7"/>
  <c r="BP50" i="7"/>
  <c r="BP40" i="7"/>
  <c r="BP55" i="7"/>
  <c r="BP56" i="7"/>
  <c r="BO64" i="7"/>
  <c r="BP53" i="7"/>
  <c r="BP54" i="7"/>
  <c r="BM64" i="7"/>
  <c r="BP43" i="7"/>
  <c r="BL64" i="7"/>
  <c r="BP63" i="7"/>
  <c r="BP51" i="7"/>
  <c r="BP41" i="7"/>
  <c r="BP46" i="7"/>
  <c r="BP61" i="7"/>
  <c r="BP44" i="7"/>
  <c r="BN64" i="7"/>
  <c r="BP59" i="7"/>
  <c r="BP49" i="7"/>
  <c r="BK64" i="7"/>
  <c r="BP39" i="7"/>
  <c r="BP42" i="7"/>
  <c r="BP52" i="7"/>
  <c r="BP57" i="7"/>
  <c r="BP47" i="7"/>
  <c r="BP64" i="7" l="1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BR35" i="6"/>
  <c r="BK35" i="6"/>
  <c r="BD35" i="6"/>
  <c r="AW35" i="6"/>
  <c r="AP35" i="6"/>
  <c r="AI35" i="6"/>
  <c r="AA35" i="6"/>
  <c r="CC30" i="6"/>
  <c r="CB30" i="6"/>
  <c r="CA30" i="6"/>
  <c r="BZ30" i="6"/>
  <c r="BY30" i="6"/>
  <c r="BV30" i="6"/>
  <c r="BU30" i="6"/>
  <c r="BT30" i="6"/>
  <c r="BS30" i="6"/>
  <c r="BR30" i="6"/>
  <c r="BO30" i="6"/>
  <c r="BN30" i="6"/>
  <c r="BM30" i="6"/>
  <c r="BL30" i="6"/>
  <c r="BK30" i="6"/>
  <c r="AE30" i="6"/>
  <c r="AD30" i="6"/>
  <c r="AC30" i="6"/>
  <c r="AB30" i="6"/>
  <c r="AA30" i="6"/>
  <c r="M87" i="6" s="1" a="1"/>
  <c r="M87" i="6" s="1"/>
  <c r="CC29" i="6"/>
  <c r="CB29" i="6"/>
  <c r="CA29" i="6"/>
  <c r="BZ29" i="6"/>
  <c r="BY29" i="6"/>
  <c r="BV29" i="6"/>
  <c r="BU29" i="6"/>
  <c r="BT29" i="6"/>
  <c r="BS29" i="6"/>
  <c r="BR29" i="6"/>
  <c r="BO29" i="6"/>
  <c r="BN29" i="6"/>
  <c r="BM29" i="6"/>
  <c r="BL29" i="6"/>
  <c r="BK29" i="6"/>
  <c r="AE29" i="6"/>
  <c r="AD29" i="6"/>
  <c r="AC29" i="6"/>
  <c r="AB29" i="6"/>
  <c r="AA29" i="6"/>
  <c r="H86" i="6" s="1" a="1"/>
  <c r="H86" i="6" s="1"/>
  <c r="CC28" i="6"/>
  <c r="CB28" i="6"/>
  <c r="CA28" i="6"/>
  <c r="BZ28" i="6"/>
  <c r="BY28" i="6"/>
  <c r="BV28" i="6"/>
  <c r="BU28" i="6"/>
  <c r="BT28" i="6"/>
  <c r="BS28" i="6"/>
  <c r="BR28" i="6"/>
  <c r="BO28" i="6"/>
  <c r="BN28" i="6"/>
  <c r="BM28" i="6"/>
  <c r="BL28" i="6"/>
  <c r="BK28" i="6"/>
  <c r="AE28" i="6"/>
  <c r="AD28" i="6"/>
  <c r="AC28" i="6"/>
  <c r="AB28" i="6"/>
  <c r="AA28" i="6"/>
  <c r="M85" i="6" s="1" a="1"/>
  <c r="M85" i="6" s="1"/>
  <c r="CC27" i="6"/>
  <c r="CB27" i="6"/>
  <c r="CA27" i="6"/>
  <c r="BZ27" i="6"/>
  <c r="BY27" i="6"/>
  <c r="BV27" i="6"/>
  <c r="BU27" i="6"/>
  <c r="BT27" i="6"/>
  <c r="BS27" i="6"/>
  <c r="BR27" i="6"/>
  <c r="BO27" i="6"/>
  <c r="BN27" i="6"/>
  <c r="BM27" i="6"/>
  <c r="BL27" i="6"/>
  <c r="BK27" i="6"/>
  <c r="AE27" i="6"/>
  <c r="AD27" i="6"/>
  <c r="AC27" i="6"/>
  <c r="AB27" i="6"/>
  <c r="AA27" i="6"/>
  <c r="M84" i="6" s="1" a="1"/>
  <c r="M84" i="6" s="1"/>
  <c r="CC26" i="6"/>
  <c r="CB26" i="6"/>
  <c r="CA26" i="6"/>
  <c r="BZ26" i="6"/>
  <c r="BY26" i="6"/>
  <c r="BV26" i="6"/>
  <c r="BU26" i="6"/>
  <c r="BT26" i="6"/>
  <c r="BS26" i="6"/>
  <c r="H83" i="6" s="1" a="1"/>
  <c r="H83" i="6" s="1"/>
  <c r="BR26" i="6"/>
  <c r="BO26" i="6"/>
  <c r="BN26" i="6"/>
  <c r="BM26" i="6"/>
  <c r="BL26" i="6"/>
  <c r="BK26" i="6"/>
  <c r="AE26" i="6"/>
  <c r="AD26" i="6"/>
  <c r="AC26" i="6"/>
  <c r="AB26" i="6"/>
  <c r="AA26" i="6"/>
  <c r="M83" i="6" s="1" a="1"/>
  <c r="M83" i="6" s="1"/>
  <c r="CC25" i="6"/>
  <c r="CB25" i="6"/>
  <c r="CA25" i="6"/>
  <c r="BZ25" i="6"/>
  <c r="BY25" i="6"/>
  <c r="BV25" i="6"/>
  <c r="BU25" i="6"/>
  <c r="BT25" i="6"/>
  <c r="BS25" i="6"/>
  <c r="BR25" i="6"/>
  <c r="BO25" i="6"/>
  <c r="BN25" i="6"/>
  <c r="BM25" i="6"/>
  <c r="BL25" i="6"/>
  <c r="BK25" i="6"/>
  <c r="AE25" i="6"/>
  <c r="AD25" i="6"/>
  <c r="AC25" i="6"/>
  <c r="AB25" i="6"/>
  <c r="AA25" i="6"/>
  <c r="M82" i="6" s="1" a="1"/>
  <c r="M82" i="6" s="1"/>
  <c r="CC24" i="6"/>
  <c r="CB24" i="6"/>
  <c r="CA24" i="6"/>
  <c r="BZ24" i="6"/>
  <c r="BY24" i="6"/>
  <c r="BV24" i="6"/>
  <c r="BU24" i="6"/>
  <c r="BT24" i="6"/>
  <c r="BS24" i="6"/>
  <c r="M81" i="6" s="1" a="1"/>
  <c r="M81" i="6" s="1"/>
  <c r="BR24" i="6"/>
  <c r="BO24" i="6"/>
  <c r="BN24" i="6"/>
  <c r="BM24" i="6"/>
  <c r="BL24" i="6"/>
  <c r="BK24" i="6"/>
  <c r="AE24" i="6"/>
  <c r="AD24" i="6"/>
  <c r="AC24" i="6"/>
  <c r="AB24" i="6"/>
  <c r="AA24" i="6"/>
  <c r="H81" i="6" s="1" a="1"/>
  <c r="H81" i="6" s="1"/>
  <c r="CC23" i="6"/>
  <c r="CB23" i="6"/>
  <c r="CA23" i="6"/>
  <c r="BZ23" i="6"/>
  <c r="BY23" i="6"/>
  <c r="BV23" i="6"/>
  <c r="BU23" i="6"/>
  <c r="BT23" i="6"/>
  <c r="BS23" i="6"/>
  <c r="BR23" i="6"/>
  <c r="BO23" i="6"/>
  <c r="BN23" i="6"/>
  <c r="BM23" i="6"/>
  <c r="BL23" i="6"/>
  <c r="BK23" i="6"/>
  <c r="AE23" i="6"/>
  <c r="AD23" i="6"/>
  <c r="AC23" i="6"/>
  <c r="AB23" i="6"/>
  <c r="AA23" i="6"/>
  <c r="M80" i="6" s="1" a="1"/>
  <c r="M80" i="6" s="1"/>
  <c r="CC22" i="6"/>
  <c r="CB22" i="6"/>
  <c r="CA22" i="6"/>
  <c r="BZ22" i="6"/>
  <c r="BY22" i="6"/>
  <c r="BV22" i="6"/>
  <c r="BU22" i="6"/>
  <c r="BT22" i="6"/>
  <c r="BS22" i="6"/>
  <c r="BR22" i="6"/>
  <c r="BO22" i="6"/>
  <c r="BN22" i="6"/>
  <c r="BM22" i="6"/>
  <c r="BL22" i="6"/>
  <c r="BK22" i="6"/>
  <c r="AE22" i="6"/>
  <c r="AD22" i="6"/>
  <c r="AC22" i="6"/>
  <c r="AB22" i="6"/>
  <c r="AA22" i="6"/>
  <c r="M79" i="6" s="1" a="1"/>
  <c r="M79" i="6" s="1"/>
  <c r="CC21" i="6"/>
  <c r="CB21" i="6"/>
  <c r="CA21" i="6"/>
  <c r="BZ21" i="6"/>
  <c r="BY21" i="6"/>
  <c r="BV21" i="6"/>
  <c r="BU21" i="6"/>
  <c r="BT21" i="6"/>
  <c r="BS21" i="6"/>
  <c r="BR21" i="6"/>
  <c r="BO21" i="6"/>
  <c r="BN21" i="6"/>
  <c r="BM21" i="6"/>
  <c r="BL21" i="6"/>
  <c r="BK21" i="6"/>
  <c r="AE21" i="6"/>
  <c r="AD21" i="6"/>
  <c r="AC21" i="6"/>
  <c r="AB21" i="6"/>
  <c r="AA21" i="6"/>
  <c r="H78" i="6" s="1" a="1"/>
  <c r="H78" i="6" s="1"/>
  <c r="CC20" i="6"/>
  <c r="CB20" i="6"/>
  <c r="CA20" i="6"/>
  <c r="BZ20" i="6"/>
  <c r="BY20" i="6"/>
  <c r="BV20" i="6"/>
  <c r="BU20" i="6"/>
  <c r="BT20" i="6"/>
  <c r="BS20" i="6"/>
  <c r="BR20" i="6"/>
  <c r="BO20" i="6"/>
  <c r="BN20" i="6"/>
  <c r="BM20" i="6"/>
  <c r="BL20" i="6"/>
  <c r="BK20" i="6"/>
  <c r="AE20" i="6"/>
  <c r="AD20" i="6"/>
  <c r="AC20" i="6"/>
  <c r="AB20" i="6"/>
  <c r="AA20" i="6"/>
  <c r="M77" i="6" s="1" a="1"/>
  <c r="M77" i="6" s="1"/>
  <c r="CC19" i="6"/>
  <c r="CB19" i="6"/>
  <c r="CA19" i="6"/>
  <c r="BZ19" i="6"/>
  <c r="BY19" i="6"/>
  <c r="BV19" i="6"/>
  <c r="BU19" i="6"/>
  <c r="BT19" i="6"/>
  <c r="BS19" i="6"/>
  <c r="BR19" i="6"/>
  <c r="BO19" i="6"/>
  <c r="BN19" i="6"/>
  <c r="BM19" i="6"/>
  <c r="BL19" i="6"/>
  <c r="BK19" i="6"/>
  <c r="AE19" i="6"/>
  <c r="AD19" i="6"/>
  <c r="AC19" i="6"/>
  <c r="AB19" i="6"/>
  <c r="AA19" i="6"/>
  <c r="M76" i="6" s="1" a="1"/>
  <c r="M76" i="6" s="1"/>
  <c r="CC18" i="6"/>
  <c r="CB18" i="6"/>
  <c r="CA18" i="6"/>
  <c r="BZ18" i="6"/>
  <c r="BY18" i="6"/>
  <c r="BV18" i="6"/>
  <c r="BU18" i="6"/>
  <c r="BT18" i="6"/>
  <c r="BS18" i="6"/>
  <c r="BR18" i="6"/>
  <c r="BO18" i="6"/>
  <c r="BN18" i="6"/>
  <c r="BM18" i="6"/>
  <c r="BL18" i="6"/>
  <c r="BK18" i="6"/>
  <c r="AE18" i="6"/>
  <c r="AD18" i="6"/>
  <c r="AC18" i="6"/>
  <c r="AB18" i="6"/>
  <c r="AA18" i="6"/>
  <c r="M75" i="6" s="1" a="1"/>
  <c r="M75" i="6" s="1"/>
  <c r="CC17" i="6"/>
  <c r="CB17" i="6"/>
  <c r="CA17" i="6"/>
  <c r="BZ17" i="6"/>
  <c r="BY17" i="6"/>
  <c r="BV17" i="6"/>
  <c r="BU17" i="6"/>
  <c r="BT17" i="6"/>
  <c r="BS17" i="6"/>
  <c r="BR17" i="6"/>
  <c r="BO17" i="6"/>
  <c r="BN17" i="6"/>
  <c r="BM17" i="6"/>
  <c r="BL17" i="6"/>
  <c r="BK17" i="6"/>
  <c r="AE17" i="6"/>
  <c r="AD17" i="6"/>
  <c r="AC17" i="6"/>
  <c r="AB17" i="6"/>
  <c r="AA17" i="6"/>
  <c r="M74" i="6" s="1" a="1"/>
  <c r="M74" i="6" s="1"/>
  <c r="CC16" i="6"/>
  <c r="CB16" i="6"/>
  <c r="CA16" i="6"/>
  <c r="BZ16" i="6"/>
  <c r="BY16" i="6"/>
  <c r="BV16" i="6"/>
  <c r="BU16" i="6"/>
  <c r="BT16" i="6"/>
  <c r="BS16" i="6"/>
  <c r="M73" i="6" s="1" a="1"/>
  <c r="M73" i="6" s="1"/>
  <c r="BR16" i="6"/>
  <c r="BO16" i="6"/>
  <c r="BN16" i="6"/>
  <c r="BM16" i="6"/>
  <c r="BL16" i="6"/>
  <c r="BK16" i="6"/>
  <c r="AE16" i="6"/>
  <c r="AD16" i="6"/>
  <c r="AC16" i="6"/>
  <c r="AB16" i="6"/>
  <c r="AA16" i="6"/>
  <c r="H73" i="6" s="1" a="1"/>
  <c r="H73" i="6" s="1"/>
  <c r="CC15" i="6"/>
  <c r="CB15" i="6"/>
  <c r="CA15" i="6"/>
  <c r="BZ15" i="6"/>
  <c r="BY15" i="6"/>
  <c r="BV15" i="6"/>
  <c r="BU15" i="6"/>
  <c r="BT15" i="6"/>
  <c r="BS15" i="6"/>
  <c r="BR15" i="6"/>
  <c r="BO15" i="6"/>
  <c r="BN15" i="6"/>
  <c r="BM15" i="6"/>
  <c r="BL15" i="6"/>
  <c r="BK15" i="6"/>
  <c r="AE15" i="6"/>
  <c r="AD15" i="6"/>
  <c r="AC15" i="6"/>
  <c r="AB15" i="6"/>
  <c r="AA15" i="6"/>
  <c r="H72" i="6" s="1" a="1"/>
  <c r="H72" i="6" s="1"/>
  <c r="CC14" i="6"/>
  <c r="CB14" i="6"/>
  <c r="CA14" i="6"/>
  <c r="BZ14" i="6"/>
  <c r="BY14" i="6"/>
  <c r="BV14" i="6"/>
  <c r="BU14" i="6"/>
  <c r="BT14" i="6"/>
  <c r="BS14" i="6"/>
  <c r="BR14" i="6"/>
  <c r="BO14" i="6"/>
  <c r="BN14" i="6"/>
  <c r="BM14" i="6"/>
  <c r="BL14" i="6"/>
  <c r="BK14" i="6"/>
  <c r="AE14" i="6"/>
  <c r="AD14" i="6"/>
  <c r="AC14" i="6"/>
  <c r="AB14" i="6"/>
  <c r="AA14" i="6"/>
  <c r="M71" i="6" s="1" a="1"/>
  <c r="M71" i="6" s="1"/>
  <c r="CC13" i="6"/>
  <c r="CB13" i="6"/>
  <c r="CA13" i="6"/>
  <c r="BZ13" i="6"/>
  <c r="BY13" i="6"/>
  <c r="BV13" i="6"/>
  <c r="BU13" i="6"/>
  <c r="BT13" i="6"/>
  <c r="BS13" i="6"/>
  <c r="BR13" i="6"/>
  <c r="BO13" i="6"/>
  <c r="BN13" i="6"/>
  <c r="BM13" i="6"/>
  <c r="BL13" i="6"/>
  <c r="BK13" i="6"/>
  <c r="AE13" i="6"/>
  <c r="AD13" i="6"/>
  <c r="AC13" i="6"/>
  <c r="AB13" i="6"/>
  <c r="AA13" i="6"/>
  <c r="M70" i="6" s="1" a="1"/>
  <c r="M70" i="6" s="1"/>
  <c r="CC12" i="6"/>
  <c r="CB12" i="6"/>
  <c r="CA12" i="6"/>
  <c r="BZ12" i="6"/>
  <c r="BY12" i="6"/>
  <c r="BV12" i="6"/>
  <c r="BU12" i="6"/>
  <c r="BT12" i="6"/>
  <c r="BS12" i="6"/>
  <c r="H69" i="6" s="1" a="1"/>
  <c r="H69" i="6" s="1"/>
  <c r="BR12" i="6"/>
  <c r="BO12" i="6"/>
  <c r="BN12" i="6"/>
  <c r="BM12" i="6"/>
  <c r="BL12" i="6"/>
  <c r="BK12" i="6"/>
  <c r="AE12" i="6"/>
  <c r="AD12" i="6"/>
  <c r="AC12" i="6"/>
  <c r="AB12" i="6"/>
  <c r="AA12" i="6"/>
  <c r="M69" i="6" s="1" a="1"/>
  <c r="M69" i="6" s="1"/>
  <c r="CC11" i="6"/>
  <c r="CB11" i="6"/>
  <c r="CA11" i="6"/>
  <c r="BZ11" i="6"/>
  <c r="BY11" i="6"/>
  <c r="BV11" i="6"/>
  <c r="BU11" i="6"/>
  <c r="BT11" i="6"/>
  <c r="BS11" i="6"/>
  <c r="BR11" i="6"/>
  <c r="BO11" i="6"/>
  <c r="BN11" i="6"/>
  <c r="BM11" i="6"/>
  <c r="BL11" i="6"/>
  <c r="BK11" i="6"/>
  <c r="AE11" i="6"/>
  <c r="AD11" i="6"/>
  <c r="AC11" i="6"/>
  <c r="AB11" i="6"/>
  <c r="AA11" i="6"/>
  <c r="M68" i="6" s="1" a="1"/>
  <c r="M68" i="6" s="1"/>
  <c r="CC10" i="6"/>
  <c r="CB10" i="6"/>
  <c r="CA10" i="6"/>
  <c r="BZ10" i="6"/>
  <c r="BY10" i="6"/>
  <c r="BV10" i="6"/>
  <c r="BU10" i="6"/>
  <c r="BT10" i="6"/>
  <c r="BS10" i="6"/>
  <c r="BR10" i="6"/>
  <c r="BO10" i="6"/>
  <c r="BN10" i="6"/>
  <c r="BM10" i="6"/>
  <c r="BL10" i="6"/>
  <c r="BK10" i="6"/>
  <c r="AE10" i="6"/>
  <c r="AD10" i="6"/>
  <c r="AC10" i="6"/>
  <c r="AB10" i="6"/>
  <c r="AA10" i="6"/>
  <c r="M67" i="6" s="1" a="1"/>
  <c r="M67" i="6" s="1"/>
  <c r="CC9" i="6"/>
  <c r="CB9" i="6"/>
  <c r="CA9" i="6"/>
  <c r="BZ9" i="6"/>
  <c r="BY9" i="6"/>
  <c r="BV9" i="6"/>
  <c r="BU9" i="6"/>
  <c r="BT9" i="6"/>
  <c r="BS9" i="6"/>
  <c r="BR9" i="6"/>
  <c r="BO9" i="6"/>
  <c r="BN9" i="6"/>
  <c r="BM9" i="6"/>
  <c r="BL9" i="6"/>
  <c r="BK9" i="6"/>
  <c r="AE9" i="6"/>
  <c r="AD9" i="6"/>
  <c r="AC9" i="6"/>
  <c r="AB9" i="6"/>
  <c r="AA9" i="6"/>
  <c r="M66" i="6" s="1" a="1"/>
  <c r="M66" i="6" s="1"/>
  <c r="CC8" i="6"/>
  <c r="CB8" i="6"/>
  <c r="CA8" i="6"/>
  <c r="BZ8" i="6"/>
  <c r="BY8" i="6"/>
  <c r="BV8" i="6"/>
  <c r="BU8" i="6"/>
  <c r="BT8" i="6"/>
  <c r="BS8" i="6"/>
  <c r="BR8" i="6"/>
  <c r="BO8" i="6"/>
  <c r="BN8" i="6"/>
  <c r="BM8" i="6"/>
  <c r="BL8" i="6"/>
  <c r="BK8" i="6"/>
  <c r="AE8" i="6"/>
  <c r="AD8" i="6"/>
  <c r="AC8" i="6"/>
  <c r="AB8" i="6"/>
  <c r="AA8" i="6"/>
  <c r="M65" i="6" s="1" a="1"/>
  <c r="M65" i="6" s="1"/>
  <c r="CC7" i="6"/>
  <c r="CB7" i="6"/>
  <c r="CA7" i="6"/>
  <c r="BZ7" i="6"/>
  <c r="BY7" i="6"/>
  <c r="BV7" i="6"/>
  <c r="BU7" i="6"/>
  <c r="BT7" i="6"/>
  <c r="BS7" i="6"/>
  <c r="BR7" i="6"/>
  <c r="BO7" i="6"/>
  <c r="BN7" i="6"/>
  <c r="BM7" i="6"/>
  <c r="BL7" i="6"/>
  <c r="BK7" i="6"/>
  <c r="AE7" i="6"/>
  <c r="AD7" i="6"/>
  <c r="AC7" i="6"/>
  <c r="AB7" i="6"/>
  <c r="AA7" i="6"/>
  <c r="M64" i="6" s="1" a="1"/>
  <c r="M64" i="6" s="1"/>
  <c r="CC6" i="6"/>
  <c r="CB6" i="6"/>
  <c r="CA6" i="6"/>
  <c r="BZ6" i="6"/>
  <c r="BY6" i="6"/>
  <c r="B55" i="6" s="1" a="1"/>
  <c r="B55" i="6" s="1"/>
  <c r="BV6" i="6"/>
  <c r="BU6" i="6"/>
  <c r="BT6" i="6"/>
  <c r="BS6" i="6"/>
  <c r="H63" i="6" s="1" a="1"/>
  <c r="H63" i="6" s="1"/>
  <c r="BR6" i="6"/>
  <c r="BO6" i="6"/>
  <c r="BN6" i="6"/>
  <c r="BM6" i="6"/>
  <c r="BL6" i="6"/>
  <c r="BK6" i="6"/>
  <c r="AE6" i="6"/>
  <c r="AD6" i="6"/>
  <c r="AC6" i="6"/>
  <c r="AB6" i="6"/>
  <c r="AA6" i="6"/>
  <c r="M63" i="6" s="1" a="1"/>
  <c r="M63" i="6" s="1"/>
  <c r="AB63" i="6" a="1"/>
  <c r="R66" i="6" a="1"/>
  <c r="W65" i="6"/>
  <c r="AC63" i="6" a="1"/>
  <c r="W76" i="6" a="1"/>
  <c r="AF65" i="6" a="1"/>
  <c r="R65" i="6" a="1"/>
  <c r="R63" i="6" a="1"/>
  <c r="R64" i="6" a="1"/>
  <c r="W73" i="6" a="1"/>
  <c r="AD63" i="6" a="1"/>
  <c r="AD65" i="6" a="1"/>
  <c r="W75" i="6" a="1"/>
  <c r="W63" i="6"/>
  <c r="W72" i="6" a="1"/>
  <c r="W66" i="6"/>
  <c r="W64" i="6"/>
  <c r="AF63" i="6" a="1"/>
  <c r="AB65" i="6" a="1"/>
  <c r="R67" i="6" a="1"/>
  <c r="AC65" i="6" a="1"/>
  <c r="W74" i="6" a="1"/>
  <c r="AE65" i="6" a="1"/>
  <c r="AE63" i="6" a="1"/>
  <c r="AC63" i="6" l="1"/>
  <c r="AB65" i="6"/>
  <c r="AF65" i="6"/>
  <c r="W74" i="6"/>
  <c r="W73" i="6"/>
  <c r="W75" i="6"/>
  <c r="AD63" i="6"/>
  <c r="AC65" i="6"/>
  <c r="W72" i="6"/>
  <c r="R63" i="6"/>
  <c r="R66" i="6"/>
  <c r="AE63" i="6"/>
  <c r="AD65" i="6"/>
  <c r="R67" i="6"/>
  <c r="R64" i="6"/>
  <c r="R65" i="6"/>
  <c r="AB63" i="6"/>
  <c r="AF63" i="6"/>
  <c r="AE65" i="6"/>
  <c r="W76" i="6"/>
  <c r="M72" i="6" a="1"/>
  <c r="M72" i="6" s="1"/>
  <c r="M78" i="6" a="1"/>
  <c r="M78" i="6" s="1"/>
  <c r="H80" i="6" a="1"/>
  <c r="H80" i="6" s="1"/>
  <c r="M86" i="6" a="1"/>
  <c r="M86" i="6" s="1"/>
  <c r="H64" i="6" a="1"/>
  <c r="H64" i="6" s="1"/>
  <c r="H65" i="6" a="1"/>
  <c r="H65" i="6" s="1"/>
  <c r="H71" i="6" a="1"/>
  <c r="H71" i="6" s="1"/>
  <c r="H77" i="6" a="1"/>
  <c r="H77" i="6" s="1"/>
  <c r="H85" i="6" a="1"/>
  <c r="H85" i="6" s="1"/>
  <c r="H68" i="6" a="1"/>
  <c r="H68" i="6" s="1"/>
  <c r="H76" i="6" a="1"/>
  <c r="H76" i="6" s="1"/>
  <c r="H82" i="6" a="1"/>
  <c r="H82" i="6" s="1"/>
  <c r="H66" i="6" a="1"/>
  <c r="H66" i="6" s="1"/>
  <c r="H67" i="6" a="1"/>
  <c r="H67" i="6" s="1"/>
  <c r="H75" i="6" a="1"/>
  <c r="H75" i="6" s="1"/>
  <c r="H79" i="6" a="1"/>
  <c r="H79" i="6" s="1"/>
  <c r="H87" i="6" a="1"/>
  <c r="H87" i="6" s="1"/>
  <c r="H70" i="6" a="1"/>
  <c r="H70" i="6" s="1"/>
  <c r="H74" i="6" a="1"/>
  <c r="H74" i="6" s="1"/>
  <c r="H84" i="6" a="1"/>
  <c r="H84" i="6" s="1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BR35" i="5"/>
  <c r="BK35" i="5"/>
  <c r="BD35" i="5"/>
  <c r="AW35" i="5"/>
  <c r="AP35" i="5"/>
  <c r="AI35" i="5"/>
  <c r="AA35" i="5"/>
  <c r="CC30" i="5"/>
  <c r="CB30" i="5"/>
  <c r="CA30" i="5"/>
  <c r="BZ30" i="5"/>
  <c r="BY30" i="5"/>
  <c r="BV30" i="5"/>
  <c r="BU30" i="5"/>
  <c r="BT30" i="5"/>
  <c r="BS30" i="5"/>
  <c r="BR30" i="5"/>
  <c r="BO30" i="5"/>
  <c r="BN30" i="5"/>
  <c r="BM30" i="5"/>
  <c r="BL30" i="5"/>
  <c r="BK30" i="5"/>
  <c r="AE30" i="5"/>
  <c r="AD30" i="5"/>
  <c r="AC30" i="5"/>
  <c r="AB30" i="5"/>
  <c r="AA30" i="5"/>
  <c r="CC29" i="5"/>
  <c r="CB29" i="5"/>
  <c r="CA29" i="5"/>
  <c r="BZ29" i="5"/>
  <c r="BY29" i="5"/>
  <c r="BV29" i="5"/>
  <c r="BU29" i="5"/>
  <c r="BT29" i="5"/>
  <c r="BS29" i="5"/>
  <c r="BR29" i="5"/>
  <c r="BO29" i="5"/>
  <c r="BN29" i="5"/>
  <c r="BM29" i="5"/>
  <c r="BL29" i="5"/>
  <c r="BK29" i="5"/>
  <c r="AE29" i="5"/>
  <c r="AD29" i="5"/>
  <c r="AC29" i="5"/>
  <c r="AB29" i="5"/>
  <c r="M86" i="5" s="1" a="1"/>
  <c r="M86" i="5" s="1"/>
  <c r="AA29" i="5"/>
  <c r="CC28" i="5"/>
  <c r="CB28" i="5"/>
  <c r="CA28" i="5"/>
  <c r="BZ28" i="5"/>
  <c r="BY28" i="5"/>
  <c r="BV28" i="5"/>
  <c r="BU28" i="5"/>
  <c r="BT28" i="5"/>
  <c r="BS28" i="5"/>
  <c r="BR28" i="5"/>
  <c r="BO28" i="5"/>
  <c r="BN28" i="5"/>
  <c r="BM28" i="5"/>
  <c r="BL28" i="5"/>
  <c r="BK28" i="5"/>
  <c r="AE28" i="5"/>
  <c r="AD28" i="5"/>
  <c r="AC28" i="5"/>
  <c r="AB28" i="5"/>
  <c r="AA28" i="5"/>
  <c r="CC27" i="5"/>
  <c r="CB27" i="5"/>
  <c r="CA27" i="5"/>
  <c r="BZ27" i="5"/>
  <c r="BY27" i="5"/>
  <c r="BV27" i="5"/>
  <c r="BU27" i="5"/>
  <c r="BT27" i="5"/>
  <c r="BS27" i="5"/>
  <c r="BR27" i="5"/>
  <c r="BO27" i="5"/>
  <c r="BN27" i="5"/>
  <c r="BM27" i="5"/>
  <c r="BL27" i="5"/>
  <c r="BK27" i="5"/>
  <c r="AE27" i="5"/>
  <c r="AD27" i="5"/>
  <c r="AC27" i="5"/>
  <c r="AB27" i="5"/>
  <c r="AA27" i="5"/>
  <c r="CC26" i="5"/>
  <c r="CB26" i="5"/>
  <c r="CA26" i="5"/>
  <c r="BZ26" i="5"/>
  <c r="BY26" i="5"/>
  <c r="BV26" i="5"/>
  <c r="BU26" i="5"/>
  <c r="BT26" i="5"/>
  <c r="BS26" i="5"/>
  <c r="BR26" i="5"/>
  <c r="BO26" i="5"/>
  <c r="BN26" i="5"/>
  <c r="BM26" i="5"/>
  <c r="BL26" i="5"/>
  <c r="BK26" i="5"/>
  <c r="AE26" i="5"/>
  <c r="AD26" i="5"/>
  <c r="AC26" i="5"/>
  <c r="AB26" i="5"/>
  <c r="AA26" i="5"/>
  <c r="CC25" i="5"/>
  <c r="CB25" i="5"/>
  <c r="CA25" i="5"/>
  <c r="BZ25" i="5"/>
  <c r="BY25" i="5"/>
  <c r="BV25" i="5"/>
  <c r="BU25" i="5"/>
  <c r="BT25" i="5"/>
  <c r="BS25" i="5"/>
  <c r="BR25" i="5"/>
  <c r="BO25" i="5"/>
  <c r="BN25" i="5"/>
  <c r="BM25" i="5"/>
  <c r="BL25" i="5"/>
  <c r="BK25" i="5"/>
  <c r="AE25" i="5"/>
  <c r="AD25" i="5"/>
  <c r="AC25" i="5"/>
  <c r="AB25" i="5"/>
  <c r="AA25" i="5"/>
  <c r="CC24" i="5"/>
  <c r="CB24" i="5"/>
  <c r="CA24" i="5"/>
  <c r="BZ24" i="5"/>
  <c r="BY24" i="5"/>
  <c r="BV24" i="5"/>
  <c r="BU24" i="5"/>
  <c r="BT24" i="5"/>
  <c r="BS24" i="5"/>
  <c r="BR24" i="5"/>
  <c r="BO24" i="5"/>
  <c r="BN24" i="5"/>
  <c r="BM24" i="5"/>
  <c r="BL24" i="5"/>
  <c r="BK24" i="5"/>
  <c r="AE24" i="5"/>
  <c r="AD24" i="5"/>
  <c r="AC24" i="5"/>
  <c r="AB24" i="5"/>
  <c r="AA24" i="5"/>
  <c r="CC23" i="5"/>
  <c r="CB23" i="5"/>
  <c r="CA23" i="5"/>
  <c r="BZ23" i="5"/>
  <c r="BY23" i="5"/>
  <c r="BV23" i="5"/>
  <c r="BU23" i="5"/>
  <c r="BT23" i="5"/>
  <c r="BS23" i="5"/>
  <c r="BR23" i="5"/>
  <c r="BO23" i="5"/>
  <c r="BN23" i="5"/>
  <c r="BM23" i="5"/>
  <c r="BL23" i="5"/>
  <c r="BK23" i="5"/>
  <c r="AE23" i="5"/>
  <c r="AD23" i="5"/>
  <c r="AC23" i="5"/>
  <c r="AB23" i="5"/>
  <c r="H80" i="5" s="1" a="1"/>
  <c r="H80" i="5" s="1"/>
  <c r="AA23" i="5"/>
  <c r="CC22" i="5"/>
  <c r="CB22" i="5"/>
  <c r="CA22" i="5"/>
  <c r="BZ22" i="5"/>
  <c r="BY22" i="5"/>
  <c r="BV22" i="5"/>
  <c r="BU22" i="5"/>
  <c r="BT22" i="5"/>
  <c r="BS22" i="5"/>
  <c r="BR22" i="5"/>
  <c r="BO22" i="5"/>
  <c r="BN22" i="5"/>
  <c r="BM22" i="5"/>
  <c r="BL22" i="5"/>
  <c r="BK22" i="5"/>
  <c r="AE22" i="5"/>
  <c r="AD22" i="5"/>
  <c r="AC22" i="5"/>
  <c r="AB22" i="5"/>
  <c r="AA22" i="5"/>
  <c r="CC21" i="5"/>
  <c r="CB21" i="5"/>
  <c r="CA21" i="5"/>
  <c r="BZ21" i="5"/>
  <c r="BY21" i="5"/>
  <c r="BV21" i="5"/>
  <c r="BU21" i="5"/>
  <c r="BT21" i="5"/>
  <c r="BS21" i="5"/>
  <c r="BR21" i="5"/>
  <c r="BO21" i="5"/>
  <c r="BN21" i="5"/>
  <c r="BM21" i="5"/>
  <c r="BL21" i="5"/>
  <c r="BK21" i="5"/>
  <c r="AE21" i="5"/>
  <c r="AD21" i="5"/>
  <c r="AC21" i="5"/>
  <c r="AB21" i="5"/>
  <c r="M78" i="5" s="1" a="1"/>
  <c r="M78" i="5" s="1"/>
  <c r="AA21" i="5"/>
  <c r="CC20" i="5"/>
  <c r="CB20" i="5"/>
  <c r="CA20" i="5"/>
  <c r="BZ20" i="5"/>
  <c r="BY20" i="5"/>
  <c r="BV20" i="5"/>
  <c r="BU20" i="5"/>
  <c r="BT20" i="5"/>
  <c r="BS20" i="5"/>
  <c r="BR20" i="5"/>
  <c r="BO20" i="5"/>
  <c r="BN20" i="5"/>
  <c r="BM20" i="5"/>
  <c r="BL20" i="5"/>
  <c r="BK20" i="5"/>
  <c r="AE20" i="5"/>
  <c r="AD20" i="5"/>
  <c r="AC20" i="5"/>
  <c r="AB20" i="5"/>
  <c r="AA20" i="5"/>
  <c r="CC19" i="5"/>
  <c r="CB19" i="5"/>
  <c r="CA19" i="5"/>
  <c r="BZ19" i="5"/>
  <c r="BY19" i="5"/>
  <c r="BV19" i="5"/>
  <c r="BU19" i="5"/>
  <c r="BT19" i="5"/>
  <c r="BS19" i="5"/>
  <c r="BR19" i="5"/>
  <c r="BO19" i="5"/>
  <c r="BN19" i="5"/>
  <c r="BM19" i="5"/>
  <c r="BL19" i="5"/>
  <c r="BK19" i="5"/>
  <c r="AE19" i="5"/>
  <c r="AD19" i="5"/>
  <c r="AC19" i="5"/>
  <c r="AB19" i="5"/>
  <c r="AA19" i="5"/>
  <c r="CC18" i="5"/>
  <c r="CB18" i="5"/>
  <c r="CA18" i="5"/>
  <c r="BZ18" i="5"/>
  <c r="BY18" i="5"/>
  <c r="BV18" i="5"/>
  <c r="BU18" i="5"/>
  <c r="BT18" i="5"/>
  <c r="BS18" i="5"/>
  <c r="BR18" i="5"/>
  <c r="BO18" i="5"/>
  <c r="BN18" i="5"/>
  <c r="BM18" i="5"/>
  <c r="BL18" i="5"/>
  <c r="BK18" i="5"/>
  <c r="AE18" i="5"/>
  <c r="AD18" i="5"/>
  <c r="AC18" i="5"/>
  <c r="AB18" i="5"/>
  <c r="AA18" i="5"/>
  <c r="CC17" i="5"/>
  <c r="CB17" i="5"/>
  <c r="CA17" i="5"/>
  <c r="BZ17" i="5"/>
  <c r="BY17" i="5"/>
  <c r="BV17" i="5"/>
  <c r="BU17" i="5"/>
  <c r="BT17" i="5"/>
  <c r="BS17" i="5"/>
  <c r="BR17" i="5"/>
  <c r="BO17" i="5"/>
  <c r="BN17" i="5"/>
  <c r="BM17" i="5"/>
  <c r="BL17" i="5"/>
  <c r="BK17" i="5"/>
  <c r="AE17" i="5"/>
  <c r="AD17" i="5"/>
  <c r="AC17" i="5"/>
  <c r="AB17" i="5"/>
  <c r="AA17" i="5"/>
  <c r="CC16" i="5"/>
  <c r="CB16" i="5"/>
  <c r="CA16" i="5"/>
  <c r="BZ16" i="5"/>
  <c r="BY16" i="5"/>
  <c r="BV16" i="5"/>
  <c r="BU16" i="5"/>
  <c r="BT16" i="5"/>
  <c r="BS16" i="5"/>
  <c r="BR16" i="5"/>
  <c r="BO16" i="5"/>
  <c r="BN16" i="5"/>
  <c r="BM16" i="5"/>
  <c r="BL16" i="5"/>
  <c r="BK16" i="5"/>
  <c r="AE16" i="5"/>
  <c r="AD16" i="5"/>
  <c r="AC16" i="5"/>
  <c r="AB16" i="5"/>
  <c r="AA16" i="5"/>
  <c r="CC15" i="5"/>
  <c r="CB15" i="5"/>
  <c r="CA15" i="5"/>
  <c r="BZ15" i="5"/>
  <c r="BY15" i="5"/>
  <c r="BV15" i="5"/>
  <c r="BU15" i="5"/>
  <c r="BT15" i="5"/>
  <c r="BS15" i="5"/>
  <c r="BR15" i="5"/>
  <c r="BO15" i="5"/>
  <c r="BN15" i="5"/>
  <c r="BM15" i="5"/>
  <c r="BL15" i="5"/>
  <c r="BK15" i="5"/>
  <c r="AE15" i="5"/>
  <c r="AD15" i="5"/>
  <c r="AC15" i="5"/>
  <c r="AB15" i="5"/>
  <c r="H72" i="5" s="1" a="1"/>
  <c r="H72" i="5" s="1"/>
  <c r="AA15" i="5"/>
  <c r="CC14" i="5"/>
  <c r="CB14" i="5"/>
  <c r="CA14" i="5"/>
  <c r="BZ14" i="5"/>
  <c r="BY14" i="5"/>
  <c r="BV14" i="5"/>
  <c r="BU14" i="5"/>
  <c r="BT14" i="5"/>
  <c r="BS14" i="5"/>
  <c r="BR14" i="5"/>
  <c r="BO14" i="5"/>
  <c r="BN14" i="5"/>
  <c r="BM14" i="5"/>
  <c r="BL14" i="5"/>
  <c r="BK14" i="5"/>
  <c r="AE14" i="5"/>
  <c r="AD14" i="5"/>
  <c r="AC14" i="5"/>
  <c r="AB14" i="5"/>
  <c r="AA14" i="5"/>
  <c r="CC13" i="5"/>
  <c r="CB13" i="5"/>
  <c r="CA13" i="5"/>
  <c r="BZ13" i="5"/>
  <c r="BY13" i="5"/>
  <c r="BV13" i="5"/>
  <c r="BU13" i="5"/>
  <c r="BT13" i="5"/>
  <c r="BS13" i="5"/>
  <c r="BR13" i="5"/>
  <c r="BO13" i="5"/>
  <c r="BN13" i="5"/>
  <c r="BM13" i="5"/>
  <c r="BL13" i="5"/>
  <c r="BK13" i="5"/>
  <c r="AE13" i="5"/>
  <c r="AD13" i="5"/>
  <c r="AC13" i="5"/>
  <c r="AB13" i="5"/>
  <c r="M70" i="5" s="1" a="1"/>
  <c r="M70" i="5" s="1"/>
  <c r="AA13" i="5"/>
  <c r="CC12" i="5"/>
  <c r="CB12" i="5"/>
  <c r="CA12" i="5"/>
  <c r="BZ12" i="5"/>
  <c r="BY12" i="5"/>
  <c r="BV12" i="5"/>
  <c r="BU12" i="5"/>
  <c r="BT12" i="5"/>
  <c r="BS12" i="5"/>
  <c r="BR12" i="5"/>
  <c r="BO12" i="5"/>
  <c r="BN12" i="5"/>
  <c r="BM12" i="5"/>
  <c r="BL12" i="5"/>
  <c r="BK12" i="5"/>
  <c r="AE12" i="5"/>
  <c r="AD12" i="5"/>
  <c r="AC12" i="5"/>
  <c r="AB12" i="5"/>
  <c r="AA12" i="5"/>
  <c r="CC11" i="5"/>
  <c r="CB11" i="5"/>
  <c r="CA11" i="5"/>
  <c r="BZ11" i="5"/>
  <c r="BY11" i="5"/>
  <c r="BV11" i="5"/>
  <c r="BU11" i="5"/>
  <c r="BT11" i="5"/>
  <c r="BS11" i="5"/>
  <c r="BR11" i="5"/>
  <c r="BO11" i="5"/>
  <c r="BN11" i="5"/>
  <c r="BM11" i="5"/>
  <c r="BL11" i="5"/>
  <c r="BK11" i="5"/>
  <c r="AE11" i="5"/>
  <c r="AD11" i="5"/>
  <c r="AC11" i="5"/>
  <c r="AB11" i="5"/>
  <c r="AA11" i="5"/>
  <c r="CC10" i="5"/>
  <c r="CB10" i="5"/>
  <c r="CA10" i="5"/>
  <c r="BZ10" i="5"/>
  <c r="BY10" i="5"/>
  <c r="BV10" i="5"/>
  <c r="BU10" i="5"/>
  <c r="BT10" i="5"/>
  <c r="BS10" i="5"/>
  <c r="BR10" i="5"/>
  <c r="BO10" i="5"/>
  <c r="BN10" i="5"/>
  <c r="BM10" i="5"/>
  <c r="BL10" i="5"/>
  <c r="BK10" i="5"/>
  <c r="AE10" i="5"/>
  <c r="AD10" i="5"/>
  <c r="AC10" i="5"/>
  <c r="AB10" i="5"/>
  <c r="AA10" i="5"/>
  <c r="CC9" i="5"/>
  <c r="CB9" i="5"/>
  <c r="CA9" i="5"/>
  <c r="BZ9" i="5"/>
  <c r="BY9" i="5"/>
  <c r="BV9" i="5"/>
  <c r="BU9" i="5"/>
  <c r="BT9" i="5"/>
  <c r="BS9" i="5"/>
  <c r="BR9" i="5"/>
  <c r="BO9" i="5"/>
  <c r="BN9" i="5"/>
  <c r="BM9" i="5"/>
  <c r="BL9" i="5"/>
  <c r="BK9" i="5"/>
  <c r="AE9" i="5"/>
  <c r="AD9" i="5"/>
  <c r="AC9" i="5"/>
  <c r="AB9" i="5"/>
  <c r="H66" i="5" s="1" a="1"/>
  <c r="H66" i="5" s="1"/>
  <c r="AA9" i="5"/>
  <c r="CC8" i="5"/>
  <c r="CB8" i="5"/>
  <c r="CA8" i="5"/>
  <c r="BZ8" i="5"/>
  <c r="BY8" i="5"/>
  <c r="BV8" i="5"/>
  <c r="BU8" i="5"/>
  <c r="BT8" i="5"/>
  <c r="BS8" i="5"/>
  <c r="BR8" i="5"/>
  <c r="BO8" i="5"/>
  <c r="BN8" i="5"/>
  <c r="BM8" i="5"/>
  <c r="BL8" i="5"/>
  <c r="BK8" i="5"/>
  <c r="AE8" i="5"/>
  <c r="AD8" i="5"/>
  <c r="AC8" i="5"/>
  <c r="AB8" i="5"/>
  <c r="AA8" i="5"/>
  <c r="CC7" i="5"/>
  <c r="CB7" i="5"/>
  <c r="CA7" i="5"/>
  <c r="BZ7" i="5"/>
  <c r="BY7" i="5"/>
  <c r="BV7" i="5"/>
  <c r="BU7" i="5"/>
  <c r="BT7" i="5"/>
  <c r="BS7" i="5"/>
  <c r="BR7" i="5"/>
  <c r="BO7" i="5"/>
  <c r="BN7" i="5"/>
  <c r="BM7" i="5"/>
  <c r="BL7" i="5"/>
  <c r="BK7" i="5"/>
  <c r="AE7" i="5"/>
  <c r="AD7" i="5"/>
  <c r="AC7" i="5"/>
  <c r="AB7" i="5"/>
  <c r="M64" i="5" s="1" a="1"/>
  <c r="M64" i="5" s="1"/>
  <c r="AA7" i="5"/>
  <c r="CC6" i="5"/>
  <c r="CB6" i="5"/>
  <c r="CA6" i="5"/>
  <c r="BZ6" i="5"/>
  <c r="BY6" i="5"/>
  <c r="BV6" i="5"/>
  <c r="BU6" i="5"/>
  <c r="BT6" i="5"/>
  <c r="BS6" i="5"/>
  <c r="BR6" i="5"/>
  <c r="BO6" i="5"/>
  <c r="BN6" i="5"/>
  <c r="BM6" i="5"/>
  <c r="BL6" i="5"/>
  <c r="BK6" i="5"/>
  <c r="AE6" i="5"/>
  <c r="AD6" i="5"/>
  <c r="AC6" i="5"/>
  <c r="AB6" i="5"/>
  <c r="AA6" i="5"/>
  <c r="BK53" i="5" a="1"/>
  <c r="BM61" i="5" a="1"/>
  <c r="BO46" i="5" a="1"/>
  <c r="R67" i="5" a="1"/>
  <c r="BL58" i="5" a="1"/>
  <c r="AF63" i="5" a="1"/>
  <c r="BL62" i="5" a="1"/>
  <c r="BK62" i="5" a="1"/>
  <c r="BO47" i="5" a="1"/>
  <c r="BN51" i="5" a="1"/>
  <c r="BO44" i="5" a="1"/>
  <c r="BM47" i="5" a="1"/>
  <c r="BL45" i="5" a="1"/>
  <c r="BO58" i="5" a="1"/>
  <c r="BO40" i="5" a="1"/>
  <c r="BN46" i="5" a="1"/>
  <c r="BL39" i="5" a="1"/>
  <c r="BL47" i="5" a="1"/>
  <c r="AB65" i="5" a="1"/>
  <c r="BK54" i="5" a="1"/>
  <c r="BK40" i="5" a="1"/>
  <c r="BO62" i="5" a="1"/>
  <c r="BM48" i="5" a="1"/>
  <c r="BO49" i="5" a="1"/>
  <c r="BK52" i="5" a="1"/>
  <c r="BM53" i="5" a="1"/>
  <c r="BL55" i="5" a="1"/>
  <c r="BK43" i="5" a="1"/>
  <c r="AB63" i="5" a="1"/>
  <c r="AB64" i="5" a="1"/>
  <c r="BO45" i="5" a="1"/>
  <c r="BK50" i="5" a="1"/>
  <c r="BM56" i="5" a="1"/>
  <c r="BO60" i="5" a="1"/>
  <c r="BN50" i="5" a="1"/>
  <c r="BL48" i="5" a="1"/>
  <c r="AC63" i="5" a="1"/>
  <c r="BO63" i="5" a="1"/>
  <c r="BN53" i="5" a="1"/>
  <c r="BL49" i="5" a="1"/>
  <c r="BK59" i="5" a="1"/>
  <c r="BM54" i="5" a="1"/>
  <c r="BK51" i="5" a="1"/>
  <c r="BO57" i="5" a="1"/>
  <c r="BK46" i="5" a="1"/>
  <c r="R66" i="5" a="1"/>
  <c r="BO56" i="5" a="1"/>
  <c r="BM59" i="5" a="1"/>
  <c r="BL60" i="5" a="1"/>
  <c r="BO61" i="5" a="1"/>
  <c r="BO43" i="5" a="1"/>
  <c r="BK45" i="5" a="1"/>
  <c r="BN49" i="5" a="1"/>
  <c r="BN42" i="5" a="1"/>
  <c r="BM45" i="5" a="1"/>
  <c r="BM44" i="5" a="1"/>
  <c r="BK44" i="5" a="1"/>
  <c r="BO52" i="5" a="1"/>
  <c r="BN60" i="5" a="1"/>
  <c r="BN40" i="5" a="1"/>
  <c r="BM42" i="5" a="1"/>
  <c r="W63" i="5"/>
  <c r="BO51" i="5" a="1"/>
  <c r="BN59" i="5" a="1"/>
  <c r="BM55" i="5" a="1"/>
  <c r="BL59" i="5" a="1"/>
  <c r="BN43" i="5" a="1"/>
  <c r="AD64" i="5" a="1"/>
  <c r="AF64" i="5" a="1"/>
  <c r="BL42" i="5" a="1"/>
  <c r="BM62" i="5" a="1"/>
  <c r="BL53" i="5" a="1"/>
  <c r="BN52" i="5" a="1"/>
  <c r="AE64" i="5" a="1"/>
  <c r="BM50" i="5" a="1"/>
  <c r="BN55" i="5" a="1"/>
  <c r="BL51" i="5" a="1"/>
  <c r="BO42" i="5" a="1"/>
  <c r="BM41" i="5" a="1"/>
  <c r="BN39" i="5" a="1"/>
  <c r="BM46" i="5" a="1"/>
  <c r="AC65" i="5" a="1"/>
  <c r="BK57" i="5" a="1"/>
  <c r="BN44" i="5" a="1"/>
  <c r="W65" i="5"/>
  <c r="BK56" i="5" a="1"/>
  <c r="BK55" i="5" a="1"/>
  <c r="BL56" i="5" a="1"/>
  <c r="BK60" i="5" a="1"/>
  <c r="BK42" i="5" a="1"/>
  <c r="BN63" i="5" a="1"/>
  <c r="BN47" i="5" a="1"/>
  <c r="BM63" i="5" a="1"/>
  <c r="BM43" i="5" a="1"/>
  <c r="BL63" i="5" a="1"/>
  <c r="BL40" i="5" a="1"/>
  <c r="BO50" i="5" a="1"/>
  <c r="BN58" i="5" a="1"/>
  <c r="BK49" i="5" a="1"/>
  <c r="BM40" i="5" a="1"/>
  <c r="AD65" i="5" a="1"/>
  <c r="AD63" i="5" a="1"/>
  <c r="BK58" i="5" a="1"/>
  <c r="BL57" i="5" a="1"/>
  <c r="BK47" i="5" a="1"/>
  <c r="BL52" i="5" a="1"/>
  <c r="AE65" i="5" a="1"/>
  <c r="R65" i="5" a="1"/>
  <c r="BO39" i="5" a="1"/>
  <c r="BK61" i="5" a="1"/>
  <c r="BM60" i="5" a="1"/>
  <c r="BL50" i="5" a="1"/>
  <c r="R64" i="5" a="1"/>
  <c r="BN45" i="5" a="1"/>
  <c r="BL43" i="5" a="1"/>
  <c r="BM58" i="5" a="1"/>
  <c r="BO55" i="5" a="1"/>
  <c r="BN62" i="5" a="1"/>
  <c r="BK48" i="5" a="1"/>
  <c r="BM52" i="5" a="1"/>
  <c r="BK41" i="5" a="1"/>
  <c r="AC64" i="5" a="1"/>
  <c r="W66" i="5"/>
  <c r="AF65" i="5" a="1"/>
  <c r="W64" i="5"/>
  <c r="BO54" i="5" a="1"/>
  <c r="BO53" i="5" a="1"/>
  <c r="BL54" i="5" a="1"/>
  <c r="BO59" i="5" a="1"/>
  <c r="BO41" i="5" a="1"/>
  <c r="BN61" i="5" a="1"/>
  <c r="BN41" i="5" a="1"/>
  <c r="BM57" i="5" a="1"/>
  <c r="BM39" i="5" a="1"/>
  <c r="BL61" i="5" a="1"/>
  <c r="BK63" i="5" a="1"/>
  <c r="BO48" i="5" a="1"/>
  <c r="BN56" i="5" a="1"/>
  <c r="BL46" i="5" a="1"/>
  <c r="AE63" i="5" a="1"/>
  <c r="BL44" i="5" a="1"/>
  <c r="BL41" i="5" a="1"/>
  <c r="BN54" i="5" a="1"/>
  <c r="BN57" i="5" a="1"/>
  <c r="BM51" i="5" a="1"/>
  <c r="R63" i="5" a="1"/>
  <c r="BM49" i="5" a="1"/>
  <c r="BN48" i="5" a="1"/>
  <c r="BM48" i="5" l="1"/>
  <c r="BM40" i="5"/>
  <c r="BL47" i="5"/>
  <c r="BM42" i="5"/>
  <c r="BL39" i="5"/>
  <c r="BM54" i="5"/>
  <c r="BM58" i="5"/>
  <c r="BM60" i="5"/>
  <c r="BN43" i="5"/>
  <c r="BL46" i="5"/>
  <c r="BK49" i="5"/>
  <c r="BN40" i="5"/>
  <c r="BN46" i="5"/>
  <c r="BN48" i="5"/>
  <c r="BN50" i="5"/>
  <c r="BN52" i="5"/>
  <c r="BN54" i="5"/>
  <c r="BN56" i="5"/>
  <c r="BN58" i="5"/>
  <c r="BN60" i="5"/>
  <c r="BO40" i="5"/>
  <c r="BK41" i="5"/>
  <c r="BO42" i="5"/>
  <c r="BK43" i="5"/>
  <c r="BK47" i="5"/>
  <c r="BO48" i="5"/>
  <c r="BO50" i="5"/>
  <c r="BO52" i="5"/>
  <c r="BO58" i="5"/>
  <c r="BK59" i="5"/>
  <c r="BO60" i="5"/>
  <c r="BK61" i="5"/>
  <c r="BO62" i="5"/>
  <c r="BK63" i="5"/>
  <c r="BL40" i="5"/>
  <c r="BK44" i="5"/>
  <c r="BM46" i="5"/>
  <c r="BL43" i="5"/>
  <c r="BL55" i="5"/>
  <c r="BL59" i="5"/>
  <c r="BL61" i="5"/>
  <c r="BL63" i="5"/>
  <c r="BM44" i="5"/>
  <c r="BL45" i="5"/>
  <c r="BL49" i="5"/>
  <c r="BL51" i="5"/>
  <c r="BL53" i="5"/>
  <c r="BL57" i="5"/>
  <c r="BM39" i="5"/>
  <c r="BM43" i="5"/>
  <c r="BM45" i="5"/>
  <c r="BM47" i="5"/>
  <c r="BM49" i="5"/>
  <c r="BM51" i="5"/>
  <c r="BM53" i="5"/>
  <c r="BM55" i="5"/>
  <c r="BM57" i="5"/>
  <c r="BM63" i="5"/>
  <c r="BN42" i="5"/>
  <c r="BO44" i="5"/>
  <c r="BM52" i="5"/>
  <c r="BM56" i="5"/>
  <c r="BM62" i="5"/>
  <c r="BL41" i="5"/>
  <c r="BN41" i="5"/>
  <c r="BN47" i="5"/>
  <c r="BN49" i="5"/>
  <c r="BN51" i="5"/>
  <c r="BN53" i="5"/>
  <c r="BN55" i="5"/>
  <c r="BN57" i="5"/>
  <c r="BN59" i="5"/>
  <c r="BN61" i="5"/>
  <c r="BN63" i="5"/>
  <c r="BK45" i="5"/>
  <c r="BN39" i="5"/>
  <c r="BN45" i="5"/>
  <c r="BO39" i="5"/>
  <c r="BK40" i="5"/>
  <c r="BO41" i="5"/>
  <c r="BK42" i="5"/>
  <c r="BO43" i="5"/>
  <c r="BO47" i="5"/>
  <c r="BK48" i="5"/>
  <c r="BK50" i="5"/>
  <c r="BK52" i="5"/>
  <c r="BK58" i="5"/>
  <c r="BO59" i="5"/>
  <c r="BK60" i="5"/>
  <c r="BO61" i="5"/>
  <c r="BK62" i="5"/>
  <c r="BO63" i="5"/>
  <c r="BM50" i="5"/>
  <c r="BL42" i="5"/>
  <c r="BL44" i="5"/>
  <c r="BL54" i="5"/>
  <c r="BL56" i="5"/>
  <c r="BL60" i="5"/>
  <c r="BL62" i="5"/>
  <c r="BM41" i="5"/>
  <c r="BO45" i="5"/>
  <c r="BO49" i="5"/>
  <c r="BO51" i="5"/>
  <c r="BO53" i="5"/>
  <c r="BK55" i="5"/>
  <c r="BM59" i="5"/>
  <c r="AF63" i="5"/>
  <c r="AC63" i="5"/>
  <c r="R64" i="5"/>
  <c r="R65" i="5"/>
  <c r="BK54" i="5"/>
  <c r="BO54" i="5"/>
  <c r="BK56" i="5"/>
  <c r="BO56" i="5"/>
  <c r="BL58" i="5"/>
  <c r="BN62" i="5"/>
  <c r="AE64" i="5"/>
  <c r="AE65" i="5"/>
  <c r="AD63" i="5"/>
  <c r="R66" i="5"/>
  <c r="R67" i="5"/>
  <c r="R63" i="5"/>
  <c r="AB64" i="5"/>
  <c r="AF64" i="5"/>
  <c r="AB65" i="5"/>
  <c r="AF65" i="5"/>
  <c r="BN44" i="5"/>
  <c r="BK46" i="5"/>
  <c r="BO46" i="5"/>
  <c r="BL48" i="5"/>
  <c r="BL50" i="5"/>
  <c r="BL52" i="5"/>
  <c r="AE63" i="5"/>
  <c r="BK57" i="5"/>
  <c r="BO57" i="5"/>
  <c r="BM61" i="5"/>
  <c r="AC64" i="5"/>
  <c r="AC65" i="5"/>
  <c r="BK51" i="5"/>
  <c r="BK53" i="5"/>
  <c r="BO55" i="5"/>
  <c r="AB63" i="5"/>
  <c r="AD64" i="5"/>
  <c r="AD65" i="5"/>
  <c r="B55" i="5" a="1"/>
  <c r="B55" i="5" s="1"/>
  <c r="H73" i="5" a="1"/>
  <c r="H73" i="5" s="1"/>
  <c r="M73" i="5" a="1"/>
  <c r="M73" i="5" s="1"/>
  <c r="M75" i="5" a="1"/>
  <c r="M75" i="5" s="1"/>
  <c r="H75" i="5" a="1"/>
  <c r="H75" i="5" s="1"/>
  <c r="M77" i="5" a="1"/>
  <c r="M77" i="5" s="1"/>
  <c r="H77" i="5" a="1"/>
  <c r="H77" i="5" s="1"/>
  <c r="M79" i="5" a="1"/>
  <c r="M79" i="5" s="1"/>
  <c r="H79" i="5" a="1"/>
  <c r="H79" i="5" s="1"/>
  <c r="H81" i="5" a="1"/>
  <c r="H81" i="5" s="1"/>
  <c r="M81" i="5" a="1"/>
  <c r="M81" i="5" s="1"/>
  <c r="M83" i="5" a="1"/>
  <c r="M83" i="5" s="1"/>
  <c r="H83" i="5" a="1"/>
  <c r="H83" i="5" s="1"/>
  <c r="M85" i="5" a="1"/>
  <c r="M85" i="5" s="1"/>
  <c r="H85" i="5" a="1"/>
  <c r="H85" i="5" s="1"/>
  <c r="M87" i="5" a="1"/>
  <c r="M87" i="5" s="1"/>
  <c r="H87" i="5" a="1"/>
  <c r="H87" i="5" s="1"/>
  <c r="M71" i="5" a="1"/>
  <c r="M71" i="5" s="1"/>
  <c r="H71" i="5" a="1"/>
  <c r="H71" i="5" s="1"/>
  <c r="H67" i="5" a="1"/>
  <c r="H67" i="5" s="1"/>
  <c r="M67" i="5" a="1"/>
  <c r="M67" i="5" s="1"/>
  <c r="M65" i="5" a="1"/>
  <c r="M65" i="5" s="1"/>
  <c r="H65" i="5" a="1"/>
  <c r="H65" i="5" s="1"/>
  <c r="M69" i="5" a="1"/>
  <c r="M69" i="5" s="1"/>
  <c r="H69" i="5" a="1"/>
  <c r="H69" i="5" s="1"/>
  <c r="H63" i="5" a="1"/>
  <c r="H63" i="5" s="1"/>
  <c r="M63" i="5" a="1"/>
  <c r="M63" i="5" s="1"/>
  <c r="H64" i="5" a="1"/>
  <c r="H64" i="5" s="1"/>
  <c r="M66" i="5" a="1"/>
  <c r="M66" i="5" s="1"/>
  <c r="M68" i="5" a="1"/>
  <c r="M68" i="5" s="1"/>
  <c r="H70" i="5" a="1"/>
  <c r="H70" i="5" s="1"/>
  <c r="M72" i="5" a="1"/>
  <c r="M72" i="5" s="1"/>
  <c r="M74" i="5" a="1"/>
  <c r="M74" i="5" s="1"/>
  <c r="M76" i="5" a="1"/>
  <c r="M76" i="5" s="1"/>
  <c r="H78" i="5" a="1"/>
  <c r="H78" i="5" s="1"/>
  <c r="M80" i="5" a="1"/>
  <c r="M80" i="5" s="1"/>
  <c r="M82" i="5" a="1"/>
  <c r="M82" i="5" s="1"/>
  <c r="M84" i="5" a="1"/>
  <c r="M84" i="5" s="1"/>
  <c r="H86" i="5" a="1"/>
  <c r="H86" i="5" s="1"/>
  <c r="H74" i="5" a="1"/>
  <c r="H74" i="5" s="1"/>
  <c r="H82" i="5" a="1"/>
  <c r="H82" i="5" s="1"/>
  <c r="H68" i="5" a="1"/>
  <c r="H68" i="5" s="1"/>
  <c r="H76" i="5" a="1"/>
  <c r="H76" i="5" s="1"/>
  <c r="H84" i="5" a="1"/>
  <c r="H84" i="5" s="1"/>
  <c r="BK39" i="5" a="1"/>
  <c r="BP46" i="5" l="1"/>
  <c r="BP43" i="5"/>
  <c r="BP58" i="5"/>
  <c r="BP40" i="5"/>
  <c r="BK39" i="5"/>
  <c r="BO64" i="5"/>
  <c r="BP59" i="5"/>
  <c r="BP50" i="5"/>
  <c r="BL64" i="5"/>
  <c r="BP57" i="5"/>
  <c r="BP52" i="5"/>
  <c r="BP53" i="5"/>
  <c r="BP48" i="5"/>
  <c r="BN64" i="5"/>
  <c r="BP44" i="5"/>
  <c r="BP41" i="5"/>
  <c r="BP51" i="5"/>
  <c r="BP62" i="5"/>
  <c r="BP45" i="5"/>
  <c r="BP49" i="5"/>
  <c r="BP61" i="5"/>
  <c r="BP63" i="5"/>
  <c r="BP54" i="5"/>
  <c r="BP56" i="5"/>
  <c r="BP55" i="5"/>
  <c r="BP60" i="5"/>
  <c r="BP42" i="5"/>
  <c r="BM64" i="5"/>
  <c r="BP47" i="5"/>
  <c r="BK64" i="5" l="1"/>
  <c r="BP64" i="5" s="1"/>
  <c r="BP39" i="5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AP66" i="4"/>
  <c r="C66" i="4"/>
  <c r="AP65" i="4"/>
  <c r="C65" i="4"/>
  <c r="AP64" i="4"/>
  <c r="C64" i="4"/>
  <c r="AP63" i="4"/>
  <c r="C63" i="4"/>
  <c r="BR35" i="4"/>
  <c r="BK35" i="4"/>
  <c r="BD35" i="4"/>
  <c r="AW35" i="4"/>
  <c r="AP35" i="4"/>
  <c r="AI35" i="4"/>
  <c r="AA35" i="4"/>
  <c r="CC30" i="4"/>
  <c r="CB30" i="4"/>
  <c r="CA30" i="4"/>
  <c r="BZ30" i="4"/>
  <c r="BY30" i="4"/>
  <c r="BV30" i="4"/>
  <c r="BU30" i="4"/>
  <c r="BT30" i="4"/>
  <c r="BS30" i="4"/>
  <c r="BR30" i="4"/>
  <c r="BO30" i="4"/>
  <c r="BN30" i="4"/>
  <c r="BM30" i="4"/>
  <c r="BL30" i="4"/>
  <c r="BK30" i="4"/>
  <c r="AE30" i="4"/>
  <c r="AD30" i="4"/>
  <c r="AC30" i="4"/>
  <c r="AB30" i="4"/>
  <c r="AA30" i="4"/>
  <c r="M87" i="4" s="1" a="1"/>
  <c r="M87" i="4" s="1"/>
  <c r="CC29" i="4"/>
  <c r="CB29" i="4"/>
  <c r="CA29" i="4"/>
  <c r="BZ29" i="4"/>
  <c r="BY29" i="4"/>
  <c r="BV29" i="4"/>
  <c r="BU29" i="4"/>
  <c r="BT29" i="4"/>
  <c r="BS29" i="4"/>
  <c r="M86" i="4" s="1" a="1"/>
  <c r="M86" i="4" s="1"/>
  <c r="BR29" i="4"/>
  <c r="BO29" i="4"/>
  <c r="BN29" i="4"/>
  <c r="BM29" i="4"/>
  <c r="BL29" i="4"/>
  <c r="BK29" i="4"/>
  <c r="AE29" i="4"/>
  <c r="AD29" i="4"/>
  <c r="AC29" i="4"/>
  <c r="AB29" i="4"/>
  <c r="AA29" i="4"/>
  <c r="H86" i="4" s="1" a="1"/>
  <c r="H86" i="4" s="1"/>
  <c r="CC28" i="4"/>
  <c r="CB28" i="4"/>
  <c r="CA28" i="4"/>
  <c r="BZ28" i="4"/>
  <c r="BY28" i="4"/>
  <c r="BV28" i="4"/>
  <c r="BU28" i="4"/>
  <c r="BT28" i="4"/>
  <c r="BS28" i="4"/>
  <c r="BR28" i="4"/>
  <c r="BO28" i="4"/>
  <c r="BN28" i="4"/>
  <c r="BM28" i="4"/>
  <c r="BL28" i="4"/>
  <c r="BK28" i="4"/>
  <c r="AE28" i="4"/>
  <c r="AD28" i="4"/>
  <c r="AC28" i="4"/>
  <c r="AB28" i="4"/>
  <c r="AA28" i="4"/>
  <c r="M85" i="4" s="1" a="1"/>
  <c r="M85" i="4" s="1"/>
  <c r="CC27" i="4"/>
  <c r="CB27" i="4"/>
  <c r="CA27" i="4"/>
  <c r="BZ27" i="4"/>
  <c r="BY27" i="4"/>
  <c r="BV27" i="4"/>
  <c r="BU27" i="4"/>
  <c r="BT27" i="4"/>
  <c r="BS27" i="4"/>
  <c r="BR27" i="4"/>
  <c r="BO27" i="4"/>
  <c r="BN27" i="4"/>
  <c r="BM27" i="4"/>
  <c r="BL27" i="4"/>
  <c r="BK27" i="4"/>
  <c r="AE27" i="4"/>
  <c r="AD27" i="4"/>
  <c r="AC27" i="4"/>
  <c r="AB27" i="4"/>
  <c r="AA27" i="4"/>
  <c r="M84" i="4" s="1" a="1"/>
  <c r="M84" i="4" s="1"/>
  <c r="CC26" i="4"/>
  <c r="CB26" i="4"/>
  <c r="CA26" i="4"/>
  <c r="BZ26" i="4"/>
  <c r="BY26" i="4"/>
  <c r="BV26" i="4"/>
  <c r="BU26" i="4"/>
  <c r="BT26" i="4"/>
  <c r="BS26" i="4"/>
  <c r="BR26" i="4"/>
  <c r="BO26" i="4"/>
  <c r="BN26" i="4"/>
  <c r="BM26" i="4"/>
  <c r="H83" i="4" s="1" a="1"/>
  <c r="H83" i="4" s="1"/>
  <c r="BL26" i="4"/>
  <c r="BK26" i="4"/>
  <c r="AE26" i="4"/>
  <c r="AD26" i="4"/>
  <c r="AC26" i="4"/>
  <c r="AB26" i="4"/>
  <c r="AA26" i="4"/>
  <c r="M83" i="4" s="1" a="1"/>
  <c r="M83" i="4" s="1"/>
  <c r="CC25" i="4"/>
  <c r="CB25" i="4"/>
  <c r="CA25" i="4"/>
  <c r="BZ25" i="4"/>
  <c r="BY25" i="4"/>
  <c r="BV25" i="4"/>
  <c r="BU25" i="4"/>
  <c r="BT25" i="4"/>
  <c r="BS25" i="4"/>
  <c r="BR25" i="4"/>
  <c r="BO25" i="4"/>
  <c r="BN25" i="4"/>
  <c r="BM25" i="4"/>
  <c r="BL25" i="4"/>
  <c r="BK25" i="4"/>
  <c r="H82" i="4" s="1" a="1"/>
  <c r="H82" i="4" s="1"/>
  <c r="AE25" i="4"/>
  <c r="AD25" i="4"/>
  <c r="AC25" i="4"/>
  <c r="AB25" i="4"/>
  <c r="AA25" i="4"/>
  <c r="M82" i="4" s="1" a="1"/>
  <c r="M82" i="4" s="1"/>
  <c r="CC24" i="4"/>
  <c r="CB24" i="4"/>
  <c r="CA24" i="4"/>
  <c r="BZ24" i="4"/>
  <c r="BY24" i="4"/>
  <c r="BV24" i="4"/>
  <c r="BU24" i="4"/>
  <c r="BT24" i="4"/>
  <c r="BS24" i="4"/>
  <c r="BR24" i="4"/>
  <c r="BO24" i="4"/>
  <c r="BN24" i="4"/>
  <c r="BM24" i="4"/>
  <c r="M81" i="4" s="1" a="1"/>
  <c r="M81" i="4" s="1"/>
  <c r="BL24" i="4"/>
  <c r="BK24" i="4"/>
  <c r="AE24" i="4"/>
  <c r="AD24" i="4"/>
  <c r="AC24" i="4"/>
  <c r="AB24" i="4"/>
  <c r="AA24" i="4"/>
  <c r="H81" i="4" s="1" a="1"/>
  <c r="H81" i="4" s="1"/>
  <c r="CC23" i="4"/>
  <c r="CB23" i="4"/>
  <c r="CA23" i="4"/>
  <c r="BZ23" i="4"/>
  <c r="BY23" i="4"/>
  <c r="BV23" i="4"/>
  <c r="BU23" i="4"/>
  <c r="BT23" i="4"/>
  <c r="BS23" i="4"/>
  <c r="H80" i="4" s="1" a="1"/>
  <c r="H80" i="4" s="1"/>
  <c r="BR23" i="4"/>
  <c r="BO23" i="4"/>
  <c r="BN23" i="4"/>
  <c r="BM23" i="4"/>
  <c r="BL23" i="4"/>
  <c r="BK23" i="4"/>
  <c r="M80" i="4" s="1" a="1"/>
  <c r="M80" i="4" s="1"/>
  <c r="AE23" i="4"/>
  <c r="AD23" i="4"/>
  <c r="AC23" i="4"/>
  <c r="AB23" i="4"/>
  <c r="AA23" i="4"/>
  <c r="CC22" i="4"/>
  <c r="CB22" i="4"/>
  <c r="CA22" i="4"/>
  <c r="BZ22" i="4"/>
  <c r="BY22" i="4"/>
  <c r="BV22" i="4"/>
  <c r="BU22" i="4"/>
  <c r="BT22" i="4"/>
  <c r="BS22" i="4"/>
  <c r="BR22" i="4"/>
  <c r="BO22" i="4"/>
  <c r="BN22" i="4"/>
  <c r="BM22" i="4"/>
  <c r="BL22" i="4"/>
  <c r="BK22" i="4"/>
  <c r="AE22" i="4"/>
  <c r="AD22" i="4"/>
  <c r="AC22" i="4"/>
  <c r="AB22" i="4"/>
  <c r="AA22" i="4"/>
  <c r="M79" i="4" s="1" a="1"/>
  <c r="M79" i="4" s="1"/>
  <c r="CC21" i="4"/>
  <c r="CB21" i="4"/>
  <c r="CA21" i="4"/>
  <c r="BZ21" i="4"/>
  <c r="BY21" i="4"/>
  <c r="BV21" i="4"/>
  <c r="BU21" i="4"/>
  <c r="BT21" i="4"/>
  <c r="BS21" i="4"/>
  <c r="M78" i="4" s="1" a="1"/>
  <c r="M78" i="4" s="1"/>
  <c r="BR21" i="4"/>
  <c r="BO21" i="4"/>
  <c r="BN21" i="4"/>
  <c r="BM21" i="4"/>
  <c r="BL21" i="4"/>
  <c r="BK21" i="4"/>
  <c r="AE21" i="4"/>
  <c r="AD21" i="4"/>
  <c r="AC21" i="4"/>
  <c r="AB21" i="4"/>
  <c r="AA21" i="4"/>
  <c r="H78" i="4" s="1" a="1"/>
  <c r="H78" i="4" s="1"/>
  <c r="CC20" i="4"/>
  <c r="CB20" i="4"/>
  <c r="CA20" i="4"/>
  <c r="BZ20" i="4"/>
  <c r="BY20" i="4"/>
  <c r="BV20" i="4"/>
  <c r="BU20" i="4"/>
  <c r="BT20" i="4"/>
  <c r="BS20" i="4"/>
  <c r="BR20" i="4"/>
  <c r="BO20" i="4"/>
  <c r="BN20" i="4"/>
  <c r="BM20" i="4"/>
  <c r="BL20" i="4"/>
  <c r="BK20" i="4"/>
  <c r="AE20" i="4"/>
  <c r="AD20" i="4"/>
  <c r="AC20" i="4"/>
  <c r="AB20" i="4"/>
  <c r="AA20" i="4"/>
  <c r="H77" i="4" s="1" a="1"/>
  <c r="H77" i="4" s="1"/>
  <c r="CC19" i="4"/>
  <c r="CB19" i="4"/>
  <c r="CA19" i="4"/>
  <c r="BZ19" i="4"/>
  <c r="BY19" i="4"/>
  <c r="BV19" i="4"/>
  <c r="BU19" i="4"/>
  <c r="BT19" i="4"/>
  <c r="BS19" i="4"/>
  <c r="BR19" i="4"/>
  <c r="BO19" i="4"/>
  <c r="BN19" i="4"/>
  <c r="BM19" i="4"/>
  <c r="BL19" i="4"/>
  <c r="BK19" i="4"/>
  <c r="AE19" i="4"/>
  <c r="AD19" i="4"/>
  <c r="AC19" i="4"/>
  <c r="AB19" i="4"/>
  <c r="AA19" i="4"/>
  <c r="M76" i="4" s="1" a="1"/>
  <c r="M76" i="4" s="1"/>
  <c r="CC18" i="4"/>
  <c r="CB18" i="4"/>
  <c r="CA18" i="4"/>
  <c r="BZ18" i="4"/>
  <c r="BY18" i="4"/>
  <c r="BV18" i="4"/>
  <c r="BU18" i="4"/>
  <c r="BT18" i="4"/>
  <c r="BS18" i="4"/>
  <c r="BR18" i="4"/>
  <c r="BO18" i="4"/>
  <c r="BN18" i="4"/>
  <c r="BM18" i="4"/>
  <c r="H75" i="4" s="1" a="1"/>
  <c r="H75" i="4" s="1"/>
  <c r="BL18" i="4"/>
  <c r="BK18" i="4"/>
  <c r="AE18" i="4"/>
  <c r="AD18" i="4"/>
  <c r="AC18" i="4"/>
  <c r="AB18" i="4"/>
  <c r="AA18" i="4"/>
  <c r="M75" i="4" s="1" a="1"/>
  <c r="M75" i="4" s="1"/>
  <c r="CC17" i="4"/>
  <c r="CB17" i="4"/>
  <c r="CA17" i="4"/>
  <c r="BZ17" i="4"/>
  <c r="BY17" i="4"/>
  <c r="BV17" i="4"/>
  <c r="BU17" i="4"/>
  <c r="BT17" i="4"/>
  <c r="BS17" i="4"/>
  <c r="BR17" i="4"/>
  <c r="BO17" i="4"/>
  <c r="BN17" i="4"/>
  <c r="BM17" i="4"/>
  <c r="BL17" i="4"/>
  <c r="BK17" i="4"/>
  <c r="H74" i="4" s="1" a="1"/>
  <c r="H74" i="4" s="1"/>
  <c r="AE17" i="4"/>
  <c r="AD17" i="4"/>
  <c r="AC17" i="4"/>
  <c r="AB17" i="4"/>
  <c r="AA17" i="4"/>
  <c r="M74" i="4" s="1" a="1"/>
  <c r="M74" i="4" s="1"/>
  <c r="CC16" i="4"/>
  <c r="CB16" i="4"/>
  <c r="CA16" i="4"/>
  <c r="BZ16" i="4"/>
  <c r="BY16" i="4"/>
  <c r="BV16" i="4"/>
  <c r="BU16" i="4"/>
  <c r="BT16" i="4"/>
  <c r="BS16" i="4"/>
  <c r="BR16" i="4"/>
  <c r="BO16" i="4"/>
  <c r="BN16" i="4"/>
  <c r="BM16" i="4"/>
  <c r="M73" i="4" s="1" a="1"/>
  <c r="M73" i="4" s="1"/>
  <c r="BL16" i="4"/>
  <c r="BK16" i="4"/>
  <c r="AE16" i="4"/>
  <c r="AD16" i="4"/>
  <c r="AC16" i="4"/>
  <c r="AB16" i="4"/>
  <c r="AA16" i="4"/>
  <c r="H73" i="4" s="1" a="1"/>
  <c r="H73" i="4" s="1"/>
  <c r="CC15" i="4"/>
  <c r="CB15" i="4"/>
  <c r="CA15" i="4"/>
  <c r="BZ15" i="4"/>
  <c r="BY15" i="4"/>
  <c r="BV15" i="4"/>
  <c r="BU15" i="4"/>
  <c r="BT15" i="4"/>
  <c r="BS15" i="4"/>
  <c r="H72" i="4" s="1" a="1"/>
  <c r="H72" i="4" s="1"/>
  <c r="BR15" i="4"/>
  <c r="BO15" i="4"/>
  <c r="BN15" i="4"/>
  <c r="BM15" i="4"/>
  <c r="BL15" i="4"/>
  <c r="BK15" i="4"/>
  <c r="M72" i="4" s="1" a="1"/>
  <c r="M72" i="4" s="1"/>
  <c r="AE15" i="4"/>
  <c r="AD15" i="4"/>
  <c r="AC15" i="4"/>
  <c r="AB15" i="4"/>
  <c r="AA15" i="4"/>
  <c r="CC14" i="4"/>
  <c r="CB14" i="4"/>
  <c r="CA14" i="4"/>
  <c r="BZ14" i="4"/>
  <c r="BY14" i="4"/>
  <c r="BV14" i="4"/>
  <c r="BU14" i="4"/>
  <c r="BT14" i="4"/>
  <c r="BS14" i="4"/>
  <c r="BR14" i="4"/>
  <c r="BO14" i="4"/>
  <c r="BN14" i="4"/>
  <c r="BM14" i="4"/>
  <c r="BL14" i="4"/>
  <c r="BK14" i="4"/>
  <c r="AE14" i="4"/>
  <c r="AD14" i="4"/>
  <c r="AC14" i="4"/>
  <c r="AB14" i="4"/>
  <c r="AA14" i="4"/>
  <c r="M71" i="4" s="1" a="1"/>
  <c r="M71" i="4" s="1"/>
  <c r="CC13" i="4"/>
  <c r="CB13" i="4"/>
  <c r="CA13" i="4"/>
  <c r="BZ13" i="4"/>
  <c r="BY13" i="4"/>
  <c r="BV13" i="4"/>
  <c r="BU13" i="4"/>
  <c r="BT13" i="4"/>
  <c r="BS13" i="4"/>
  <c r="M70" i="4" s="1" a="1"/>
  <c r="M70" i="4" s="1"/>
  <c r="BR13" i="4"/>
  <c r="BO13" i="4"/>
  <c r="BN13" i="4"/>
  <c r="BM13" i="4"/>
  <c r="BL13" i="4"/>
  <c r="BK13" i="4"/>
  <c r="AE13" i="4"/>
  <c r="AD13" i="4"/>
  <c r="AC13" i="4"/>
  <c r="AB13" i="4"/>
  <c r="AA13" i="4"/>
  <c r="H70" i="4" s="1" a="1"/>
  <c r="H70" i="4" s="1"/>
  <c r="CC12" i="4"/>
  <c r="CB12" i="4"/>
  <c r="CA12" i="4"/>
  <c r="BZ12" i="4"/>
  <c r="BY12" i="4"/>
  <c r="BV12" i="4"/>
  <c r="BU12" i="4"/>
  <c r="BT12" i="4"/>
  <c r="BS12" i="4"/>
  <c r="BR12" i="4"/>
  <c r="BO12" i="4"/>
  <c r="BN12" i="4"/>
  <c r="BM12" i="4"/>
  <c r="BL12" i="4"/>
  <c r="BK12" i="4"/>
  <c r="AE12" i="4"/>
  <c r="AD12" i="4"/>
  <c r="AC12" i="4"/>
  <c r="AB12" i="4"/>
  <c r="AA12" i="4"/>
  <c r="H69" i="4" s="1" a="1"/>
  <c r="H69" i="4" s="1"/>
  <c r="CC11" i="4"/>
  <c r="CB11" i="4"/>
  <c r="CA11" i="4"/>
  <c r="BZ11" i="4"/>
  <c r="BY11" i="4"/>
  <c r="BV11" i="4"/>
  <c r="BU11" i="4"/>
  <c r="BT11" i="4"/>
  <c r="BS11" i="4"/>
  <c r="BR11" i="4"/>
  <c r="BO11" i="4"/>
  <c r="BN11" i="4"/>
  <c r="BM11" i="4"/>
  <c r="BL11" i="4"/>
  <c r="BK11" i="4"/>
  <c r="AE11" i="4"/>
  <c r="AD11" i="4"/>
  <c r="AC11" i="4"/>
  <c r="AB11" i="4"/>
  <c r="AA11" i="4"/>
  <c r="M68" i="4" s="1" a="1"/>
  <c r="M68" i="4" s="1"/>
  <c r="CC10" i="4"/>
  <c r="CB10" i="4"/>
  <c r="CA10" i="4"/>
  <c r="BZ10" i="4"/>
  <c r="BY10" i="4"/>
  <c r="BV10" i="4"/>
  <c r="BU10" i="4"/>
  <c r="BT10" i="4"/>
  <c r="BS10" i="4"/>
  <c r="BR10" i="4"/>
  <c r="BO10" i="4"/>
  <c r="BN10" i="4"/>
  <c r="BM10" i="4"/>
  <c r="M67" i="4" s="1" a="1"/>
  <c r="M67" i="4" s="1"/>
  <c r="BL10" i="4"/>
  <c r="BK10" i="4"/>
  <c r="AE10" i="4"/>
  <c r="AD10" i="4"/>
  <c r="AC10" i="4"/>
  <c r="AB10" i="4"/>
  <c r="AA10" i="4"/>
  <c r="H67" i="4" s="1" a="1"/>
  <c r="H67" i="4" s="1"/>
  <c r="CC9" i="4"/>
  <c r="CB9" i="4"/>
  <c r="CA9" i="4"/>
  <c r="BZ9" i="4"/>
  <c r="BY9" i="4"/>
  <c r="BV9" i="4"/>
  <c r="BU9" i="4"/>
  <c r="BT9" i="4"/>
  <c r="BS9" i="4"/>
  <c r="BR9" i="4"/>
  <c r="BO9" i="4"/>
  <c r="BN9" i="4"/>
  <c r="BM9" i="4"/>
  <c r="BL9" i="4"/>
  <c r="BK9" i="4"/>
  <c r="AE9" i="4"/>
  <c r="AD9" i="4"/>
  <c r="AC9" i="4"/>
  <c r="AB9" i="4"/>
  <c r="AA9" i="4"/>
  <c r="M66" i="4" s="1" a="1"/>
  <c r="M66" i="4" s="1"/>
  <c r="CC8" i="4"/>
  <c r="CB8" i="4"/>
  <c r="CA8" i="4"/>
  <c r="BZ8" i="4"/>
  <c r="BY8" i="4"/>
  <c r="BV8" i="4"/>
  <c r="BU8" i="4"/>
  <c r="BT8" i="4"/>
  <c r="BS8" i="4"/>
  <c r="BR8" i="4"/>
  <c r="BO8" i="4"/>
  <c r="BN8" i="4"/>
  <c r="BM8" i="4"/>
  <c r="BL8" i="4"/>
  <c r="BK8" i="4"/>
  <c r="AE8" i="4"/>
  <c r="AD8" i="4"/>
  <c r="AC8" i="4"/>
  <c r="AB8" i="4"/>
  <c r="AA8" i="4"/>
  <c r="H65" i="4" s="1" a="1"/>
  <c r="H65" i="4" s="1"/>
  <c r="CC7" i="4"/>
  <c r="CB7" i="4"/>
  <c r="CA7" i="4"/>
  <c r="BZ7" i="4"/>
  <c r="BY7" i="4"/>
  <c r="BV7" i="4"/>
  <c r="BU7" i="4"/>
  <c r="BT7" i="4"/>
  <c r="BS7" i="4"/>
  <c r="M64" i="4" s="1" a="1"/>
  <c r="M64" i="4" s="1"/>
  <c r="BR7" i="4"/>
  <c r="BO7" i="4"/>
  <c r="BN7" i="4"/>
  <c r="BM7" i="4"/>
  <c r="BL7" i="4"/>
  <c r="BK7" i="4"/>
  <c r="AE7" i="4"/>
  <c r="AD7" i="4"/>
  <c r="AC7" i="4"/>
  <c r="AB7" i="4"/>
  <c r="AA7" i="4"/>
  <c r="H64" i="4" s="1" a="1"/>
  <c r="H64" i="4" s="1"/>
  <c r="CC6" i="4"/>
  <c r="CB6" i="4"/>
  <c r="CA6" i="4"/>
  <c r="BZ6" i="4"/>
  <c r="BY6" i="4"/>
  <c r="B55" i="4" s="1" a="1"/>
  <c r="B55" i="4" s="1"/>
  <c r="BV6" i="4"/>
  <c r="BU6" i="4"/>
  <c r="BT6" i="4"/>
  <c r="BS6" i="4"/>
  <c r="BR6" i="4"/>
  <c r="BO6" i="4"/>
  <c r="BN6" i="4"/>
  <c r="BM6" i="4"/>
  <c r="BL6" i="4"/>
  <c r="BK6" i="4"/>
  <c r="AE6" i="4"/>
  <c r="AD6" i="4"/>
  <c r="AC6" i="4"/>
  <c r="AB6" i="4"/>
  <c r="AA6" i="4"/>
  <c r="M63" i="4" s="1" a="1"/>
  <c r="M63" i="4" s="1"/>
  <c r="R63" i="4" a="1"/>
  <c r="W63" i="4"/>
  <c r="AE64" i="4" a="1"/>
  <c r="AE65" i="4" a="1"/>
  <c r="W64" i="4"/>
  <c r="AB65" i="4" a="1"/>
  <c r="R65" i="4" a="1"/>
  <c r="AD65" i="4" a="1"/>
  <c r="AD63" i="4" a="1"/>
  <c r="AB64" i="4" a="1"/>
  <c r="AC63" i="4" a="1"/>
  <c r="AD64" i="4" a="1"/>
  <c r="W66" i="4"/>
  <c r="AB63" i="4" a="1"/>
  <c r="AE63" i="4" a="1"/>
  <c r="R66" i="4" a="1"/>
  <c r="AF65" i="4" a="1"/>
  <c r="AC65" i="4" a="1"/>
  <c r="AC64" i="4" a="1"/>
  <c r="W65" i="4"/>
  <c r="R67" i="4" a="1"/>
  <c r="AF64" i="4" a="1"/>
  <c r="R64" i="4" a="1"/>
  <c r="AF63" i="4" a="1"/>
  <c r="AC64" i="4" l="1"/>
  <c r="AE63" i="4"/>
  <c r="AF65" i="4"/>
  <c r="AD64" i="4"/>
  <c r="R64" i="4"/>
  <c r="AE64" i="4"/>
  <c r="AB65" i="4"/>
  <c r="AB63" i="4"/>
  <c r="AC63" i="4"/>
  <c r="AD65" i="4"/>
  <c r="R67" i="4"/>
  <c r="AF63" i="4"/>
  <c r="AC65" i="4"/>
  <c r="AB64" i="4"/>
  <c r="AF64" i="4"/>
  <c r="R65" i="4"/>
  <c r="R63" i="4"/>
  <c r="R66" i="4"/>
  <c r="AD63" i="4"/>
  <c r="AE65" i="4"/>
  <c r="H85" i="4" a="1"/>
  <c r="H85" i="4" s="1"/>
  <c r="H63" i="4" a="1"/>
  <c r="H63" i="4" s="1"/>
  <c r="M65" i="4" a="1"/>
  <c r="M65" i="4" s="1"/>
  <c r="M69" i="4" a="1"/>
  <c r="M69" i="4" s="1"/>
  <c r="H71" i="4" a="1"/>
  <c r="H71" i="4" s="1"/>
  <c r="M77" i="4" a="1"/>
  <c r="M77" i="4" s="1"/>
  <c r="H79" i="4" a="1"/>
  <c r="H79" i="4" s="1"/>
  <c r="H87" i="4" a="1"/>
  <c r="H87" i="4" s="1"/>
  <c r="H66" i="4" a="1"/>
  <c r="H66" i="4" s="1"/>
  <c r="H68" i="4" a="1"/>
  <c r="H68" i="4" s="1"/>
  <c r="H76" i="4" a="1"/>
  <c r="H76" i="4" s="1"/>
  <c r="H84" i="4" a="1"/>
  <c r="H84" i="4" s="1"/>
  <c r="C87" i="3" l="1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BR35" i="3"/>
  <c r="BK35" i="3"/>
  <c r="BD35" i="3"/>
  <c r="AW35" i="3"/>
  <c r="AP35" i="3"/>
  <c r="AI35" i="3"/>
  <c r="AA35" i="3"/>
  <c r="CD30" i="3"/>
  <c r="CC30" i="3"/>
  <c r="CB30" i="3"/>
  <c r="CA30" i="3"/>
  <c r="BZ30" i="3"/>
  <c r="BY30" i="3"/>
  <c r="BW30" i="3"/>
  <c r="BV30" i="3"/>
  <c r="BU30" i="3"/>
  <c r="BT30" i="3"/>
  <c r="BS30" i="3"/>
  <c r="BR30" i="3"/>
  <c r="BP30" i="3"/>
  <c r="BO30" i="3"/>
  <c r="BN30" i="3"/>
  <c r="BM30" i="3"/>
  <c r="BL30" i="3"/>
  <c r="BK30" i="3"/>
  <c r="AF30" i="3"/>
  <c r="AE30" i="3"/>
  <c r="AD30" i="3"/>
  <c r="AC30" i="3"/>
  <c r="AB30" i="3"/>
  <c r="AA30" i="3"/>
  <c r="M87" i="3" s="1" a="1"/>
  <c r="M87" i="3" s="1"/>
  <c r="CD29" i="3"/>
  <c r="CC29" i="3"/>
  <c r="CB29" i="3"/>
  <c r="CA29" i="3"/>
  <c r="BZ29" i="3"/>
  <c r="BY29" i="3"/>
  <c r="BW29" i="3"/>
  <c r="BV29" i="3"/>
  <c r="BU29" i="3"/>
  <c r="BT29" i="3"/>
  <c r="BS29" i="3"/>
  <c r="BR29" i="3"/>
  <c r="BP29" i="3"/>
  <c r="BO29" i="3"/>
  <c r="BN29" i="3"/>
  <c r="BM29" i="3"/>
  <c r="BL29" i="3"/>
  <c r="BK29" i="3"/>
  <c r="AF29" i="3"/>
  <c r="AE29" i="3"/>
  <c r="AD29" i="3"/>
  <c r="AC29" i="3"/>
  <c r="AB29" i="3"/>
  <c r="AA29" i="3"/>
  <c r="H86" i="3" s="1" a="1"/>
  <c r="H86" i="3" s="1"/>
  <c r="CD28" i="3"/>
  <c r="CC28" i="3"/>
  <c r="CB28" i="3"/>
  <c r="CA28" i="3"/>
  <c r="BZ28" i="3"/>
  <c r="BY28" i="3"/>
  <c r="BW28" i="3"/>
  <c r="BV28" i="3"/>
  <c r="BU28" i="3"/>
  <c r="BT28" i="3"/>
  <c r="BS28" i="3"/>
  <c r="BR28" i="3"/>
  <c r="BP28" i="3"/>
  <c r="BO28" i="3"/>
  <c r="BN28" i="3"/>
  <c r="BM28" i="3"/>
  <c r="BL28" i="3"/>
  <c r="BK28" i="3"/>
  <c r="AF28" i="3"/>
  <c r="AE28" i="3"/>
  <c r="AD28" i="3"/>
  <c r="AC28" i="3"/>
  <c r="AB28" i="3"/>
  <c r="AA28" i="3"/>
  <c r="M85" i="3" s="1" a="1"/>
  <c r="M85" i="3" s="1"/>
  <c r="CD27" i="3"/>
  <c r="CC27" i="3"/>
  <c r="CB27" i="3"/>
  <c r="CA27" i="3"/>
  <c r="BZ27" i="3"/>
  <c r="BY27" i="3"/>
  <c r="BW27" i="3"/>
  <c r="BV27" i="3"/>
  <c r="BU27" i="3"/>
  <c r="BT27" i="3"/>
  <c r="BS27" i="3"/>
  <c r="BR27" i="3"/>
  <c r="BP27" i="3"/>
  <c r="BO27" i="3"/>
  <c r="BN27" i="3"/>
  <c r="BM27" i="3"/>
  <c r="BL27" i="3"/>
  <c r="BK27" i="3"/>
  <c r="AF27" i="3"/>
  <c r="AE27" i="3"/>
  <c r="AD27" i="3"/>
  <c r="AC27" i="3"/>
  <c r="AB27" i="3"/>
  <c r="AA27" i="3"/>
  <c r="M84" i="3" s="1" a="1"/>
  <c r="M84" i="3" s="1"/>
  <c r="CD26" i="3"/>
  <c r="CC26" i="3"/>
  <c r="CB26" i="3"/>
  <c r="CA26" i="3"/>
  <c r="BZ26" i="3"/>
  <c r="BY26" i="3"/>
  <c r="BW26" i="3"/>
  <c r="BV26" i="3"/>
  <c r="BU26" i="3"/>
  <c r="BT26" i="3"/>
  <c r="BS26" i="3"/>
  <c r="BR26" i="3"/>
  <c r="BP26" i="3"/>
  <c r="BO26" i="3"/>
  <c r="BN26" i="3"/>
  <c r="BM26" i="3"/>
  <c r="BL26" i="3"/>
  <c r="BK26" i="3"/>
  <c r="AF26" i="3"/>
  <c r="AE26" i="3"/>
  <c r="AD26" i="3"/>
  <c r="AC26" i="3"/>
  <c r="AB26" i="3"/>
  <c r="AA26" i="3"/>
  <c r="M83" i="3" s="1" a="1"/>
  <c r="M83" i="3" s="1"/>
  <c r="CD25" i="3"/>
  <c r="CC25" i="3"/>
  <c r="CB25" i="3"/>
  <c r="CA25" i="3"/>
  <c r="BZ25" i="3"/>
  <c r="BY25" i="3"/>
  <c r="BW25" i="3"/>
  <c r="BV25" i="3"/>
  <c r="BU25" i="3"/>
  <c r="BT25" i="3"/>
  <c r="BS25" i="3"/>
  <c r="BR25" i="3"/>
  <c r="BP25" i="3"/>
  <c r="BO25" i="3"/>
  <c r="BN25" i="3"/>
  <c r="BM25" i="3"/>
  <c r="BL25" i="3"/>
  <c r="BK25" i="3"/>
  <c r="AF25" i="3"/>
  <c r="AE25" i="3"/>
  <c r="AD25" i="3"/>
  <c r="AC25" i="3"/>
  <c r="AB25" i="3"/>
  <c r="AA25" i="3"/>
  <c r="M82" i="3" s="1" a="1"/>
  <c r="M82" i="3" s="1"/>
  <c r="CD24" i="3"/>
  <c r="CC24" i="3"/>
  <c r="CB24" i="3"/>
  <c r="CA24" i="3"/>
  <c r="BZ24" i="3"/>
  <c r="BY24" i="3"/>
  <c r="BW24" i="3"/>
  <c r="BV24" i="3"/>
  <c r="BU24" i="3"/>
  <c r="BT24" i="3"/>
  <c r="BS24" i="3"/>
  <c r="BR24" i="3"/>
  <c r="BP24" i="3"/>
  <c r="BO24" i="3"/>
  <c r="BN24" i="3"/>
  <c r="BM24" i="3"/>
  <c r="BL24" i="3"/>
  <c r="BK24" i="3"/>
  <c r="AF24" i="3"/>
  <c r="AE24" i="3"/>
  <c r="AD24" i="3"/>
  <c r="AC24" i="3"/>
  <c r="AB24" i="3"/>
  <c r="AA24" i="3"/>
  <c r="H81" i="3" s="1" a="1"/>
  <c r="H81" i="3" s="1"/>
  <c r="CD23" i="3"/>
  <c r="CC23" i="3"/>
  <c r="CB23" i="3"/>
  <c r="CA23" i="3"/>
  <c r="BZ23" i="3"/>
  <c r="BY23" i="3"/>
  <c r="BW23" i="3"/>
  <c r="BV23" i="3"/>
  <c r="BU23" i="3"/>
  <c r="BT23" i="3"/>
  <c r="BS23" i="3"/>
  <c r="BR23" i="3"/>
  <c r="BP23" i="3"/>
  <c r="BO23" i="3"/>
  <c r="BN23" i="3"/>
  <c r="BM23" i="3"/>
  <c r="BL23" i="3"/>
  <c r="BK23" i="3"/>
  <c r="AF23" i="3"/>
  <c r="AE23" i="3"/>
  <c r="AD23" i="3"/>
  <c r="AC23" i="3"/>
  <c r="AB23" i="3"/>
  <c r="AA23" i="3"/>
  <c r="M80" i="3" s="1" a="1"/>
  <c r="M80" i="3" s="1"/>
  <c r="CD22" i="3"/>
  <c r="CC22" i="3"/>
  <c r="CB22" i="3"/>
  <c r="CA22" i="3"/>
  <c r="BZ22" i="3"/>
  <c r="BY22" i="3"/>
  <c r="BW22" i="3"/>
  <c r="BV22" i="3"/>
  <c r="BU22" i="3"/>
  <c r="BT22" i="3"/>
  <c r="BS22" i="3"/>
  <c r="BR22" i="3"/>
  <c r="BP22" i="3"/>
  <c r="BO22" i="3"/>
  <c r="BN22" i="3"/>
  <c r="BM22" i="3"/>
  <c r="BL22" i="3"/>
  <c r="BK22" i="3"/>
  <c r="AF22" i="3"/>
  <c r="AE22" i="3"/>
  <c r="AD22" i="3"/>
  <c r="AC22" i="3"/>
  <c r="AB22" i="3"/>
  <c r="AA22" i="3"/>
  <c r="M79" i="3" s="1" a="1"/>
  <c r="M79" i="3" s="1"/>
  <c r="CD21" i="3"/>
  <c r="CC21" i="3"/>
  <c r="CB21" i="3"/>
  <c r="CA21" i="3"/>
  <c r="BZ21" i="3"/>
  <c r="BY21" i="3"/>
  <c r="BW21" i="3"/>
  <c r="BV21" i="3"/>
  <c r="BU21" i="3"/>
  <c r="BT21" i="3"/>
  <c r="BS21" i="3"/>
  <c r="BR21" i="3"/>
  <c r="BP21" i="3"/>
  <c r="BO21" i="3"/>
  <c r="BN21" i="3"/>
  <c r="BM21" i="3"/>
  <c r="BL21" i="3"/>
  <c r="BK21" i="3"/>
  <c r="AF21" i="3"/>
  <c r="AE21" i="3"/>
  <c r="AD21" i="3"/>
  <c r="AC21" i="3"/>
  <c r="AB21" i="3"/>
  <c r="AA21" i="3"/>
  <c r="H78" i="3" s="1" a="1"/>
  <c r="H78" i="3" s="1"/>
  <c r="CD20" i="3"/>
  <c r="CC20" i="3"/>
  <c r="CB20" i="3"/>
  <c r="CA20" i="3"/>
  <c r="BZ20" i="3"/>
  <c r="BY20" i="3"/>
  <c r="BW20" i="3"/>
  <c r="BV20" i="3"/>
  <c r="BU20" i="3"/>
  <c r="BT20" i="3"/>
  <c r="BS20" i="3"/>
  <c r="BR20" i="3"/>
  <c r="BP20" i="3"/>
  <c r="BO20" i="3"/>
  <c r="BN20" i="3"/>
  <c r="BM20" i="3"/>
  <c r="BL20" i="3"/>
  <c r="BK20" i="3"/>
  <c r="AF20" i="3"/>
  <c r="AE20" i="3"/>
  <c r="AD20" i="3"/>
  <c r="AC20" i="3"/>
  <c r="AB20" i="3"/>
  <c r="AA20" i="3"/>
  <c r="M77" i="3" s="1" a="1"/>
  <c r="M77" i="3" s="1"/>
  <c r="CD19" i="3"/>
  <c r="CC19" i="3"/>
  <c r="CB19" i="3"/>
  <c r="CA19" i="3"/>
  <c r="BZ19" i="3"/>
  <c r="BY19" i="3"/>
  <c r="BW19" i="3"/>
  <c r="BV19" i="3"/>
  <c r="BU19" i="3"/>
  <c r="BT19" i="3"/>
  <c r="BS19" i="3"/>
  <c r="BR19" i="3"/>
  <c r="BP19" i="3"/>
  <c r="BO19" i="3"/>
  <c r="BN19" i="3"/>
  <c r="BM19" i="3"/>
  <c r="BL19" i="3"/>
  <c r="BK19" i="3"/>
  <c r="AF19" i="3"/>
  <c r="AE19" i="3"/>
  <c r="AD19" i="3"/>
  <c r="AC19" i="3"/>
  <c r="AB19" i="3"/>
  <c r="AA19" i="3"/>
  <c r="M76" i="3" s="1" a="1"/>
  <c r="M76" i="3" s="1"/>
  <c r="CD18" i="3"/>
  <c r="CC18" i="3"/>
  <c r="CB18" i="3"/>
  <c r="CA18" i="3"/>
  <c r="BZ18" i="3"/>
  <c r="BY18" i="3"/>
  <c r="BW18" i="3"/>
  <c r="BV18" i="3"/>
  <c r="BU18" i="3"/>
  <c r="BT18" i="3"/>
  <c r="BS18" i="3"/>
  <c r="BR18" i="3"/>
  <c r="BP18" i="3"/>
  <c r="BO18" i="3"/>
  <c r="BN18" i="3"/>
  <c r="BM18" i="3"/>
  <c r="BL18" i="3"/>
  <c r="BK18" i="3"/>
  <c r="AF18" i="3"/>
  <c r="AE18" i="3"/>
  <c r="AD18" i="3"/>
  <c r="AC18" i="3"/>
  <c r="AB18" i="3"/>
  <c r="AA18" i="3"/>
  <c r="M75" i="3" s="1" a="1"/>
  <c r="M75" i="3" s="1"/>
  <c r="CD17" i="3"/>
  <c r="CC17" i="3"/>
  <c r="CB17" i="3"/>
  <c r="CA17" i="3"/>
  <c r="BZ17" i="3"/>
  <c r="BY17" i="3"/>
  <c r="BW17" i="3"/>
  <c r="BV17" i="3"/>
  <c r="BU17" i="3"/>
  <c r="BT17" i="3"/>
  <c r="BS17" i="3"/>
  <c r="BR17" i="3"/>
  <c r="BP17" i="3"/>
  <c r="BO17" i="3"/>
  <c r="BN17" i="3"/>
  <c r="BM17" i="3"/>
  <c r="BL17" i="3"/>
  <c r="BK17" i="3"/>
  <c r="AF17" i="3"/>
  <c r="AE17" i="3"/>
  <c r="AD17" i="3"/>
  <c r="AC17" i="3"/>
  <c r="AB17" i="3"/>
  <c r="AA17" i="3"/>
  <c r="M74" i="3" s="1" a="1"/>
  <c r="M74" i="3" s="1"/>
  <c r="CD16" i="3"/>
  <c r="CC16" i="3"/>
  <c r="CB16" i="3"/>
  <c r="CA16" i="3"/>
  <c r="BZ16" i="3"/>
  <c r="BY16" i="3"/>
  <c r="BW16" i="3"/>
  <c r="BV16" i="3"/>
  <c r="BU16" i="3"/>
  <c r="BT16" i="3"/>
  <c r="BS16" i="3"/>
  <c r="BR16" i="3"/>
  <c r="BP16" i="3"/>
  <c r="BO16" i="3"/>
  <c r="BN16" i="3"/>
  <c r="BM16" i="3"/>
  <c r="BL16" i="3"/>
  <c r="BK16" i="3"/>
  <c r="AF16" i="3"/>
  <c r="AE16" i="3"/>
  <c r="AD16" i="3"/>
  <c r="AC16" i="3"/>
  <c r="AB16" i="3"/>
  <c r="AA16" i="3"/>
  <c r="H73" i="3" s="1" a="1"/>
  <c r="H73" i="3" s="1"/>
  <c r="CD15" i="3"/>
  <c r="CC15" i="3"/>
  <c r="CB15" i="3"/>
  <c r="CA15" i="3"/>
  <c r="BZ15" i="3"/>
  <c r="BY15" i="3"/>
  <c r="BW15" i="3"/>
  <c r="BV15" i="3"/>
  <c r="BU15" i="3"/>
  <c r="BT15" i="3"/>
  <c r="BS15" i="3"/>
  <c r="BR15" i="3"/>
  <c r="BP15" i="3"/>
  <c r="BO15" i="3"/>
  <c r="BN15" i="3"/>
  <c r="BM15" i="3"/>
  <c r="BL15" i="3"/>
  <c r="BK15" i="3"/>
  <c r="AF15" i="3"/>
  <c r="AE15" i="3"/>
  <c r="AD15" i="3"/>
  <c r="AC15" i="3"/>
  <c r="AB15" i="3"/>
  <c r="AA15" i="3"/>
  <c r="M72" i="3" s="1" a="1"/>
  <c r="M72" i="3" s="1"/>
  <c r="CD14" i="3"/>
  <c r="CC14" i="3"/>
  <c r="CB14" i="3"/>
  <c r="CA14" i="3"/>
  <c r="BZ14" i="3"/>
  <c r="BY14" i="3"/>
  <c r="BW14" i="3"/>
  <c r="BV14" i="3"/>
  <c r="BU14" i="3"/>
  <c r="BT14" i="3"/>
  <c r="BS14" i="3"/>
  <c r="BR14" i="3"/>
  <c r="BP14" i="3"/>
  <c r="BO14" i="3"/>
  <c r="BN14" i="3"/>
  <c r="BM14" i="3"/>
  <c r="BL14" i="3"/>
  <c r="BK14" i="3"/>
  <c r="AF14" i="3"/>
  <c r="AE14" i="3"/>
  <c r="AD14" i="3"/>
  <c r="AC14" i="3"/>
  <c r="AB14" i="3"/>
  <c r="AA14" i="3"/>
  <c r="M71" i="3" s="1" a="1"/>
  <c r="M71" i="3" s="1"/>
  <c r="CD13" i="3"/>
  <c r="CC13" i="3"/>
  <c r="CB13" i="3"/>
  <c r="CA13" i="3"/>
  <c r="BZ13" i="3"/>
  <c r="BY13" i="3"/>
  <c r="BW13" i="3"/>
  <c r="BV13" i="3"/>
  <c r="BU13" i="3"/>
  <c r="BT13" i="3"/>
  <c r="BS13" i="3"/>
  <c r="BR13" i="3"/>
  <c r="BP13" i="3"/>
  <c r="BO13" i="3"/>
  <c r="BN13" i="3"/>
  <c r="BM13" i="3"/>
  <c r="BL13" i="3"/>
  <c r="BK13" i="3"/>
  <c r="AF13" i="3"/>
  <c r="AE13" i="3"/>
  <c r="AD13" i="3"/>
  <c r="AC13" i="3"/>
  <c r="AB13" i="3"/>
  <c r="AA13" i="3"/>
  <c r="H70" i="3" s="1" a="1"/>
  <c r="H70" i="3" s="1"/>
  <c r="CD12" i="3"/>
  <c r="CC12" i="3"/>
  <c r="CB12" i="3"/>
  <c r="CA12" i="3"/>
  <c r="BZ12" i="3"/>
  <c r="BY12" i="3"/>
  <c r="BW12" i="3"/>
  <c r="BV12" i="3"/>
  <c r="BU12" i="3"/>
  <c r="BT12" i="3"/>
  <c r="BS12" i="3"/>
  <c r="BR12" i="3"/>
  <c r="BP12" i="3"/>
  <c r="BO12" i="3"/>
  <c r="BN12" i="3"/>
  <c r="BM12" i="3"/>
  <c r="BL12" i="3"/>
  <c r="BK12" i="3"/>
  <c r="AF12" i="3"/>
  <c r="AE12" i="3"/>
  <c r="AD12" i="3"/>
  <c r="AC12" i="3"/>
  <c r="AB12" i="3"/>
  <c r="AA12" i="3"/>
  <c r="M69" i="3" s="1" a="1"/>
  <c r="M69" i="3" s="1"/>
  <c r="CD11" i="3"/>
  <c r="CC11" i="3"/>
  <c r="CB11" i="3"/>
  <c r="CA11" i="3"/>
  <c r="BZ11" i="3"/>
  <c r="BY11" i="3"/>
  <c r="BW11" i="3"/>
  <c r="BV11" i="3"/>
  <c r="BU11" i="3"/>
  <c r="BT11" i="3"/>
  <c r="BS11" i="3"/>
  <c r="BR11" i="3"/>
  <c r="BP11" i="3"/>
  <c r="BO11" i="3"/>
  <c r="BN11" i="3"/>
  <c r="BM11" i="3"/>
  <c r="BL11" i="3"/>
  <c r="BK11" i="3"/>
  <c r="AF11" i="3"/>
  <c r="AE11" i="3"/>
  <c r="AD11" i="3"/>
  <c r="AC11" i="3"/>
  <c r="AB11" i="3"/>
  <c r="AA11" i="3"/>
  <c r="M68" i="3" s="1" a="1"/>
  <c r="M68" i="3" s="1"/>
  <c r="CD10" i="3"/>
  <c r="CC10" i="3"/>
  <c r="CB10" i="3"/>
  <c r="CA10" i="3"/>
  <c r="BZ10" i="3"/>
  <c r="BY10" i="3"/>
  <c r="BW10" i="3"/>
  <c r="BV10" i="3"/>
  <c r="BU10" i="3"/>
  <c r="BT10" i="3"/>
  <c r="BS10" i="3"/>
  <c r="BR10" i="3"/>
  <c r="BP10" i="3"/>
  <c r="BO10" i="3"/>
  <c r="BN10" i="3"/>
  <c r="BM10" i="3"/>
  <c r="BL10" i="3"/>
  <c r="BK10" i="3"/>
  <c r="AF10" i="3"/>
  <c r="AE10" i="3"/>
  <c r="AD10" i="3"/>
  <c r="AC10" i="3"/>
  <c r="AB10" i="3"/>
  <c r="AA10" i="3"/>
  <c r="M67" i="3" s="1" a="1"/>
  <c r="M67" i="3" s="1"/>
  <c r="CD9" i="3"/>
  <c r="CC9" i="3"/>
  <c r="CB9" i="3"/>
  <c r="CA9" i="3"/>
  <c r="BZ9" i="3"/>
  <c r="BY9" i="3"/>
  <c r="BW9" i="3"/>
  <c r="BV9" i="3"/>
  <c r="BU9" i="3"/>
  <c r="BT9" i="3"/>
  <c r="BS9" i="3"/>
  <c r="BR9" i="3"/>
  <c r="BP9" i="3"/>
  <c r="BO9" i="3"/>
  <c r="BN9" i="3"/>
  <c r="BM9" i="3"/>
  <c r="BL9" i="3"/>
  <c r="BK9" i="3"/>
  <c r="AF9" i="3"/>
  <c r="AE9" i="3"/>
  <c r="AD9" i="3"/>
  <c r="AC9" i="3"/>
  <c r="AB9" i="3"/>
  <c r="AA9" i="3"/>
  <c r="M66" i="3" s="1" a="1"/>
  <c r="M66" i="3" s="1"/>
  <c r="CD8" i="3"/>
  <c r="CC8" i="3"/>
  <c r="CB8" i="3"/>
  <c r="CA8" i="3"/>
  <c r="BZ8" i="3"/>
  <c r="BY8" i="3"/>
  <c r="BW8" i="3"/>
  <c r="BV8" i="3"/>
  <c r="BU8" i="3"/>
  <c r="BT8" i="3"/>
  <c r="BS8" i="3"/>
  <c r="BR8" i="3"/>
  <c r="BP8" i="3"/>
  <c r="BO8" i="3"/>
  <c r="BN8" i="3"/>
  <c r="BM8" i="3"/>
  <c r="BL8" i="3"/>
  <c r="BK8" i="3"/>
  <c r="AF8" i="3"/>
  <c r="AE8" i="3"/>
  <c r="AD8" i="3"/>
  <c r="AC8" i="3"/>
  <c r="AB8" i="3"/>
  <c r="AA8" i="3"/>
  <c r="M65" i="3" s="1" a="1"/>
  <c r="M65" i="3" s="1"/>
  <c r="CD7" i="3"/>
  <c r="CC7" i="3"/>
  <c r="CB7" i="3"/>
  <c r="CA7" i="3"/>
  <c r="BZ7" i="3"/>
  <c r="BY7" i="3"/>
  <c r="BW7" i="3"/>
  <c r="BV7" i="3"/>
  <c r="BU7" i="3"/>
  <c r="BT7" i="3"/>
  <c r="BS7" i="3"/>
  <c r="BR7" i="3"/>
  <c r="BP7" i="3"/>
  <c r="BO7" i="3"/>
  <c r="BN7" i="3"/>
  <c r="BM7" i="3"/>
  <c r="BL7" i="3"/>
  <c r="BK7" i="3"/>
  <c r="AF7" i="3"/>
  <c r="AE7" i="3"/>
  <c r="AD7" i="3"/>
  <c r="AC7" i="3"/>
  <c r="AB7" i="3"/>
  <c r="AA7" i="3"/>
  <c r="M64" i="3" s="1" a="1"/>
  <c r="M64" i="3" s="1"/>
  <c r="CD6" i="3"/>
  <c r="CC6" i="3"/>
  <c r="CB6" i="3"/>
  <c r="CA6" i="3"/>
  <c r="BZ6" i="3"/>
  <c r="BY6" i="3"/>
  <c r="B55" i="3" s="1" a="1"/>
  <c r="B55" i="3" s="1"/>
  <c r="BW6" i="3"/>
  <c r="BV6" i="3"/>
  <c r="BU6" i="3"/>
  <c r="BT6" i="3"/>
  <c r="BS6" i="3"/>
  <c r="BR6" i="3"/>
  <c r="BP6" i="3"/>
  <c r="BO6" i="3"/>
  <c r="BN6" i="3"/>
  <c r="BM6" i="3"/>
  <c r="BL6" i="3"/>
  <c r="BK6" i="3"/>
  <c r="AF6" i="3"/>
  <c r="AE6" i="3"/>
  <c r="AD6" i="3"/>
  <c r="AC6" i="3"/>
  <c r="AB6" i="3"/>
  <c r="AA6" i="3"/>
  <c r="M63" i="3" s="1" a="1"/>
  <c r="M63" i="3" s="1"/>
  <c r="R68" i="3" a="1"/>
  <c r="AD65" i="3" a="1"/>
  <c r="AE64" i="3" a="1"/>
  <c r="AB65" i="3" a="1"/>
  <c r="AF64" i="3" a="1"/>
  <c r="AB64" i="3" a="1"/>
  <c r="AC64" i="3" a="1"/>
  <c r="AD63" i="3" a="1"/>
  <c r="AB63" i="3" a="1"/>
  <c r="AA63" i="3" a="1"/>
  <c r="R63" i="3" a="1"/>
  <c r="W64" i="3"/>
  <c r="R67" i="3" a="1"/>
  <c r="AF63" i="3" a="1"/>
  <c r="AE63" i="3" a="1"/>
  <c r="R65" i="3" a="1"/>
  <c r="W66" i="3"/>
  <c r="W65" i="3"/>
  <c r="R66" i="3" a="1"/>
  <c r="AA64" i="3" a="1"/>
  <c r="AC63" i="3" a="1"/>
  <c r="W63" i="3"/>
  <c r="AC65" i="3" a="1"/>
  <c r="AF65" i="3" a="1"/>
  <c r="R64" i="3" a="1"/>
  <c r="AE65" i="3" a="1"/>
  <c r="AD64" i="3" a="1"/>
  <c r="AA65" i="3" a="1"/>
  <c r="R64" i="3" l="1"/>
  <c r="R66" i="3"/>
  <c r="R67" i="3"/>
  <c r="AB63" i="3"/>
  <c r="AF63" i="3"/>
  <c r="AD64" i="3"/>
  <c r="AB65" i="3"/>
  <c r="AF65" i="3"/>
  <c r="AC63" i="3"/>
  <c r="AA64" i="3"/>
  <c r="AE64" i="3"/>
  <c r="AC65" i="3"/>
  <c r="R63" i="3"/>
  <c r="R65" i="3"/>
  <c r="AD63" i="3"/>
  <c r="AB64" i="3"/>
  <c r="AF64" i="3"/>
  <c r="AD65" i="3"/>
  <c r="AA63" i="3"/>
  <c r="AE63" i="3"/>
  <c r="AC64" i="3"/>
  <c r="AA65" i="3"/>
  <c r="AE65" i="3"/>
  <c r="R68" i="3"/>
  <c r="H63" i="3" a="1"/>
  <c r="H63" i="3" s="1"/>
  <c r="H65" i="3" a="1"/>
  <c r="H65" i="3" s="1"/>
  <c r="M73" i="3" a="1"/>
  <c r="M73" i="3" s="1"/>
  <c r="H75" i="3" a="1"/>
  <c r="H75" i="3" s="1"/>
  <c r="M81" i="3" a="1"/>
  <c r="M81" i="3" s="1"/>
  <c r="H83" i="3" a="1"/>
  <c r="H83" i="3" s="1"/>
  <c r="M70" i="3" a="1"/>
  <c r="M70" i="3" s="1"/>
  <c r="H72" i="3" a="1"/>
  <c r="H72" i="3" s="1"/>
  <c r="M78" i="3" a="1"/>
  <c r="M78" i="3" s="1"/>
  <c r="H80" i="3" a="1"/>
  <c r="H80" i="3" s="1"/>
  <c r="M86" i="3" a="1"/>
  <c r="M86" i="3" s="1"/>
  <c r="H69" i="3" a="1"/>
  <c r="H69" i="3" s="1"/>
  <c r="H77" i="3" a="1"/>
  <c r="H77" i="3" s="1"/>
  <c r="H85" i="3" a="1"/>
  <c r="H85" i="3" s="1"/>
  <c r="H68" i="3" a="1"/>
  <c r="H68" i="3" s="1"/>
  <c r="H74" i="3" a="1"/>
  <c r="H74" i="3" s="1"/>
  <c r="H82" i="3" a="1"/>
  <c r="H82" i="3" s="1"/>
  <c r="H64" i="3" a="1"/>
  <c r="H64" i="3" s="1"/>
  <c r="H66" i="3" a="1"/>
  <c r="H66" i="3" s="1"/>
  <c r="H67" i="3" a="1"/>
  <c r="H67" i="3" s="1"/>
  <c r="H71" i="3" a="1"/>
  <c r="H71" i="3" s="1"/>
  <c r="H79" i="3" a="1"/>
  <c r="H79" i="3" s="1"/>
  <c r="H87" i="3" a="1"/>
  <c r="H87" i="3" s="1"/>
  <c r="H76" i="3" a="1"/>
  <c r="H76" i="3" s="1"/>
  <c r="H84" i="3" a="1"/>
  <c r="H84" i="3" s="1"/>
  <c r="BR7" i="1" l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S6" i="1"/>
  <c r="BT6" i="1"/>
  <c r="BU6" i="1"/>
  <c r="BV6" i="1"/>
  <c r="BR6" i="1"/>
  <c r="BY7" i="1"/>
  <c r="BZ7" i="1"/>
  <c r="CA7" i="1"/>
  <c r="CB7" i="1"/>
  <c r="CC7" i="1"/>
  <c r="BY8" i="1"/>
  <c r="BZ8" i="1"/>
  <c r="CA8" i="1"/>
  <c r="CB8" i="1"/>
  <c r="CC8" i="1"/>
  <c r="BY9" i="1"/>
  <c r="BZ9" i="1"/>
  <c r="CA9" i="1"/>
  <c r="CB9" i="1"/>
  <c r="CC9" i="1"/>
  <c r="BY10" i="1"/>
  <c r="BZ10" i="1"/>
  <c r="CA10" i="1"/>
  <c r="CB10" i="1"/>
  <c r="CC10" i="1"/>
  <c r="BY11" i="1"/>
  <c r="BZ11" i="1"/>
  <c r="CA11" i="1"/>
  <c r="CB11" i="1"/>
  <c r="CC11" i="1"/>
  <c r="BY12" i="1"/>
  <c r="BZ12" i="1"/>
  <c r="CA12" i="1"/>
  <c r="CB12" i="1"/>
  <c r="CC12" i="1"/>
  <c r="BY13" i="1"/>
  <c r="BZ13" i="1"/>
  <c r="CA13" i="1"/>
  <c r="CB13" i="1"/>
  <c r="CC13" i="1"/>
  <c r="BY14" i="1"/>
  <c r="BZ14" i="1"/>
  <c r="CA14" i="1"/>
  <c r="CB14" i="1"/>
  <c r="CC14" i="1"/>
  <c r="BY15" i="1"/>
  <c r="BZ15" i="1"/>
  <c r="CA15" i="1"/>
  <c r="CB15" i="1"/>
  <c r="CC15" i="1"/>
  <c r="BY16" i="1"/>
  <c r="BZ16" i="1"/>
  <c r="CA16" i="1"/>
  <c r="CB16" i="1"/>
  <c r="CC16" i="1"/>
  <c r="BY17" i="1"/>
  <c r="BZ17" i="1"/>
  <c r="CA17" i="1"/>
  <c r="CB17" i="1"/>
  <c r="CC17" i="1"/>
  <c r="BY18" i="1"/>
  <c r="BZ18" i="1"/>
  <c r="CA18" i="1"/>
  <c r="CB18" i="1"/>
  <c r="CC18" i="1"/>
  <c r="BY19" i="1"/>
  <c r="BZ19" i="1"/>
  <c r="CA19" i="1"/>
  <c r="CB19" i="1"/>
  <c r="CC19" i="1"/>
  <c r="BY20" i="1"/>
  <c r="BZ20" i="1"/>
  <c r="CA20" i="1"/>
  <c r="CB20" i="1"/>
  <c r="CC20" i="1"/>
  <c r="BY21" i="1"/>
  <c r="BZ21" i="1"/>
  <c r="CA21" i="1"/>
  <c r="CB21" i="1"/>
  <c r="CC21" i="1"/>
  <c r="BY22" i="1"/>
  <c r="BZ22" i="1"/>
  <c r="CA22" i="1"/>
  <c r="CB22" i="1"/>
  <c r="CC22" i="1"/>
  <c r="BY23" i="1"/>
  <c r="BZ23" i="1"/>
  <c r="CA23" i="1"/>
  <c r="CB23" i="1"/>
  <c r="CC23" i="1"/>
  <c r="BY24" i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Z6" i="1"/>
  <c r="CA6" i="1"/>
  <c r="CB6" i="1"/>
  <c r="CC6" i="1"/>
  <c r="BY6" i="1"/>
  <c r="BK6" i="1"/>
  <c r="C63" i="1"/>
  <c r="BR35" i="1"/>
  <c r="BK35" i="1"/>
  <c r="BK7" i="1"/>
  <c r="BL7" i="1"/>
  <c r="BM7" i="1"/>
  <c r="BN7" i="1"/>
  <c r="BO7" i="1"/>
  <c r="BK8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O6" i="1"/>
  <c r="C87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D35" i="1"/>
  <c r="AW35" i="1"/>
  <c r="BM50" i="1" a="1"/>
  <c r="AD63" i="1" a="1"/>
  <c r="BN55" i="1" a="1"/>
  <c r="BL53" i="1" a="1"/>
  <c r="BN43" i="1" a="1"/>
  <c r="BM59" i="1" a="1"/>
  <c r="BO50" i="1" a="1"/>
  <c r="BK43" i="1" a="1"/>
  <c r="BL61" i="1" a="1"/>
  <c r="BO51" i="1" a="1"/>
  <c r="BM52" i="1" a="1"/>
  <c r="BN60" i="1" a="1"/>
  <c r="BL46" i="1" a="1"/>
  <c r="BM60" i="1" a="1"/>
  <c r="BM56" i="1" a="1"/>
  <c r="BN42" i="1" a="1"/>
  <c r="BK44" i="1" a="1"/>
  <c r="BL63" i="1" a="1"/>
  <c r="BN53" i="1" a="1"/>
  <c r="BL41" i="1" a="1"/>
  <c r="BO43" i="1" a="1"/>
  <c r="BM44" i="1" a="1"/>
  <c r="BK39" i="1" a="1"/>
  <c r="W63" i="1"/>
  <c r="BM48" i="1" a="1"/>
  <c r="BL50" i="1" a="1"/>
  <c r="BO60" i="1" a="1"/>
  <c r="BL52" i="1" a="1"/>
  <c r="BK40" i="1" a="1"/>
  <c r="BL58" i="1" a="1"/>
  <c r="AF63" i="1" a="1"/>
  <c r="BN61" i="1" a="1"/>
  <c r="BK48" i="1" a="1"/>
  <c r="W66" i="1"/>
  <c r="BL49" i="1" a="1"/>
  <c r="BK57" i="1" a="1"/>
  <c r="BL48" i="1" a="1"/>
  <c r="R66" i="1" a="1"/>
  <c r="AF64" i="1" a="1"/>
  <c r="BK50" i="1" a="1"/>
  <c r="AE63" i="1" a="1"/>
  <c r="BN41" i="1" a="1"/>
  <c r="BO49" i="1" a="1"/>
  <c r="BM43" i="1" a="1"/>
  <c r="BN40" i="1" a="1"/>
  <c r="BN50" i="1" a="1"/>
  <c r="BL44" i="1" a="1"/>
  <c r="AF65" i="1" a="1"/>
  <c r="BO57" i="1" a="1"/>
  <c r="BK46" i="1" a="1"/>
  <c r="BM62" i="1" a="1"/>
  <c r="AC64" i="1" a="1"/>
  <c r="BO40" i="1" a="1"/>
  <c r="R63" i="1" a="1"/>
  <c r="BO55" i="1" a="1"/>
  <c r="BM45" i="1" a="1"/>
  <c r="BN49" i="1" a="1"/>
  <c r="BO45" i="1" a="1"/>
  <c r="BK49" i="1" a="1"/>
  <c r="AC63" i="1" a="1"/>
  <c r="BL39" i="1" a="1"/>
  <c r="BM46" i="1" a="1"/>
  <c r="BO47" i="1" a="1"/>
  <c r="BO61" i="1" a="1"/>
  <c r="BK58" i="1" a="1"/>
  <c r="BL59" i="1" a="1"/>
  <c r="BN45" i="1" a="1"/>
  <c r="BK59" i="1" a="1"/>
  <c r="BK54" i="1" a="1"/>
  <c r="BM58" i="1" a="1"/>
  <c r="BN59" i="1" a="1"/>
  <c r="BN57" i="1" a="1"/>
  <c r="BL56" i="1" a="1"/>
  <c r="BN47" i="1" a="1"/>
  <c r="BN54" i="1" a="1"/>
  <c r="BM54" i="1" a="1"/>
  <c r="R67" i="1" a="1"/>
  <c r="BM49" i="1" a="1"/>
  <c r="AB65" i="1" a="1"/>
  <c r="BM51" i="1" a="1"/>
  <c r="BL45" i="1" a="1"/>
  <c r="BO53" i="1" a="1"/>
  <c r="BL43" i="1" a="1"/>
  <c r="BL54" i="1" a="1"/>
  <c r="BL55" i="1" a="1"/>
  <c r="BN51" i="1" a="1"/>
  <c r="BN46" i="1" a="1"/>
  <c r="BK47" i="1" a="1"/>
  <c r="BO56" i="1" a="1"/>
  <c r="BO52" i="1" a="1"/>
  <c r="BO41" i="1" a="1"/>
  <c r="BM41" i="1" a="1"/>
  <c r="BN62" i="1" a="1"/>
  <c r="BL62" i="1" a="1"/>
  <c r="R64" i="1" a="1"/>
  <c r="AD65" i="1" a="1"/>
  <c r="BK42" i="1" a="1"/>
  <c r="BL60" i="1" a="1"/>
  <c r="BK60" i="1" a="1"/>
  <c r="BN63" i="1" a="1"/>
  <c r="R65" i="1" a="1"/>
  <c r="BM47" i="1" a="1"/>
  <c r="BK51" i="1" a="1"/>
  <c r="BM39" i="1" a="1"/>
  <c r="BO46" i="1" a="1"/>
  <c r="BO62" i="1" a="1"/>
  <c r="BN48" i="1" a="1"/>
  <c r="BN58" i="1" a="1"/>
  <c r="AB64" i="1" a="1"/>
  <c r="BN56" i="1" a="1"/>
  <c r="AC65" i="1" a="1"/>
  <c r="BK62" i="1" a="1"/>
  <c r="BN44" i="1" a="1"/>
  <c r="BK52" i="1" a="1"/>
  <c r="BO59" i="1" a="1"/>
  <c r="BK45" i="1" a="1"/>
  <c r="W64" i="1"/>
  <c r="AE65" i="1" a="1"/>
  <c r="BO48" i="1" a="1"/>
  <c r="BM57" i="1" a="1"/>
  <c r="BK63" i="1" a="1"/>
  <c r="BN39" i="1" a="1"/>
  <c r="BL40" i="1" a="1"/>
  <c r="BM55" i="1" a="1"/>
  <c r="W65" i="1"/>
  <c r="BO58" i="1" a="1"/>
  <c r="BL42" i="1" a="1"/>
  <c r="BK55" i="1" a="1"/>
  <c r="BO54" i="1" a="1"/>
  <c r="BO44" i="1" a="1"/>
  <c r="BN52" i="1" a="1"/>
  <c r="BL47" i="1" a="1"/>
  <c r="AE64" i="1" a="1"/>
  <c r="BL51" i="1" a="1"/>
  <c r="BK41" i="1" a="1"/>
  <c r="BO63" i="1" a="1"/>
  <c r="BK53" i="1" a="1"/>
  <c r="BM42" i="1" a="1"/>
  <c r="BK61" i="1" a="1"/>
  <c r="BO42" i="1" a="1"/>
  <c r="BK56" i="1" a="1"/>
  <c r="BM61" i="1" a="1"/>
  <c r="BM53" i="1" a="1"/>
  <c r="BL57" i="1" a="1"/>
  <c r="BM63" i="1" a="1"/>
  <c r="BM40" i="1" a="1"/>
  <c r="AD64" i="1" a="1"/>
  <c r="AB63" i="1" a="1"/>
  <c r="BO39" i="1" a="1"/>
  <c r="BL63" i="1" l="1"/>
  <c r="BL62" i="1"/>
  <c r="BN60" i="1"/>
  <c r="BK59" i="1"/>
  <c r="BN56" i="1"/>
  <c r="BK55" i="1"/>
  <c r="BM53" i="1"/>
  <c r="BK51" i="1"/>
  <c r="BM49" i="1"/>
  <c r="BK47" i="1"/>
  <c r="BM45" i="1"/>
  <c r="BO43" i="1"/>
  <c r="BL42" i="1"/>
  <c r="BN40" i="1"/>
  <c r="BO60" i="1"/>
  <c r="BO63" i="1"/>
  <c r="BK63" i="1"/>
  <c r="BM61" i="1"/>
  <c r="BO59" i="1"/>
  <c r="BL58" i="1"/>
  <c r="BM57" i="1"/>
  <c r="BO55" i="1"/>
  <c r="BL54" i="1"/>
  <c r="BN52" i="1"/>
  <c r="BO51" i="1"/>
  <c r="BL50" i="1"/>
  <c r="BN48" i="1"/>
  <c r="BO47" i="1"/>
  <c r="BL46" i="1"/>
  <c r="BN44" i="1"/>
  <c r="BK43" i="1"/>
  <c r="BM41" i="1"/>
  <c r="BK60" i="1"/>
  <c r="BN63" i="1"/>
  <c r="BK62" i="1"/>
  <c r="BM60" i="1"/>
  <c r="BO58" i="1"/>
  <c r="BL57" i="1"/>
  <c r="BN55" i="1"/>
  <c r="BK54" i="1"/>
  <c r="BM52" i="1"/>
  <c r="BO50" i="1"/>
  <c r="BL49" i="1"/>
  <c r="BN47" i="1"/>
  <c r="BK46" i="1"/>
  <c r="BM44" i="1"/>
  <c r="BN43" i="1"/>
  <c r="BO42" i="1"/>
  <c r="BK42" i="1"/>
  <c r="BM40" i="1"/>
  <c r="BM62" i="1"/>
  <c r="BO62" i="1"/>
  <c r="BL61" i="1"/>
  <c r="BN59" i="1"/>
  <c r="BK58" i="1"/>
  <c r="BM56" i="1"/>
  <c r="BO54" i="1"/>
  <c r="BL53" i="1"/>
  <c r="BN51" i="1"/>
  <c r="BK50" i="1"/>
  <c r="BM48" i="1"/>
  <c r="BO46" i="1"/>
  <c r="BL45" i="1"/>
  <c r="BL41" i="1"/>
  <c r="BM63" i="1"/>
  <c r="BO61" i="1"/>
  <c r="BK61" i="1"/>
  <c r="BM59" i="1"/>
  <c r="BO57" i="1"/>
  <c r="BK57" i="1"/>
  <c r="BM55" i="1"/>
  <c r="BO53" i="1"/>
  <c r="BL52" i="1"/>
  <c r="BM51" i="1"/>
  <c r="BO49" i="1"/>
  <c r="BL48" i="1"/>
  <c r="BM47" i="1"/>
  <c r="BO45" i="1"/>
  <c r="BL44" i="1"/>
  <c r="BM43" i="1"/>
  <c r="BO41" i="1"/>
  <c r="BL40" i="1"/>
  <c r="BN61" i="1"/>
  <c r="BN62" i="1"/>
  <c r="BL60" i="1"/>
  <c r="BN58" i="1"/>
  <c r="BL56" i="1"/>
  <c r="BN54" i="1"/>
  <c r="BK53" i="1"/>
  <c r="BN50" i="1"/>
  <c r="BK49" i="1"/>
  <c r="BN46" i="1"/>
  <c r="BK45" i="1"/>
  <c r="BN42" i="1"/>
  <c r="BK41" i="1"/>
  <c r="BL59" i="1"/>
  <c r="BM58" i="1"/>
  <c r="BN57" i="1"/>
  <c r="BO56" i="1"/>
  <c r="BK56" i="1"/>
  <c r="BL55" i="1"/>
  <c r="BM54" i="1"/>
  <c r="BN53" i="1"/>
  <c r="BO52" i="1"/>
  <c r="BK52" i="1"/>
  <c r="BL51" i="1"/>
  <c r="BM50" i="1"/>
  <c r="BN49" i="1"/>
  <c r="BO48" i="1"/>
  <c r="BK48" i="1"/>
  <c r="BL47" i="1"/>
  <c r="BM46" i="1"/>
  <c r="BN45" i="1"/>
  <c r="BO44" i="1"/>
  <c r="BK44" i="1"/>
  <c r="BL43" i="1"/>
  <c r="BM42" i="1"/>
  <c r="BN41" i="1"/>
  <c r="BO40" i="1"/>
  <c r="BK40" i="1"/>
  <c r="BO39" i="1"/>
  <c r="BN39" i="1"/>
  <c r="BM39" i="1"/>
  <c r="BL39" i="1"/>
  <c r="BK39" i="1"/>
  <c r="B55" i="1" a="1"/>
  <c r="B55" i="1" s="1"/>
  <c r="M82" i="1" a="1"/>
  <c r="M82" i="1" s="1"/>
  <c r="H77" i="1" a="1"/>
  <c r="H77" i="1" s="1"/>
  <c r="H76" i="1" a="1"/>
  <c r="H76" i="1" s="1"/>
  <c r="H68" i="1" a="1"/>
  <c r="H68" i="1" s="1"/>
  <c r="M63" i="1" a="1"/>
  <c r="M63" i="1" s="1"/>
  <c r="H74" i="1" a="1"/>
  <c r="H74" i="1" s="1"/>
  <c r="M66" i="1" a="1"/>
  <c r="M66" i="1" s="1"/>
  <c r="H86" i="1" a="1"/>
  <c r="H86" i="1" s="1"/>
  <c r="H78" i="1" a="1"/>
  <c r="H78" i="1" s="1"/>
  <c r="M73" i="1" a="1"/>
  <c r="M73" i="1" s="1"/>
  <c r="M70" i="1" a="1"/>
  <c r="M70" i="1" s="1"/>
  <c r="H82" i="1" a="1"/>
  <c r="H82" i="1" s="1"/>
  <c r="H81" i="1" a="1"/>
  <c r="H81" i="1" s="1"/>
  <c r="H73" i="1" a="1"/>
  <c r="H73" i="1" s="1"/>
  <c r="H65" i="1" a="1"/>
  <c r="H65" i="1" s="1"/>
  <c r="M72" i="1" a="1"/>
  <c r="M72" i="1" s="1"/>
  <c r="H84" i="1" a="1"/>
  <c r="H84" i="1" s="1"/>
  <c r="M76" i="1" a="1"/>
  <c r="M76" i="1" s="1"/>
  <c r="H63" i="1" a="1"/>
  <c r="H63" i="1" s="1"/>
  <c r="H79" i="1" a="1"/>
  <c r="H79" i="1" s="1"/>
  <c r="H71" i="1" a="1"/>
  <c r="H71" i="1" s="1"/>
  <c r="M86" i="1" a="1"/>
  <c r="M86" i="1" s="1"/>
  <c r="M87" i="1" a="1"/>
  <c r="M87" i="1" s="1"/>
  <c r="M74" i="1" a="1"/>
  <c r="M74" i="1" s="1"/>
  <c r="H66" i="1" a="1"/>
  <c r="H66" i="1" s="1"/>
  <c r="H85" i="1" a="1"/>
  <c r="H85" i="1" s="1"/>
  <c r="M77" i="1" a="1"/>
  <c r="M77" i="1" s="1"/>
  <c r="M69" i="1" a="1"/>
  <c r="M69" i="1" s="1"/>
  <c r="H80" i="1" a="1"/>
  <c r="H80" i="1" s="1"/>
  <c r="M75" i="1" a="1"/>
  <c r="M75" i="1" s="1"/>
  <c r="H72" i="1" a="1"/>
  <c r="H72" i="1" s="1"/>
  <c r="H70" i="1" a="1"/>
  <c r="H70" i="1" s="1"/>
  <c r="M67" i="1" a="1"/>
  <c r="M67" i="1" s="1"/>
  <c r="H64" i="1" a="1"/>
  <c r="H64" i="1" s="1"/>
  <c r="M83" i="1" a="1"/>
  <c r="M83" i="1" s="1"/>
  <c r="H67" i="1" a="1"/>
  <c r="H67" i="1" s="1"/>
  <c r="M68" i="1" a="1"/>
  <c r="M68" i="1" s="1"/>
  <c r="H83" i="1" a="1"/>
  <c r="H83" i="1" s="1"/>
  <c r="H69" i="1" a="1"/>
  <c r="H69" i="1" s="1"/>
  <c r="M81" i="1" a="1"/>
  <c r="M81" i="1" s="1"/>
  <c r="H75" i="1" a="1"/>
  <c r="H75" i="1" s="1"/>
  <c r="M80" i="1" a="1"/>
  <c r="M80" i="1" s="1"/>
  <c r="M85" i="1" a="1"/>
  <c r="M85" i="1" s="1"/>
  <c r="M79" i="1" a="1"/>
  <c r="M79" i="1" s="1"/>
  <c r="M65" i="1" a="1"/>
  <c r="M65" i="1" s="1"/>
  <c r="M84" i="1" a="1"/>
  <c r="M84" i="1" s="1"/>
  <c r="M71" i="1" a="1"/>
  <c r="M71" i="1" s="1"/>
  <c r="M64" i="1" a="1"/>
  <c r="M64" i="1" s="1"/>
  <c r="M78" i="1" a="1"/>
  <c r="M78" i="1" s="1"/>
  <c r="H87" i="1" a="1"/>
  <c r="H87" i="1" s="1"/>
  <c r="AE64" i="1"/>
  <c r="AC65" i="1"/>
  <c r="AD64" i="1"/>
  <c r="AF65" i="1"/>
  <c r="AB65" i="1"/>
  <c r="AC64" i="1"/>
  <c r="AD65" i="1"/>
  <c r="AE65" i="1"/>
  <c r="AF64" i="1"/>
  <c r="AB64" i="1"/>
  <c r="AF63" i="1"/>
  <c r="AE63" i="1"/>
  <c r="AD63" i="1"/>
  <c r="AC63" i="1"/>
  <c r="AB63" i="1"/>
  <c r="R65" i="1"/>
  <c r="R67" i="1"/>
  <c r="R66" i="1"/>
  <c r="R64" i="1"/>
  <c r="R63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BL64" i="1" l="1"/>
  <c r="BM64" i="1"/>
  <c r="BN64" i="1"/>
  <c r="BO64" i="1"/>
  <c r="BP39" i="1"/>
  <c r="BK64" i="1"/>
  <c r="BP58" i="1"/>
  <c r="BP40" i="1"/>
  <c r="BP43" i="1"/>
  <c r="BP48" i="1"/>
  <c r="BP55" i="1"/>
  <c r="BP60" i="1"/>
  <c r="BP41" i="1"/>
  <c r="BP53" i="1"/>
  <c r="BP47" i="1"/>
  <c r="BP54" i="1"/>
  <c r="BP59" i="1"/>
  <c r="BP56" i="1"/>
  <c r="BP57" i="1"/>
  <c r="BP46" i="1"/>
  <c r="BP50" i="1"/>
  <c r="BP44" i="1"/>
  <c r="BP45" i="1"/>
  <c r="BP51" i="1"/>
  <c r="BP61" i="1"/>
  <c r="BP63" i="1"/>
  <c r="BP52" i="1"/>
  <c r="BP49" i="1"/>
  <c r="BP62" i="1"/>
  <c r="BP42" i="1"/>
  <c r="BP6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<sst xmlns="http://schemas.openxmlformats.org/spreadsheetml/2006/main" count="2614" uniqueCount="1174">
  <si>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</si>
  <si>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</si>
  <si>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</si>
  <si>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</si>
  <si>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</si>
  <si>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</si>
  <si>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</si>
  <si>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</si>
  <si>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</si>
  <si>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</si>
  <si>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</si>
  <si>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</si>
  <si>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</si>
  <si>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</si>
  <si>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</si>
  <si>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</si>
  <si>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</si>
  <si>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</si>
  <si>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</si>
  <si>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</si>
  <si>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</si>
  <si>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</si>
  <si>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</si>
  <si>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</si>
  <si>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</si>
  <si>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</si>
  <si>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</si>
  <si>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</si>
  <si>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</si>
  <si>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</si>
  <si>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</si>
  <si>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</si>
  <si>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</si>
  <si>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</si>
  <si>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</si>
  <si>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</si>
  <si>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</si>
  <si>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</si>
  <si>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</si>
  <si>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</si>
  <si>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</si>
  <si>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</si>
  <si>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</si>
  <si>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</si>
  <si>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</si>
  <si>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</si>
  <si>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</si>
  <si>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</si>
  <si>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</si>
  <si>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</si>
  <si>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</si>
  <si>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</si>
  <si>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</si>
  <si>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</si>
  <si>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</si>
  <si>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</si>
  <si>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</si>
  <si>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</si>
  <si>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</si>
  <si>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</si>
  <si>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</si>
  <si>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</si>
  <si>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</si>
  <si>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</si>
  <si>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</si>
  <si>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</si>
  <si>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</si>
  <si>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</si>
  <si>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</si>
  <si>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</si>
  <si>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</si>
  <si>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</si>
  <si>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</si>
  <si>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</si>
  <si>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</si>
  <si>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</si>
  <si>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</si>
  <si>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</si>
  <si>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</si>
  <si>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</si>
  <si>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</si>
  <si>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</si>
  <si>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</si>
  <si>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</si>
  <si>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</si>
  <si>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</si>
  <si>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</si>
  <si>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</si>
  <si>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</si>
  <si>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</si>
  <si>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</si>
  <si>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</si>
  <si>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</si>
  <si>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</si>
  <si>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</si>
  <si>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</si>
  <si>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</si>
  <si>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</si>
  <si>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</si>
  <si>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</si>
  <si>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</si>
  <si>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</si>
  <si>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</si>
  <si>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</si>
  <si>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</si>
  <si>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</si>
  <si>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</si>
  <si>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</si>
  <si>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</si>
  <si>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</si>
  <si>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</si>
  <si>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</si>
  <si>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</si>
  <si>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</si>
  <si>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</si>
  <si>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</si>
  <si>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</si>
  <si>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</si>
  <si>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</si>
  <si>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</si>
  <si>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</si>
  <si>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</si>
  <si>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</si>
  <si>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</si>
  <si>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</si>
  <si>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</si>
  <si>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</si>
  <si>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</si>
  <si>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</si>
  <si>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</si>
  <si>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</si>
  <si>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</si>
  <si>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</si>
  <si>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</si>
  <si>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</si>
  <si>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</si>
  <si>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</si>
  <si>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</si>
  <si>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</si>
  <si>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</si>
  <si>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</si>
  <si>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</si>
  <si>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</si>
  <si>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</si>
  <si>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</si>
  <si>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</si>
  <si>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</si>
  <si>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</si>
  <si>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</si>
  <si>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</si>
  <si>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</si>
  <si>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</si>
  <si>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</si>
  <si>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</si>
  <si>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</si>
  <si>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</si>
  <si>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</si>
  <si>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</si>
  <si>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</si>
  <si>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</si>
  <si>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</si>
  <si>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</si>
  <si>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</si>
  <si>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</si>
  <si>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</si>
  <si>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</si>
  <si>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</si>
  <si>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</si>
  <si>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</si>
  <si>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</si>
  <si>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</si>
  <si>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</si>
  <si>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</si>
  <si>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</si>
  <si>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</si>
  <si>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</si>
  <si>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</si>
  <si>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</si>
  <si>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</si>
  <si>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</si>
  <si>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</si>
  <si>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</si>
  <si>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</si>
  <si>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</si>
  <si>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</si>
  <si>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</si>
  <si>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</si>
  <si>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</si>
  <si>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</si>
  <si>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</si>
  <si>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</si>
  <si>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</si>
  <si>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</si>
  <si>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</si>
  <si>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</si>
  <si>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</si>
  <si>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</si>
  <si>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</si>
  <si>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</si>
  <si>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</si>
  <si>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</si>
  <si>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</si>
  <si>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</si>
  <si>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</si>
  <si>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</si>
  <si>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</si>
  <si>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</si>
  <si>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</si>
  <si>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</si>
  <si>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</si>
  <si>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</si>
  <si>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</si>
  <si>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</si>
  <si>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</si>
  <si>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</si>
  <si>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</si>
  <si>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</si>
  <si>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</si>
  <si>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</si>
  <si>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</si>
  <si>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</si>
  <si>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</si>
  <si>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</si>
  <si>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</si>
  <si>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</si>
  <si>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</si>
  <si>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</si>
  <si>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</si>
  <si>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</si>
  <si>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</si>
  <si>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</si>
  <si>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</si>
  <si>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</si>
  <si>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</si>
  <si>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</si>
  <si>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</si>
  <si>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</si>
  <si>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</si>
  <si>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</si>
  <si>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</si>
  <si>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</si>
  <si>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</si>
  <si>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</si>
  <si>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</si>
  <si>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</si>
  <si>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</si>
  <si>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</si>
  <si>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</si>
  <si>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</si>
  <si>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</si>
  <si>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</si>
  <si>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</si>
  <si>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</si>
  <si>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</si>
  <si>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</si>
  <si>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</si>
  <si>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</si>
  <si>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</si>
  <si>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</si>
  <si>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</si>
  <si>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</si>
  <si>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</si>
  <si>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</si>
  <si>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</si>
  <si>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</si>
  <si>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</si>
  <si>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</si>
  <si>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</si>
  <si>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</si>
  <si>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</si>
  <si>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</si>
  <si>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</si>
  <si>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</si>
  <si>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</si>
  <si>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</si>
  <si>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</si>
  <si>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</si>
  <si>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</si>
  <si>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</si>
  <si>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</si>
  <si>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</si>
  <si>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</si>
  <si>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</si>
  <si>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</si>
  <si>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</si>
  <si>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</si>
  <si>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</si>
  <si>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</si>
  <si>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</si>
  <si>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</si>
  <si>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</si>
  <si>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</si>
  <si>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</si>
  <si>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</si>
  <si>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</si>
  <si>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</si>
  <si>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</si>
  <si>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</si>
  <si>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</si>
  <si>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</si>
  <si>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</si>
  <si>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</si>
  <si>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</si>
  <si>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</si>
  <si>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</si>
  <si>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</si>
  <si>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</si>
  <si>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</si>
  <si>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</si>
  <si>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</si>
  <si>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</si>
  <si>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</si>
  <si>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</si>
  <si>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</si>
  <si>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</si>
  <si>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</si>
  <si>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</si>
  <si>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</si>
  <si>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</si>
  <si>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</si>
  <si>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</si>
  <si>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</si>
  <si>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</si>
  <si>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</si>
  <si>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</si>
  <si>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</si>
  <si>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</si>
  <si>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</si>
  <si>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</si>
  <si>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</si>
  <si>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</si>
  <si>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</si>
  <si>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</si>
  <si>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</si>
  <si>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</si>
  <si>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</si>
  <si>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</si>
  <si>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</si>
  <si>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</si>
  <si>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</si>
  <si>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</si>
  <si>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</si>
  <si>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</si>
  <si>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</si>
  <si>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</si>
  <si>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</si>
  <si>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</si>
  <si>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</si>
  <si>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</si>
  <si>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</si>
  <si>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</si>
  <si>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</si>
  <si>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</si>
  <si>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</si>
  <si>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</si>
  <si>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</si>
  <si>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</si>
  <si>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</si>
  <si>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</si>
  <si>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</si>
  <si>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</si>
  <si>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</si>
  <si>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</si>
  <si>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</si>
  <si>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</si>
  <si>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</si>
  <si>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</si>
  <si>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</si>
  <si>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</si>
  <si>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</si>
  <si>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</si>
  <si>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</si>
  <si>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</si>
  <si>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</si>
  <si>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</si>
  <si>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</si>
  <si>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</si>
  <si>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</si>
  <si>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</si>
  <si>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</si>
  <si>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</si>
  <si>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</si>
  <si>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</si>
  <si>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</si>
  <si>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</si>
  <si>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</si>
  <si>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</si>
  <si>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</si>
  <si>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</si>
  <si>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</si>
  <si>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</si>
  <si>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</si>
  <si>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</si>
  <si>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</si>
  <si>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</si>
  <si>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</si>
  <si>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</si>
  <si>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</si>
  <si>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</si>
  <si>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</si>
  <si>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</si>
  <si>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</si>
  <si>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</si>
  <si>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</si>
  <si>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</si>
  <si>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</si>
  <si>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</si>
  <si>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</si>
  <si>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</si>
  <si>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</si>
  <si>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</si>
  <si>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</si>
  <si>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</si>
  <si>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</si>
  <si>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</si>
  <si>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</si>
  <si>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</si>
  <si>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</si>
  <si>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</si>
  <si>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</si>
  <si>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</si>
  <si>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</si>
  <si>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</si>
  <si>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</si>
  <si>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</si>
  <si>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</si>
  <si>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</si>
  <si>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</si>
  <si>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</si>
  <si>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</si>
  <si>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</si>
  <si>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</si>
  <si>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</si>
  <si>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</si>
  <si>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</si>
  <si>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</si>
  <si>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</si>
  <si>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</si>
  <si>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</si>
  <si>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</si>
  <si>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</si>
  <si>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</si>
  <si>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</si>
  <si>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</si>
  <si>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</si>
  <si>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</si>
  <si>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</si>
  <si>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</si>
  <si>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</si>
  <si>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</si>
  <si>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</si>
  <si>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</si>
  <si>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</si>
  <si>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</si>
  <si>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</si>
  <si>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</si>
  <si>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</si>
  <si>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</si>
  <si>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</si>
  <si>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</si>
  <si>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</si>
  <si>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</si>
  <si>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</si>
  <si>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</si>
  <si>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</si>
  <si>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</si>
  <si>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</si>
  <si>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</si>
  <si>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</si>
  <si>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</si>
  <si>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</si>
  <si>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</si>
  <si>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</si>
  <si>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</si>
  <si>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</si>
  <si>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</si>
  <si>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</si>
  <si>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</si>
  <si>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</si>
  <si>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</si>
  <si>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</si>
  <si>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</si>
  <si>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</si>
  <si>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</si>
  <si>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</si>
  <si>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</si>
  <si>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</si>
  <si>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</si>
  <si>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</si>
  <si>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</si>
  <si>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</si>
  <si>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</si>
  <si>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</si>
  <si>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</si>
  <si>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</si>
  <si>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</si>
  <si>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</si>
  <si>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</si>
  <si>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</si>
  <si>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</si>
  <si>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</si>
  <si>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</si>
  <si>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</si>
  <si>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</si>
  <si>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</si>
  <si>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</si>
  <si>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</si>
  <si>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</si>
  <si>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</si>
  <si>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</si>
  <si>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</si>
  <si>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</si>
  <si>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</si>
  <si>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</si>
  <si>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</si>
  <si>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</si>
  <si>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</si>
  <si>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</si>
  <si>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</si>
  <si>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</si>
  <si>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</si>
  <si>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</si>
  <si>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</si>
  <si>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</si>
  <si>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</si>
  <si>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</si>
  <si>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</si>
  <si>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</si>
  <si>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</si>
  <si>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</si>
  <si>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</si>
  <si>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</si>
  <si>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</si>
  <si>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</si>
  <si>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</si>
  <si>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</si>
  <si>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</si>
  <si>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</si>
  <si>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</si>
  <si>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</si>
  <si>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</si>
  <si>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</si>
  <si>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</si>
  <si>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</si>
  <si>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</si>
  <si>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</si>
  <si>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</si>
  <si>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</si>
  <si>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</si>
  <si>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</si>
  <si>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</si>
  <si>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</si>
  <si>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</si>
  <si>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</si>
  <si>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</si>
  <si>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</si>
  <si>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</si>
  <si>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</si>
  <si>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</si>
  <si>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</si>
  <si>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</si>
  <si>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</si>
  <si>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</si>
  <si>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</si>
  <si>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</si>
  <si>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</si>
  <si>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</si>
  <si>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</si>
  <si>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</si>
  <si>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</si>
  <si>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</si>
  <si>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</si>
  <si>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</si>
  <si>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</si>
  <si>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</si>
  <si>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</si>
  <si>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</si>
  <si>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</si>
  <si>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</si>
  <si>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</si>
  <si>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</si>
  <si>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</si>
  <si>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</si>
  <si>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</si>
  <si>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</si>
  <si>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</si>
  <si>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</si>
  <si>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</si>
  <si>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</si>
  <si>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</si>
  <si>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</si>
  <si>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</si>
  <si>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</si>
  <si>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</si>
  <si>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</si>
  <si>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</si>
  <si>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</si>
  <si>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</si>
  <si>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</si>
  <si>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</si>
  <si>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</si>
  <si>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</si>
  <si>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</si>
  <si>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</si>
  <si>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</si>
  <si>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</si>
  <si>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</si>
  <si>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</si>
  <si>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</si>
  <si>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</si>
  <si>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</si>
  <si>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</si>
  <si>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</si>
  <si>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</si>
  <si>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</si>
  <si>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</si>
  <si>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</si>
  <si>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</si>
  <si>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</si>
  <si>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</si>
  <si>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</si>
  <si>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</si>
  <si>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</si>
  <si>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</si>
  <si>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</si>
  <si>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</si>
  <si>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</si>
  <si>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</si>
  <si>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</si>
  <si>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</si>
  <si>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</si>
  <si>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</si>
  <si>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</si>
  <si>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</si>
  <si>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</si>
  <si>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</si>
  <si>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</si>
  <si>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</si>
  <si>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</si>
  <si>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</si>
  <si>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</si>
  <si>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</si>
  <si>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</si>
  <si>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</si>
  <si>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</si>
  <si>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</si>
  <si>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</si>
  <si>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</si>
  <si>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</si>
  <si>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</si>
  <si>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</si>
  <si>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</si>
  <si>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</si>
  <si>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</si>
  <si>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</si>
  <si>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</si>
  <si>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</si>
  <si>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</si>
  <si>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</si>
  <si>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</si>
  <si>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</si>
  <si>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</si>
  <si>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</si>
  <si>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</si>
  <si>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</si>
  <si>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</si>
  <si>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</si>
  <si>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</si>
  <si>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</si>
  <si>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</si>
  <si>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</si>
  <si>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</si>
  <si>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</si>
  <si>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</si>
  <si>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</si>
  <si>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</si>
  <si>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</si>
  <si>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</si>
  <si>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</si>
  <si>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</si>
  <si>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</si>
  <si>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</si>
  <si>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</si>
  <si>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</si>
  <si>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</si>
  <si>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</si>
  <si>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</si>
  <si>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</si>
  <si>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</si>
  <si>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</si>
  <si>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</si>
  <si>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</si>
  <si>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</si>
  <si>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</si>
  <si>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</si>
  <si>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</si>
  <si>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</si>
  <si>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</si>
  <si>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</si>
  <si>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</si>
  <si>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</si>
  <si>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</si>
  <si>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</si>
  <si>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</si>
  <si>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</si>
  <si>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</si>
  <si>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</si>
  <si>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</si>
  <si>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</si>
  <si>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</si>
  <si>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</si>
  <si>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</si>
  <si>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</si>
  <si>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</si>
  <si>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</si>
  <si>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</si>
  <si>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</si>
  <si>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</si>
  <si>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</si>
  <si>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</si>
  <si>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</si>
  <si>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</si>
  <si>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</si>
  <si>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</si>
  <si>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</si>
  <si>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</si>
  <si>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</si>
  <si>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</si>
  <si>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</si>
  <si>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</si>
  <si>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</si>
  <si>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</si>
  <si>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</si>
  <si>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</si>
  <si>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</si>
  <si>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</si>
  <si>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</si>
  <si>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</si>
  <si>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</si>
  <si>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</si>
  <si>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</si>
  <si>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</si>
  <si>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</si>
  <si>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</si>
  <si>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</si>
  <si>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</si>
  <si>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</si>
  <si>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</si>
  <si>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</si>
  <si>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</si>
  <si>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</si>
  <si>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</si>
  <si>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</si>
  <si>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</si>
  <si>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</si>
  <si>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</si>
  <si>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</si>
  <si>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</si>
  <si>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</si>
  <si>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</si>
  <si>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</si>
  <si>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</si>
  <si>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</si>
  <si>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</si>
  <si>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</si>
  <si>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</si>
  <si>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</si>
  <si>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</si>
  <si>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</si>
  <si>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</si>
  <si>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</si>
  <si>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</si>
  <si>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</si>
  <si>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</si>
  <si>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</si>
  <si>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</si>
  <si>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</si>
  <si>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</si>
  <si>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</si>
  <si>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</si>
  <si>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</si>
  <si>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</si>
  <si>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</si>
  <si>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</si>
  <si>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</si>
  <si>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</si>
  <si>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</si>
  <si>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</si>
  <si>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</si>
  <si>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</si>
  <si>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</si>
  <si>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</si>
  <si>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</si>
  <si>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</si>
  <si>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</si>
  <si>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</si>
  <si>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</si>
  <si>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</si>
  <si>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</si>
  <si>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</si>
  <si>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</si>
  <si>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</si>
  <si>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</si>
  <si>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</si>
  <si>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</si>
  <si>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</si>
  <si>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</si>
  <si>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</si>
  <si>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</si>
  <si>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</si>
  <si>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</si>
  <si>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</si>
  <si>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</si>
  <si>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</si>
  <si>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</si>
  <si>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</si>
  <si>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</si>
  <si>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</si>
  <si>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</si>
  <si>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</si>
  <si>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</si>
  <si>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</si>
  <si>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</si>
  <si>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</si>
  <si>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</si>
  <si>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</si>
  <si>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</si>
  <si>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</si>
  <si>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</si>
  <si>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</si>
  <si>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</si>
  <si>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</si>
  <si>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</si>
  <si>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</si>
  <si>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</si>
  <si>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</si>
  <si>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</si>
  <si>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</si>
  <si>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</si>
  <si>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</si>
  <si>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</si>
  <si>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</si>
  <si>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</si>
  <si>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</si>
  <si>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</si>
  <si>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</si>
  <si>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</si>
  <si>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</si>
  <si>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</si>
  <si>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</si>
  <si>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</si>
  <si>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</si>
  <si>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</si>
  <si>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</si>
  <si>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</si>
  <si>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</si>
  <si>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</si>
  <si>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</si>
  <si>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</si>
  <si>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</si>
  <si>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</si>
  <si>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</si>
  <si>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</si>
  <si>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</si>
  <si>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</si>
  <si>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</si>
  <si>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</si>
  <si>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</si>
  <si>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</si>
  <si>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</si>
  <si>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</si>
  <si>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</si>
  <si>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</si>
  <si>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</si>
  <si>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</si>
  <si>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</si>
  <si>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</si>
  <si>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</si>
  <si>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</si>
  <si>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</si>
  <si>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</si>
  <si>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</si>
  <si>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</si>
  <si>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</si>
  <si>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</si>
  <si>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</si>
  <si>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</si>
  <si>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</si>
  <si>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</si>
  <si>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</si>
  <si>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</si>
  <si>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</si>
  <si>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</si>
  <si>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</si>
  <si>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</si>
  <si>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</si>
  <si>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</si>
  <si>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</si>
  <si>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</si>
  <si>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</si>
  <si>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</si>
  <si>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</si>
  <si>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</si>
  <si>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</si>
  <si>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</si>
  <si>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</si>
  <si>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</si>
  <si>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</si>
  <si>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</si>
  <si>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</si>
  <si>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</si>
  <si>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</si>
  <si>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</si>
  <si>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</si>
  <si>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</si>
  <si>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</si>
  <si>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</si>
  <si>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</si>
  <si>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</si>
  <si>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</si>
  <si>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</si>
  <si>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</si>
  <si>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</si>
  <si>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</si>
  <si>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</si>
  <si>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</si>
  <si>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</si>
  <si>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</si>
  <si>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</si>
  <si>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</si>
  <si>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</si>
  <si>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</si>
  <si>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</si>
  <si>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</si>
  <si>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</si>
  <si>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</si>
  <si>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</si>
  <si>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</si>
  <si>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</si>
  <si>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</si>
  <si>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</si>
  <si>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</si>
  <si>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</si>
  <si>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</si>
  <si>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</si>
  <si>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</si>
  <si>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</si>
  <si>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</si>
  <si>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</si>
  <si>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</si>
  <si>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</si>
  <si>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</si>
  <si>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</si>
  <si>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</si>
  <si>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</si>
  <si>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</si>
  <si>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</si>
  <si>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</si>
  <si>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</si>
  <si>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</si>
  <si>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</si>
  <si>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</si>
  <si>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</si>
  <si>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</si>
  <si>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</si>
  <si>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</si>
  <si>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</si>
  <si>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</si>
  <si>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</si>
  <si>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</si>
  <si>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</si>
  <si>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</si>
  <si>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</si>
  <si>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</si>
  <si>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</si>
  <si>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</si>
  <si>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</si>
  <si>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</si>
  <si>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</si>
  <si>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</si>
  <si>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</si>
  <si>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</si>
  <si>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</si>
  <si>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</si>
  <si>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</si>
  <si>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</si>
  <si>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</si>
  <si>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</si>
  <si>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</si>
  <si>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</si>
  <si>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</si>
  <si>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</si>
  <si>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</si>
  <si>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</si>
  <si>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</si>
  <si>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</si>
  <si>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</si>
  <si>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</si>
  <si>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</si>
  <si>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</si>
  <si>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</si>
  <si>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</si>
  <si>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</si>
  <si>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</si>
  <si>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</si>
  <si>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</si>
  <si>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</si>
  <si>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</si>
  <si>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</si>
  <si>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</si>
  <si>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</si>
  <si>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</si>
  <si>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</si>
  <si>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</si>
  <si>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</si>
  <si>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</si>
  <si>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</si>
  <si>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</si>
  <si>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</si>
  <si>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</si>
  <si>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</si>
  <si>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</si>
  <si>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</si>
  <si>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</si>
  <si>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</si>
  <si>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</si>
  <si>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</si>
  <si>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</si>
  <si>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</si>
  <si>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</si>
  <si>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</si>
  <si>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</si>
  <si>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</si>
  <si>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</si>
  <si>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</si>
  <si>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</si>
  <si>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</si>
  <si>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</si>
  <si>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</si>
  <si>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</si>
  <si>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</si>
  <si>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</si>
  <si>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</si>
  <si>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</si>
  <si>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</si>
  <si>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</si>
  <si>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</si>
  <si>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</si>
  <si>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</si>
  <si>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</si>
  <si>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</si>
  <si>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</si>
  <si>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</si>
  <si>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</si>
  <si>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</si>
  <si>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</si>
  <si>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</si>
  <si>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</si>
  <si>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</si>
  <si>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</si>
  <si>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</si>
  <si>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</si>
  <si>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</si>
  <si>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</si>
  <si>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</si>
  <si>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</si>
  <si>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</si>
  <si>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</si>
  <si>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</si>
  <si>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</si>
  <si>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</si>
  <si>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</si>
  <si>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</si>
  <si>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</si>
  <si>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</si>
  <si>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</si>
  <si>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</si>
  <si>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</si>
  <si>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</si>
  <si>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</si>
  <si>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</si>
  <si>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</si>
  <si>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</si>
  <si>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</si>
  <si>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</si>
  <si>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</si>
  <si>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</si>
  <si>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</si>
  <si>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</si>
  <si>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</si>
  <si>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</si>
  <si>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</si>
  <si>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</si>
  <si>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</si>
  <si>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</si>
  <si>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</si>
  <si>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</si>
  <si>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</si>
  <si>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</si>
  <si>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</si>
  <si>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</si>
  <si>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</si>
  <si>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</si>
  <si>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</si>
  <si>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</si>
  <si>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</si>
  <si>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</si>
  <si>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</si>
  <si>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</si>
  <si>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</si>
  <si>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</si>
  <si>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</si>
  <si>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</si>
  <si>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</si>
  <si>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</si>
  <si>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</si>
  <si>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</si>
  <si>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</si>
  <si>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</si>
  <si>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</si>
  <si>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</si>
  <si>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</si>
  <si>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</si>
  <si>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</si>
  <si>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</si>
  <si>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</si>
  <si>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</si>
  <si>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</si>
  <si>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</si>
  <si>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</si>
  <si>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</si>
  <si>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</si>
  <si>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</si>
  <si>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</si>
  <si>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</si>
  <si>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</si>
  <si>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</si>
  <si>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</si>
  <si>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</si>
  <si>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</si>
  <si>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</si>
  <si>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</si>
  <si>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</si>
  <si>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</si>
  <si>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</si>
  <si>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</si>
  <si>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</si>
  <si>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</si>
  <si>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</si>
  <si>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</si>
  <si>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</si>
  <si>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</si>
  <si>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</si>
  <si>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</si>
  <si>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</si>
  <si>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</si>
  <si>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</si>
  <si>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</si>
  <si>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</si>
  <si>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</si>
  <si>
    <t>j = allocation count index</t>
  </si>
  <si>
    <t>f(i,k)^(Bi)=j from 1 to 4 sum of (j)^(Bi)*X(i,j,k)</t>
  </si>
  <si>
    <t>f(i,k)=j from 1 to 4 sum of (j)*X(i,j,k)</t>
  </si>
  <si>
    <t>used for constrains</t>
  </si>
  <si>
    <t>used for objective function</t>
  </si>
  <si>
    <t>Money Gained</t>
  </si>
  <si>
    <t>Money Gained Per product</t>
  </si>
  <si>
    <t>Total Gain</t>
  </si>
  <si>
    <t>Money Gained per shelf</t>
  </si>
  <si>
    <t>shows z(I,k), change accordingly</t>
  </si>
  <si>
    <t>Look to rule, will change this much</t>
  </si>
  <si>
    <t>looks correct, but indirect accesses need to be check</t>
  </si>
  <si>
    <t>change done</t>
  </si>
  <si>
    <t>7-New Constrain: Products 3 and 8 must be in the same shelf if assorted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</si>
</sst>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25" xfId="0" applyFont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indent="5"/>
    </xf>
    <xf numFmtId="1" fontId="2" fillId="0" borderId="0" xfId="1" applyNumberFormat="1" applyFont="1"/>
    <xf numFmtId="0" fontId="4" fillId="0" borderId="0" xfId="0" applyFont="1" applyAlignment="1">
      <alignment horizontal="left" vertical="center" wrapText="1" indent="5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116" name="OpenSolver1">
          <a:extLst>
            <a:ext uri="{FF2B5EF4-FFF2-40B4-BE49-F238E27FC236}">
              <a16:creationId xmlns:a16="http://schemas.microsoft.com/office/drawing/2014/main" id="{57EABE5E-F67C-427B-8C26-FB743A1D4BC5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117" name="OpenSolver2">
          <a:extLst>
            <a:ext uri="{FF2B5EF4-FFF2-40B4-BE49-F238E27FC236}">
              <a16:creationId xmlns:a16="http://schemas.microsoft.com/office/drawing/2014/main" id="{70A0A76B-2053-4CFC-93CA-58D8E6E67829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118" name="OpenSolver3">
          <a:extLst>
            <a:ext uri="{FF2B5EF4-FFF2-40B4-BE49-F238E27FC236}">
              <a16:creationId xmlns:a16="http://schemas.microsoft.com/office/drawing/2014/main" id="{1E5A1422-60DE-4C22-A860-2E98565FF365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119" name="OpenSolver4">
          <a:extLst>
            <a:ext uri="{FF2B5EF4-FFF2-40B4-BE49-F238E27FC236}">
              <a16:creationId xmlns:a16="http://schemas.microsoft.com/office/drawing/2014/main" id="{D85E3722-A028-45B0-ACCD-9787D5CDBAC0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120" name="OpenSolver5">
          <a:extLst>
            <a:ext uri="{FF2B5EF4-FFF2-40B4-BE49-F238E27FC236}">
              <a16:creationId xmlns:a16="http://schemas.microsoft.com/office/drawing/2014/main" id="{AA36B616-5F45-468D-8B3B-150855E37F27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121" name="OpenSolver6">
          <a:extLst>
            <a:ext uri="{FF2B5EF4-FFF2-40B4-BE49-F238E27FC236}">
              <a16:creationId xmlns:a16="http://schemas.microsoft.com/office/drawing/2014/main" id="{842898C0-41BE-440F-95E9-847007B68EF3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122" name="OpenSolver7">
          <a:extLst>
            <a:ext uri="{FF2B5EF4-FFF2-40B4-BE49-F238E27FC236}">
              <a16:creationId xmlns:a16="http://schemas.microsoft.com/office/drawing/2014/main" id="{D6D040DE-1D8C-4A86-90DD-F069C20233CC}"/>
            </a:ext>
          </a:extLst>
        </xdr:cNvPr>
        <xdr:cNvSpPr/>
      </xdr:nvSpPr>
      <xdr:spPr>
        <a:xfrm>
          <a:off x="1485900" y="12329160"/>
          <a:ext cx="75438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123" name="OpenSolver8">
          <a:extLst>
            <a:ext uri="{FF2B5EF4-FFF2-40B4-BE49-F238E27FC236}">
              <a16:creationId xmlns:a16="http://schemas.microsoft.com/office/drawing/2014/main" id="{3FF2B8AB-DEA8-49C2-88EF-833E6DBBDDDD}"/>
            </a:ext>
          </a:extLst>
        </xdr:cNvPr>
        <xdr:cNvSpPr/>
      </xdr:nvSpPr>
      <xdr:spPr>
        <a:xfrm>
          <a:off x="310896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91440</xdr:rowOff>
    </xdr:from>
    <xdr:to>
      <xdr:col>4</xdr:col>
      <xdr:colOff>0</xdr:colOff>
      <xdr:row>74</xdr:row>
      <xdr:rowOff>91440</xdr:rowOff>
    </xdr:to>
    <xdr:cxnSp macro="">
      <xdr:nvCxnSpPr>
        <xdr:cNvPr id="124" name="OpenSolver9">
          <a:extLst>
            <a:ext uri="{FF2B5EF4-FFF2-40B4-BE49-F238E27FC236}">
              <a16:creationId xmlns:a16="http://schemas.microsoft.com/office/drawing/2014/main" id="{6C160358-BE09-4677-B5F0-C58D5C8C7BD2}"/>
            </a:ext>
          </a:extLst>
        </xdr:cNvPr>
        <xdr:cNvCxnSpPr>
          <a:stCxn id="122" idx="3"/>
          <a:endCxn id="123" idx="1"/>
        </xdr:cNvCxnSpPr>
      </xdr:nvCxnSpPr>
      <xdr:spPr>
        <a:xfrm>
          <a:off x="2240280" y="14813280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162560</xdr:rowOff>
    </xdr:from>
    <xdr:to>
      <xdr:col>3</xdr:col>
      <xdr:colOff>624840</xdr:colOff>
      <xdr:row>75</xdr:row>
      <xdr:rowOff>20320</xdr:rowOff>
    </xdr:to>
    <xdr:sp macro="" textlink="">
      <xdr:nvSpPr>
        <xdr:cNvPr id="125" name="OpenSolver10">
          <a:extLst>
            <a:ext uri="{FF2B5EF4-FFF2-40B4-BE49-F238E27FC236}">
              <a16:creationId xmlns:a16="http://schemas.microsoft.com/office/drawing/2014/main" id="{B3283237-4E18-4B31-988D-1883C39FC105}"/>
            </a:ext>
          </a:extLst>
        </xdr:cNvPr>
        <xdr:cNvSpPr/>
      </xdr:nvSpPr>
      <xdr:spPr>
        <a:xfrm>
          <a:off x="248412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126" name="OpenSolver11">
          <a:extLst>
            <a:ext uri="{FF2B5EF4-FFF2-40B4-BE49-F238E27FC236}">
              <a16:creationId xmlns:a16="http://schemas.microsoft.com/office/drawing/2014/main" id="{20484480-4D30-4251-9EDB-114BE4A9EA56}"/>
            </a:ext>
          </a:extLst>
        </xdr:cNvPr>
        <xdr:cNvSpPr/>
      </xdr:nvSpPr>
      <xdr:spPr>
        <a:xfrm>
          <a:off x="51054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27" name="OpenSolver12">
          <a:extLst>
            <a:ext uri="{FF2B5EF4-FFF2-40B4-BE49-F238E27FC236}">
              <a16:creationId xmlns:a16="http://schemas.microsoft.com/office/drawing/2014/main" id="{45A199A9-2E10-4E1E-A06A-12CA572C03E3}"/>
            </a:ext>
          </a:extLst>
        </xdr:cNvPr>
        <xdr:cNvSpPr/>
      </xdr:nvSpPr>
      <xdr:spPr>
        <a:xfrm>
          <a:off x="65532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9</xdr:col>
      <xdr:colOff>0</xdr:colOff>
      <xdr:row>74</xdr:row>
      <xdr:rowOff>91440</xdr:rowOff>
    </xdr:to>
    <xdr:cxnSp macro="">
      <xdr:nvCxnSpPr>
        <xdr:cNvPr id="128" name="OpenSolver13">
          <a:extLst>
            <a:ext uri="{FF2B5EF4-FFF2-40B4-BE49-F238E27FC236}">
              <a16:creationId xmlns:a16="http://schemas.microsoft.com/office/drawing/2014/main" id="{3B19728B-5717-4A2A-8225-A150B20C10BD}"/>
            </a:ext>
          </a:extLst>
        </xdr:cNvPr>
        <xdr:cNvCxnSpPr>
          <a:stCxn id="126" idx="3"/>
          <a:endCxn id="127" idx="1"/>
        </xdr:cNvCxnSpPr>
      </xdr:nvCxnSpPr>
      <xdr:spPr>
        <a:xfrm>
          <a:off x="5722620" y="14813280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162560</xdr:rowOff>
    </xdr:from>
    <xdr:to>
      <xdr:col>8</xdr:col>
      <xdr:colOff>605790</xdr:colOff>
      <xdr:row>75</xdr:row>
      <xdr:rowOff>20320</xdr:rowOff>
    </xdr:to>
    <xdr:sp macro="" textlink="">
      <xdr:nvSpPr>
        <xdr:cNvPr id="129" name="OpenSolver14">
          <a:extLst>
            <a:ext uri="{FF2B5EF4-FFF2-40B4-BE49-F238E27FC236}">
              <a16:creationId xmlns:a16="http://schemas.microsoft.com/office/drawing/2014/main" id="{526819B7-D602-43A6-A018-36AD7BCF58B1}"/>
            </a:ext>
          </a:extLst>
        </xdr:cNvPr>
        <xdr:cNvSpPr/>
      </xdr:nvSpPr>
      <xdr:spPr>
        <a:xfrm>
          <a:off x="594741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130" name="OpenSolver15">
          <a:extLst>
            <a:ext uri="{FF2B5EF4-FFF2-40B4-BE49-F238E27FC236}">
              <a16:creationId xmlns:a16="http://schemas.microsoft.com/office/drawing/2014/main" id="{C4040F08-CFE8-453A-8464-9CA15A6917CB}"/>
            </a:ext>
          </a:extLst>
        </xdr:cNvPr>
        <xdr:cNvSpPr/>
      </xdr:nvSpPr>
      <xdr:spPr>
        <a:xfrm>
          <a:off x="840486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131" name="OpenSolver16">
          <a:extLst>
            <a:ext uri="{FF2B5EF4-FFF2-40B4-BE49-F238E27FC236}">
              <a16:creationId xmlns:a16="http://schemas.microsoft.com/office/drawing/2014/main" id="{E26A544E-B8CB-4AB0-B8BC-FC3AACE6DA6A}"/>
            </a:ext>
          </a:extLst>
        </xdr:cNvPr>
        <xdr:cNvSpPr/>
      </xdr:nvSpPr>
      <xdr:spPr>
        <a:xfrm>
          <a:off x="96393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91440</xdr:rowOff>
    </xdr:from>
    <xdr:to>
      <xdr:col>14</xdr:col>
      <xdr:colOff>0</xdr:colOff>
      <xdr:row>74</xdr:row>
      <xdr:rowOff>91440</xdr:rowOff>
    </xdr:to>
    <xdr:cxnSp macro="">
      <xdr:nvCxnSpPr>
        <xdr:cNvPr id="132" name="OpenSolver17">
          <a:extLst>
            <a:ext uri="{FF2B5EF4-FFF2-40B4-BE49-F238E27FC236}">
              <a16:creationId xmlns:a16="http://schemas.microsoft.com/office/drawing/2014/main" id="{DB9F0528-F23C-4230-8745-C079A1D5077D}"/>
            </a:ext>
          </a:extLst>
        </xdr:cNvPr>
        <xdr:cNvCxnSpPr>
          <a:stCxn id="130" idx="3"/>
          <a:endCxn id="131" idx="1"/>
        </xdr:cNvCxnSpPr>
      </xdr:nvCxnSpPr>
      <xdr:spPr>
        <a:xfrm>
          <a:off x="9022080" y="14813280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162560</xdr:rowOff>
    </xdr:from>
    <xdr:to>
      <xdr:col>13</xdr:col>
      <xdr:colOff>499110</xdr:colOff>
      <xdr:row>75</xdr:row>
      <xdr:rowOff>20320</xdr:rowOff>
    </xdr:to>
    <xdr:sp macro="" textlink="">
      <xdr:nvSpPr>
        <xdr:cNvPr id="133" name="OpenSolver18">
          <a:extLst>
            <a:ext uri="{FF2B5EF4-FFF2-40B4-BE49-F238E27FC236}">
              <a16:creationId xmlns:a16="http://schemas.microsoft.com/office/drawing/2014/main" id="{122E5712-9D30-4B3F-AE85-C650CEFF8B2B}"/>
            </a:ext>
          </a:extLst>
        </xdr:cNvPr>
        <xdr:cNvSpPr/>
      </xdr:nvSpPr>
      <xdr:spPr>
        <a:xfrm>
          <a:off x="914019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0</xdr:rowOff>
    </xdr:to>
    <xdr:sp macro="" textlink="">
      <xdr:nvSpPr>
        <xdr:cNvPr id="134" name="OpenSolver19">
          <a:extLst>
            <a:ext uri="{FF2B5EF4-FFF2-40B4-BE49-F238E27FC236}">
              <a16:creationId xmlns:a16="http://schemas.microsoft.com/office/drawing/2014/main" id="{5E32359D-FB37-423B-A4F5-E1343A47B7F6}"/>
            </a:ext>
          </a:extLst>
        </xdr:cNvPr>
        <xdr:cNvSpPr/>
      </xdr:nvSpPr>
      <xdr:spPr>
        <a:xfrm>
          <a:off x="11551920" y="12329160"/>
          <a:ext cx="617219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0</xdr:rowOff>
    </xdr:to>
    <xdr:sp macro="" textlink="">
      <xdr:nvSpPr>
        <xdr:cNvPr id="135" name="OpenSolver20">
          <a:extLst>
            <a:ext uri="{FF2B5EF4-FFF2-40B4-BE49-F238E27FC236}">
              <a16:creationId xmlns:a16="http://schemas.microsoft.com/office/drawing/2014/main" id="{D2ABE7B7-0876-4643-80D8-1E0A0D635241}"/>
            </a:ext>
          </a:extLst>
        </xdr:cNvPr>
        <xdr:cNvSpPr/>
      </xdr:nvSpPr>
      <xdr:spPr>
        <a:xfrm>
          <a:off x="12778740" y="12329160"/>
          <a:ext cx="617221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91440</xdr:rowOff>
    </xdr:from>
    <xdr:to>
      <xdr:col>19</xdr:col>
      <xdr:colOff>0</xdr:colOff>
      <xdr:row>64</xdr:row>
      <xdr:rowOff>91440</xdr:rowOff>
    </xdr:to>
    <xdr:cxnSp macro="">
      <xdr:nvCxnSpPr>
        <xdr:cNvPr id="136" name="OpenSolver21">
          <a:extLst>
            <a:ext uri="{FF2B5EF4-FFF2-40B4-BE49-F238E27FC236}">
              <a16:creationId xmlns:a16="http://schemas.microsoft.com/office/drawing/2014/main" id="{1C83DE93-F81D-43F8-9854-7F507BCF65D5}"/>
            </a:ext>
          </a:extLst>
        </xdr:cNvPr>
        <xdr:cNvCxnSpPr>
          <a:stCxn id="134" idx="3"/>
          <a:endCxn id="135" idx="1"/>
        </xdr:cNvCxnSpPr>
      </xdr:nvCxnSpPr>
      <xdr:spPr>
        <a:xfrm>
          <a:off x="12169139" y="12832080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170180</xdr:rowOff>
    </xdr:from>
    <xdr:to>
      <xdr:col>18</xdr:col>
      <xdr:colOff>495300</xdr:colOff>
      <xdr:row>65</xdr:row>
      <xdr:rowOff>20320</xdr:rowOff>
    </xdr:to>
    <xdr:sp macro="" textlink="">
      <xdr:nvSpPr>
        <xdr:cNvPr id="137" name="OpenSolver22">
          <a:extLst>
            <a:ext uri="{FF2B5EF4-FFF2-40B4-BE49-F238E27FC236}">
              <a16:creationId xmlns:a16="http://schemas.microsoft.com/office/drawing/2014/main" id="{F76A101C-BD0C-413F-BFC7-BB805D843F98}"/>
            </a:ext>
          </a:extLst>
        </xdr:cNvPr>
        <xdr:cNvSpPr/>
      </xdr:nvSpPr>
      <xdr:spPr>
        <a:xfrm>
          <a:off x="12283440" y="127050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66</xdr:row>
      <xdr:rowOff>0</xdr:rowOff>
    </xdr:to>
    <xdr:sp macro="" textlink="">
      <xdr:nvSpPr>
        <xdr:cNvPr id="138" name="OpenSolver23">
          <a:extLst>
            <a:ext uri="{FF2B5EF4-FFF2-40B4-BE49-F238E27FC236}">
              <a16:creationId xmlns:a16="http://schemas.microsoft.com/office/drawing/2014/main" id="{D878E15E-D87E-49FA-872E-C00369BF8F0A}"/>
            </a:ext>
          </a:extLst>
        </xdr:cNvPr>
        <xdr:cNvSpPr/>
      </xdr:nvSpPr>
      <xdr:spPr>
        <a:xfrm>
          <a:off x="14622780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66</xdr:row>
      <xdr:rowOff>0</xdr:rowOff>
    </xdr:to>
    <xdr:sp macro="" textlink="">
      <xdr:nvSpPr>
        <xdr:cNvPr id="139" name="OpenSolver24">
          <a:extLst>
            <a:ext uri="{FF2B5EF4-FFF2-40B4-BE49-F238E27FC236}">
              <a16:creationId xmlns:a16="http://schemas.microsoft.com/office/drawing/2014/main" id="{911CFE64-80BA-40D4-B32C-BB7EF2D6BF7E}"/>
            </a:ext>
          </a:extLst>
        </xdr:cNvPr>
        <xdr:cNvSpPr/>
      </xdr:nvSpPr>
      <xdr:spPr>
        <a:xfrm>
          <a:off x="15925800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63</xdr:row>
      <xdr:rowOff>198120</xdr:rowOff>
    </xdr:from>
    <xdr:to>
      <xdr:col>24</xdr:col>
      <xdr:colOff>0</xdr:colOff>
      <xdr:row>63</xdr:row>
      <xdr:rowOff>198120</xdr:rowOff>
    </xdr:to>
    <xdr:cxnSp macro="">
      <xdr:nvCxnSpPr>
        <xdr:cNvPr id="140" name="OpenSolver25">
          <a:extLst>
            <a:ext uri="{FF2B5EF4-FFF2-40B4-BE49-F238E27FC236}">
              <a16:creationId xmlns:a16="http://schemas.microsoft.com/office/drawing/2014/main" id="{59A316AC-21DB-426A-93C5-B990A6FBE1B7}"/>
            </a:ext>
          </a:extLst>
        </xdr:cNvPr>
        <xdr:cNvCxnSpPr>
          <a:stCxn id="138" idx="3"/>
          <a:endCxn id="139" idx="1"/>
        </xdr:cNvCxnSpPr>
      </xdr:nvCxnSpPr>
      <xdr:spPr>
        <a:xfrm>
          <a:off x="15240000" y="1273302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119380</xdr:rowOff>
    </xdr:to>
    <xdr:sp macro="" textlink="">
      <xdr:nvSpPr>
        <xdr:cNvPr id="141" name="OpenSolver26">
          <a:extLst>
            <a:ext uri="{FF2B5EF4-FFF2-40B4-BE49-F238E27FC236}">
              <a16:creationId xmlns:a16="http://schemas.microsoft.com/office/drawing/2014/main" id="{3264406F-606B-4D9F-9A0B-A160963AAE87}"/>
            </a:ext>
          </a:extLst>
        </xdr:cNvPr>
        <xdr:cNvSpPr/>
      </xdr:nvSpPr>
      <xdr:spPr>
        <a:xfrm>
          <a:off x="15392400" y="126060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142" name="OpenSolver27">
          <a:extLst>
            <a:ext uri="{FF2B5EF4-FFF2-40B4-BE49-F238E27FC236}">
              <a16:creationId xmlns:a16="http://schemas.microsoft.com/office/drawing/2014/main" id="{284D1BCD-9E95-4CAC-A3FF-C0E2882A0E3C}"/>
            </a:ext>
          </a:extLst>
        </xdr:cNvPr>
        <xdr:cNvSpPr/>
      </xdr:nvSpPr>
      <xdr:spPr>
        <a:xfrm>
          <a:off x="17777461" y="12329160"/>
          <a:ext cx="3131819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143" name="OpenSolver28">
          <a:extLst>
            <a:ext uri="{FF2B5EF4-FFF2-40B4-BE49-F238E27FC236}">
              <a16:creationId xmlns:a16="http://schemas.microsoft.com/office/drawing/2014/main" id="{326AFAC7-063F-4176-BD11-EC59CB7EC0BF}"/>
            </a:ext>
          </a:extLst>
        </xdr:cNvPr>
        <xdr:cNvSpPr/>
      </xdr:nvSpPr>
      <xdr:spPr>
        <a:xfrm>
          <a:off x="21526500" y="12329160"/>
          <a:ext cx="33223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144" name="OpenSolver29">
          <a:extLst>
            <a:ext uri="{FF2B5EF4-FFF2-40B4-BE49-F238E27FC236}">
              <a16:creationId xmlns:a16="http://schemas.microsoft.com/office/drawing/2014/main" id="{3408EDC3-7B30-45DE-9DD1-5F23BA92CD71}"/>
            </a:ext>
          </a:extLst>
        </xdr:cNvPr>
        <xdr:cNvCxnSpPr>
          <a:stCxn id="142" idx="3"/>
          <a:endCxn id="143" idx="1"/>
        </xdr:cNvCxnSpPr>
      </xdr:nvCxnSpPr>
      <xdr:spPr>
        <a:xfrm>
          <a:off x="20909280" y="1263396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177800</xdr:rowOff>
    </xdr:from>
    <xdr:to>
      <xdr:col>32</xdr:col>
      <xdr:colOff>499111</xdr:colOff>
      <xdr:row>64</xdr:row>
      <xdr:rowOff>20320</xdr:rowOff>
    </xdr:to>
    <xdr:sp macro="" textlink="">
      <xdr:nvSpPr>
        <xdr:cNvPr id="145" name="OpenSolver30">
          <a:extLst>
            <a:ext uri="{FF2B5EF4-FFF2-40B4-BE49-F238E27FC236}">
              <a16:creationId xmlns:a16="http://schemas.microsoft.com/office/drawing/2014/main" id="{CFB0580B-8E7E-42B9-B101-07A9CB94C433}"/>
            </a:ext>
          </a:extLst>
        </xdr:cNvPr>
        <xdr:cNvSpPr/>
      </xdr:nvSpPr>
      <xdr:spPr>
        <a:xfrm>
          <a:off x="21027391" y="1250696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146" name="OpenSolver31">
          <a:extLst>
            <a:ext uri="{FF2B5EF4-FFF2-40B4-BE49-F238E27FC236}">
              <a16:creationId xmlns:a16="http://schemas.microsoft.com/office/drawing/2014/main" id="{B055900D-6F99-4BEF-92A2-033890715139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147" name="OpenSolver32">
          <a:extLst>
            <a:ext uri="{FF2B5EF4-FFF2-40B4-BE49-F238E27FC236}">
              <a16:creationId xmlns:a16="http://schemas.microsoft.com/office/drawing/2014/main" id="{9E6249E4-3553-4CA0-99C8-0E029891818B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148" name="OpenSolver33">
          <a:extLst>
            <a:ext uri="{FF2B5EF4-FFF2-40B4-BE49-F238E27FC236}">
              <a16:creationId xmlns:a16="http://schemas.microsoft.com/office/drawing/2014/main" id="{ED08C0DA-1364-477A-ADA1-72DB90CF6574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149" name="OpenSolver34">
          <a:extLst>
            <a:ext uri="{FF2B5EF4-FFF2-40B4-BE49-F238E27FC236}">
              <a16:creationId xmlns:a16="http://schemas.microsoft.com/office/drawing/2014/main" id="{D29AF873-25A8-4EA4-B586-57CD65F0E6E5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150" name="OpenSolver35">
          <a:extLst>
            <a:ext uri="{FF2B5EF4-FFF2-40B4-BE49-F238E27FC236}">
              <a16:creationId xmlns:a16="http://schemas.microsoft.com/office/drawing/2014/main" id="{DD2F9906-84B8-479E-8455-6A94D1CD31A4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151" name="OpenSolver36">
          <a:extLst>
            <a:ext uri="{FF2B5EF4-FFF2-40B4-BE49-F238E27FC236}">
              <a16:creationId xmlns:a16="http://schemas.microsoft.com/office/drawing/2014/main" id="{DBC2F5A1-5E72-4C17-A7AA-E0E18AE9B103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152" name="OpenSolver37">
          <a:extLst>
            <a:ext uri="{FF2B5EF4-FFF2-40B4-BE49-F238E27FC236}">
              <a16:creationId xmlns:a16="http://schemas.microsoft.com/office/drawing/2014/main" id="{D4174AA3-FE64-4194-B1CE-E72A6C9DB652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153" name="OpenSolver38">
          <a:extLst>
            <a:ext uri="{FF2B5EF4-FFF2-40B4-BE49-F238E27FC236}">
              <a16:creationId xmlns:a16="http://schemas.microsoft.com/office/drawing/2014/main" id="{8C69F414-0D08-4041-8DC6-FD04C4FC7409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40</xdr:col>
      <xdr:colOff>1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3C69D9EF-CDD0-42AA-B8E1-196E3D08933F}"/>
            </a:ext>
          </a:extLst>
        </xdr:cNvPr>
        <xdr:cNvSpPr/>
      </xdr:nvSpPr>
      <xdr:spPr>
        <a:xfrm>
          <a:off x="22258020" y="998220"/>
          <a:ext cx="382524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47</xdr:col>
      <xdr:colOff>0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1B1062CB-ADE0-4B74-8302-30EA9CBF4D40}"/>
            </a:ext>
          </a:extLst>
        </xdr:cNvPr>
        <xdr:cNvSpPr/>
      </xdr:nvSpPr>
      <xdr:spPr>
        <a:xfrm>
          <a:off x="26814779" y="998220"/>
          <a:ext cx="37414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53</xdr:col>
      <xdr:colOff>609599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4046DA95-7682-467C-B7A0-820DBB190A92}"/>
            </a:ext>
          </a:extLst>
        </xdr:cNvPr>
        <xdr:cNvSpPr/>
      </xdr:nvSpPr>
      <xdr:spPr>
        <a:xfrm>
          <a:off x="31234379" y="998220"/>
          <a:ext cx="36576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61</xdr:col>
      <xdr:colOff>1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5F951677-A190-4836-8E02-E46A1DB22FDE}"/>
            </a:ext>
          </a:extLst>
        </xdr:cNvPr>
        <xdr:cNvSpPr/>
      </xdr:nvSpPr>
      <xdr:spPr>
        <a:xfrm>
          <a:off x="35570161" y="998220"/>
          <a:ext cx="36576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2916E298-632E-4417-9F28-A164449E5954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5E8D5E41-4B1C-47F7-BFB1-49319D45352A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B4859E31-D05B-4F18-A06E-0AE72AB50815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C227D85F-871C-4F90-91EB-7232D3663936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26EB132A-89D4-48F7-8960-09F03748F12D}"/>
            </a:ext>
          </a:extLst>
        </xdr:cNvPr>
        <xdr:cNvCxnSpPr>
          <a:stCxn id="8" idx="3"/>
          <a:endCxn id="9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3D209606-8601-4EAE-9335-AE17D8034300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82B2A315-CDBA-45C9-A8A5-612220AE6E3B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E31AE3BD-C2FC-452E-B1F7-082B3587B63E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D99594CD-3445-4571-888C-EE46A8F4E0C1}"/>
            </a:ext>
          </a:extLst>
        </xdr:cNvPr>
        <xdr:cNvCxnSpPr>
          <a:stCxn id="12" idx="3"/>
          <a:endCxn id="13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1C254BEF-D4E9-440D-8DE2-F766DD4A6B9A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89E793DB-E4E5-4F54-B79A-BD819B3B93F0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7BA0E79A-A3B5-4241-B869-287A4A8A51CE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182C2239-B28E-4939-B671-F391FF624E62}"/>
            </a:ext>
          </a:extLst>
        </xdr:cNvPr>
        <xdr:cNvCxnSpPr>
          <a:stCxn id="16" idx="3"/>
          <a:endCxn id="17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490E8B7E-31FA-4232-8ABD-059F36814BE8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68</xdr:row>
      <xdr:rowOff>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9346463A-EB51-45AE-A26C-BFE84A65EEBE}"/>
            </a:ext>
          </a:extLst>
        </xdr:cNvPr>
        <xdr:cNvSpPr/>
      </xdr:nvSpPr>
      <xdr:spPr>
        <a:xfrm>
          <a:off x="11551920" y="12329160"/>
          <a:ext cx="617219" cy="118872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68</xdr:row>
      <xdr:rowOff>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50FCEBDE-5245-4D1E-BBCC-83764537C357}"/>
            </a:ext>
          </a:extLst>
        </xdr:cNvPr>
        <xdr:cNvSpPr/>
      </xdr:nvSpPr>
      <xdr:spPr>
        <a:xfrm>
          <a:off x="12778740" y="12329160"/>
          <a:ext cx="617221" cy="118872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65</xdr:row>
      <xdr:rowOff>0</xdr:rowOff>
    </xdr:from>
    <xdr:to>
      <xdr:col>19</xdr:col>
      <xdr:colOff>0</xdr:colOff>
      <xdr:row>65</xdr:row>
      <xdr:rowOff>0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06B5B78D-4378-4501-B53C-31BE2F2B6888}"/>
            </a:ext>
          </a:extLst>
        </xdr:cNvPr>
        <xdr:cNvCxnSpPr>
          <a:stCxn id="20" idx="3"/>
          <a:endCxn id="21" idx="1"/>
        </xdr:cNvCxnSpPr>
      </xdr:nvCxnSpPr>
      <xdr:spPr>
        <a:xfrm>
          <a:off x="12169139" y="12923520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64</xdr:row>
      <xdr:rowOff>71120</xdr:rowOff>
    </xdr:from>
    <xdr:to>
      <xdr:col>18</xdr:col>
      <xdr:colOff>495300</xdr:colOff>
      <xdr:row>65</xdr:row>
      <xdr:rowOff>127000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F060EE53-F1C4-487E-AEB5-DA0A63A9A2AD}"/>
            </a:ext>
          </a:extLst>
        </xdr:cNvPr>
        <xdr:cNvSpPr/>
      </xdr:nvSpPr>
      <xdr:spPr>
        <a:xfrm>
          <a:off x="12283440" y="127965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E5B79A27-B238-44B5-BDA8-ED85C9C9FC97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36DB10E6-3DDA-46D8-8908-54EF52F7A602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70F406EB-51BA-4CEF-A9A7-E81C92CF0D76}"/>
            </a:ext>
          </a:extLst>
        </xdr:cNvPr>
        <xdr:cNvCxnSpPr>
          <a:stCxn id="24" idx="3"/>
          <a:endCxn id="25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FF092E9A-D62F-4B1A-80B0-2537A93ABCFC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25</xdr:col>
      <xdr:colOff>617219</xdr:colOff>
      <xdr:row>62</xdr:row>
      <xdr:rowOff>0</xdr:rowOff>
    </xdr:from>
    <xdr:to>
      <xdr:col>31</xdr:col>
      <xdr:colOff>617219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581326DB-1C00-4BB3-8AF4-08BCE7756331}"/>
            </a:ext>
          </a:extLst>
        </xdr:cNvPr>
        <xdr:cNvSpPr/>
      </xdr:nvSpPr>
      <xdr:spPr>
        <a:xfrm>
          <a:off x="17160239" y="12329160"/>
          <a:ext cx="374904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617219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5F36941D-28AE-4FA5-8F19-7BD45C6EC951}"/>
            </a:ext>
          </a:extLst>
        </xdr:cNvPr>
        <xdr:cNvSpPr/>
      </xdr:nvSpPr>
      <xdr:spPr>
        <a:xfrm>
          <a:off x="21526500" y="12329160"/>
          <a:ext cx="393953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31</xdr:col>
      <xdr:colOff>617219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18728A69-4388-43CC-8157-6644BA7D4B5B}"/>
            </a:ext>
          </a:extLst>
        </xdr:cNvPr>
        <xdr:cNvCxnSpPr>
          <a:stCxn id="28" idx="3"/>
          <a:endCxn id="29" idx="1"/>
        </xdr:cNvCxnSpPr>
      </xdr:nvCxnSpPr>
      <xdr:spPr>
        <a:xfrm>
          <a:off x="20909279" y="12626340"/>
          <a:ext cx="617221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4BC3D2F1-4082-4DA6-9EDC-0BA27E375C61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40</xdr:col>
      <xdr:colOff>1</xdr:colOff>
      <xdr:row>30</xdr:row>
      <xdr:rowOff>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E12F02CB-F04E-4555-8694-DD27868761BD}"/>
            </a:ext>
          </a:extLst>
        </xdr:cNvPr>
        <xdr:cNvSpPr/>
      </xdr:nvSpPr>
      <xdr:spPr>
        <a:xfrm>
          <a:off x="22270720" y="1010920"/>
          <a:ext cx="381254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15B0B8CC-976F-46BF-9D6B-4F4457459BD1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47</xdr:col>
      <xdr:colOff>0</xdr:colOff>
      <xdr:row>30</xdr:row>
      <xdr:rowOff>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A56AA1C3-BABB-49D4-A03A-78924C547697}"/>
            </a:ext>
          </a:extLst>
        </xdr:cNvPr>
        <xdr:cNvSpPr/>
      </xdr:nvSpPr>
      <xdr:spPr>
        <a:xfrm>
          <a:off x="26827479" y="1010920"/>
          <a:ext cx="37287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CE9DEBD8-21F3-416B-8B71-38F2ED1A2FA9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53</xdr:col>
      <xdr:colOff>609599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1AFD6D9B-0CAC-4105-8818-5362DD33043A}"/>
            </a:ext>
          </a:extLst>
        </xdr:cNvPr>
        <xdr:cNvSpPr/>
      </xdr:nvSpPr>
      <xdr:spPr>
        <a:xfrm>
          <a:off x="31247079" y="1010920"/>
          <a:ext cx="36449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23731D3E-DE0C-44E3-99B6-E64DCFC06E7F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61</xdr:col>
      <xdr:colOff>1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3B93B3E1-A2F0-47C1-A213-517B99F5C5D6}"/>
            </a:ext>
          </a:extLst>
        </xdr:cNvPr>
        <xdr:cNvSpPr/>
      </xdr:nvSpPr>
      <xdr:spPr>
        <a:xfrm>
          <a:off x="35582861" y="1010920"/>
          <a:ext cx="36449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66BF0ACD-CFD6-4520-8F56-AC65A8C48817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6159800F-06AB-4FA1-940A-280132EF2CBF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16A60C93-B42A-4D91-B073-E46CDEF3B52D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27E3CE73-B06E-4C9B-AFBC-3ED3D35B43BE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B77CB4D6-CFF0-4D75-987A-288E40BA122D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0FDAFB97-B1E0-4CDC-9304-06E8A790A34F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B6084570-F8AE-4017-BDDA-F2F237602F92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1E664713-361C-4807-AABE-983B9A5F624A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3462B302-8317-4889-9887-537ACA5F326F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1730BDFA-1355-43FF-AFE7-4A2074E146D8}"/>
            </a:ext>
          </a:extLst>
        </xdr:cNvPr>
        <xdr:cNvCxnSpPr>
          <a:stCxn id="8" idx="3"/>
          <a:endCxn id="9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DE638F23-CCD7-4E4B-B51D-92CE4D7A1C3B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2CA97D39-A576-4309-AC18-60A63E88C4C6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1991A037-74C2-4635-A6CE-61C5CA3CE1C3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61AE1244-E057-4E82-83E7-F121D668594B}"/>
            </a:ext>
          </a:extLst>
        </xdr:cNvPr>
        <xdr:cNvCxnSpPr>
          <a:stCxn id="12" idx="3"/>
          <a:endCxn id="13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962950D0-DFA3-414C-81AA-73DF46C49290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5754BCD4-4E21-4214-8979-37CD20306504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582D068B-984A-4EBC-B619-5489973E4C08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0EE7378A-64D9-4C13-B32A-45C8FF6E996E}"/>
            </a:ext>
          </a:extLst>
        </xdr:cNvPr>
        <xdr:cNvCxnSpPr>
          <a:stCxn id="16" idx="3"/>
          <a:endCxn id="17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A1005A85-AFCF-4105-A590-22FF5645D2E4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1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207A4BE8-57F7-4451-B18E-80CE463FD15E}"/>
            </a:ext>
          </a:extLst>
        </xdr:cNvPr>
        <xdr:cNvSpPr/>
      </xdr:nvSpPr>
      <xdr:spPr>
        <a:xfrm>
          <a:off x="11551920" y="12329160"/>
          <a:ext cx="617219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1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98A944B6-A491-41AC-A5F3-5DA497B9A1C0}"/>
            </a:ext>
          </a:extLst>
        </xdr:cNvPr>
        <xdr:cNvSpPr/>
      </xdr:nvSpPr>
      <xdr:spPr>
        <a:xfrm>
          <a:off x="12778740" y="12329160"/>
          <a:ext cx="617221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99061</xdr:rowOff>
    </xdr:from>
    <xdr:to>
      <xdr:col>19</xdr:col>
      <xdr:colOff>0</xdr:colOff>
      <xdr:row>64</xdr:row>
      <xdr:rowOff>99061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337CE0D5-26EC-4704-8115-C41CE0EE9C90}"/>
            </a:ext>
          </a:extLst>
        </xdr:cNvPr>
        <xdr:cNvCxnSpPr>
          <a:stCxn id="20" idx="3"/>
          <a:endCxn id="21" idx="1"/>
        </xdr:cNvCxnSpPr>
      </xdr:nvCxnSpPr>
      <xdr:spPr>
        <a:xfrm>
          <a:off x="12169139" y="12824461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170181</xdr:rowOff>
    </xdr:from>
    <xdr:to>
      <xdr:col>18</xdr:col>
      <xdr:colOff>495300</xdr:colOff>
      <xdr:row>65</xdr:row>
      <xdr:rowOff>27941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52CEA1B5-A13E-4BD0-9AA8-4D4DFD01341B}"/>
            </a:ext>
          </a:extLst>
        </xdr:cNvPr>
        <xdr:cNvSpPr/>
      </xdr:nvSpPr>
      <xdr:spPr>
        <a:xfrm>
          <a:off x="12283440" y="126974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6DB537A6-DE6E-4EC3-B0EB-F0D96E18EFDF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29D2F5AB-CCF6-4213-9FA1-504F432DB995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E78D700E-930D-44D4-96E6-3E8D05DA9539}"/>
            </a:ext>
          </a:extLst>
        </xdr:cNvPr>
        <xdr:cNvCxnSpPr>
          <a:stCxn id="24" idx="3"/>
          <a:endCxn id="25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6E75E334-DA6F-440F-91E6-64A75A525377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8EAE60F8-89FC-4CE0-B7C7-94EF4D2D51E5}"/>
            </a:ext>
          </a:extLst>
        </xdr:cNvPr>
        <xdr:cNvSpPr/>
      </xdr:nvSpPr>
      <xdr:spPr>
        <a:xfrm>
          <a:off x="17777461" y="12329160"/>
          <a:ext cx="313181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B67635B1-FEE5-4773-8611-2601812AFDFB}"/>
            </a:ext>
          </a:extLst>
        </xdr:cNvPr>
        <xdr:cNvSpPr/>
      </xdr:nvSpPr>
      <xdr:spPr>
        <a:xfrm>
          <a:off x="21526500" y="12329160"/>
          <a:ext cx="332232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DA3503C8-5F64-4514-A979-4A1C04CEB49C}"/>
            </a:ext>
          </a:extLst>
        </xdr:cNvPr>
        <xdr:cNvCxnSpPr>
          <a:stCxn id="28" idx="3"/>
          <a:endCxn id="29" idx="1"/>
        </xdr:cNvCxnSpPr>
      </xdr:nvCxnSpPr>
      <xdr:spPr>
        <a:xfrm>
          <a:off x="20909280" y="1262634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C1D6F102-63ED-4ED1-B921-0B1B06BB1B61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40</xdr:col>
      <xdr:colOff>731519</xdr:colOff>
      <xdr:row>62</xdr:row>
      <xdr:rowOff>0</xdr:rowOff>
    </xdr:from>
    <xdr:to>
      <xdr:col>42</xdr:col>
      <xdr:colOff>0</xdr:colOff>
      <xdr:row>65</xdr:row>
      <xdr:rowOff>198119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6454A48A-AAA3-4F43-B074-0C00CAF6E60E}"/>
            </a:ext>
          </a:extLst>
        </xdr:cNvPr>
        <xdr:cNvSpPr/>
      </xdr:nvSpPr>
      <xdr:spPr>
        <a:xfrm>
          <a:off x="26814779" y="12329160"/>
          <a:ext cx="617221" cy="792479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43</xdr:col>
      <xdr:colOff>1</xdr:colOff>
      <xdr:row>62</xdr:row>
      <xdr:rowOff>0</xdr:rowOff>
    </xdr:from>
    <xdr:to>
      <xdr:col>44</xdr:col>
      <xdr:colOff>0</xdr:colOff>
      <xdr:row>65</xdr:row>
      <xdr:rowOff>198119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941567EE-1751-4C5F-983D-029E5F5E16BB}"/>
            </a:ext>
          </a:extLst>
        </xdr:cNvPr>
        <xdr:cNvSpPr/>
      </xdr:nvSpPr>
      <xdr:spPr>
        <a:xfrm>
          <a:off x="28049221" y="12329160"/>
          <a:ext cx="678179" cy="792479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CC0099"/>
              </a:solidFill>
            </a:rPr>
            <a:t>=</a:t>
          </a:r>
        </a:p>
      </xdr:txBody>
    </xdr:sp>
    <xdr:clientData/>
  </xdr:twoCellAnchor>
  <xdr:twoCellAnchor>
    <xdr:from>
      <xdr:col>42</xdr:col>
      <xdr:colOff>0</xdr:colOff>
      <xdr:row>64</xdr:row>
      <xdr:rowOff>0</xdr:rowOff>
    </xdr:from>
    <xdr:to>
      <xdr:col>43</xdr:col>
      <xdr:colOff>1</xdr:colOff>
      <xdr:row>64</xdr:row>
      <xdr:rowOff>0</xdr:rowOff>
    </xdr:to>
    <xdr:cxnSp macro="">
      <xdr:nvCxnSpPr>
        <xdr:cNvPr id="34" name="OpenSolver33">
          <a:extLst>
            <a:ext uri="{FF2B5EF4-FFF2-40B4-BE49-F238E27FC236}">
              <a16:creationId xmlns:a16="http://schemas.microsoft.com/office/drawing/2014/main" id="{8A2C1EEC-74F9-4BE6-AEFB-0C86836FEFF2}"/>
            </a:ext>
          </a:extLst>
        </xdr:cNvPr>
        <xdr:cNvCxnSpPr>
          <a:stCxn id="32" idx="3"/>
          <a:endCxn id="33" idx="1"/>
        </xdr:cNvCxnSpPr>
      </xdr:nvCxnSpPr>
      <xdr:spPr>
        <a:xfrm>
          <a:off x="27432000" y="12725400"/>
          <a:ext cx="617221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118111</xdr:colOff>
      <xdr:row>63</xdr:row>
      <xdr:rowOff>71120</xdr:rowOff>
    </xdr:from>
    <xdr:to>
      <xdr:col>42</xdr:col>
      <xdr:colOff>499111</xdr:colOff>
      <xdr:row>64</xdr:row>
      <xdr:rowOff>127000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50ACA6C6-687E-4C9E-A2F0-E27F74CF132E}"/>
            </a:ext>
          </a:extLst>
        </xdr:cNvPr>
        <xdr:cNvSpPr/>
      </xdr:nvSpPr>
      <xdr:spPr>
        <a:xfrm>
          <a:off x="27550111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626F4DEE-0FC4-4408-A865-4DF4B2B6EF4B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FE038EF9-3BB6-437F-8D02-393C6A4CF9F0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20349500-6065-4F6F-AE98-5158536F3082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6F94FCDB-75B6-41B3-A00D-D8C4799E082D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33295E30-10A6-4703-995E-D5A72E21AC86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1A8E8080-33D6-4B0B-895E-D442E454B2F9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42" name="OpenSolver41">
          <a:extLst>
            <a:ext uri="{FF2B5EF4-FFF2-40B4-BE49-F238E27FC236}">
              <a16:creationId xmlns:a16="http://schemas.microsoft.com/office/drawing/2014/main" id="{4DF19EE2-FD2A-4940-A65B-51BAFB449351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43" name="OpenSolver42">
          <a:extLst>
            <a:ext uri="{FF2B5EF4-FFF2-40B4-BE49-F238E27FC236}">
              <a16:creationId xmlns:a16="http://schemas.microsoft.com/office/drawing/2014/main" id="{ED60C742-CB8E-4038-88B9-A48EE08CC08A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</xdr:colOff>
      <xdr:row>5</xdr:row>
      <xdr:rowOff>0</xdr:rowOff>
    </xdr:from>
    <xdr:to>
      <xdr:col>39</xdr:col>
      <xdr:colOff>0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7F738FF7-1070-4988-BB96-203088CA92D6}"/>
            </a:ext>
          </a:extLst>
        </xdr:cNvPr>
        <xdr:cNvSpPr/>
      </xdr:nvSpPr>
      <xdr:spPr>
        <a:xfrm>
          <a:off x="22730461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1</xdr:colOff>
      <xdr:row>5</xdr:row>
      <xdr:rowOff>0</xdr:rowOff>
    </xdr:from>
    <xdr:to>
      <xdr:col>46</xdr:col>
      <xdr:colOff>2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20EEBA8A-3F32-4AF3-A478-0952D459F8A4}"/>
            </a:ext>
          </a:extLst>
        </xdr:cNvPr>
        <xdr:cNvSpPr/>
      </xdr:nvSpPr>
      <xdr:spPr>
        <a:xfrm>
          <a:off x="27287221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1</xdr:colOff>
      <xdr:row>5</xdr:row>
      <xdr:rowOff>0</xdr:rowOff>
    </xdr:from>
    <xdr:to>
      <xdr:col>53</xdr:col>
      <xdr:colOff>1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BEB26575-0CC9-45C8-A908-9E4442A4F572}"/>
            </a:ext>
          </a:extLst>
        </xdr:cNvPr>
        <xdr:cNvSpPr/>
      </xdr:nvSpPr>
      <xdr:spPr>
        <a:xfrm>
          <a:off x="3170682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5</xdr:row>
      <xdr:rowOff>0</xdr:rowOff>
    </xdr:from>
    <xdr:to>
      <xdr:col>60</xdr:col>
      <xdr:colOff>0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6D78EC16-A9F3-49AB-B8B2-6C42A7EDADB2}"/>
            </a:ext>
          </a:extLst>
        </xdr:cNvPr>
        <xdr:cNvSpPr/>
      </xdr:nvSpPr>
      <xdr:spPr>
        <a:xfrm>
          <a:off x="36042600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BEEFFEE8-9F4A-4AE2-86F1-AF6CE9CFC96F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93468138-E0E1-476E-B640-2463CE889CB5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C462105D-D232-49D0-8B7D-5ECFCDCA50B4}"/>
            </a:ext>
          </a:extLst>
        </xdr:cNvPr>
        <xdr:cNvSpPr/>
      </xdr:nvSpPr>
      <xdr:spPr>
        <a:xfrm>
          <a:off x="1485900" y="12329160"/>
          <a:ext cx="12268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3EF27BA2-753C-4041-8C80-97B34AF25131}"/>
            </a:ext>
          </a:extLst>
        </xdr:cNvPr>
        <xdr:cNvSpPr/>
      </xdr:nvSpPr>
      <xdr:spPr>
        <a:xfrm>
          <a:off x="35814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91440</xdr:rowOff>
    </xdr:from>
    <xdr:to>
      <xdr:col>4</xdr:col>
      <xdr:colOff>0</xdr:colOff>
      <xdr:row>74</xdr:row>
      <xdr:rowOff>91440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251ADD01-3003-4A52-963A-F52AF8C5D060}"/>
            </a:ext>
          </a:extLst>
        </xdr:cNvPr>
        <xdr:cNvCxnSpPr>
          <a:stCxn id="8" idx="3"/>
          <a:endCxn id="9" idx="1"/>
        </xdr:cNvCxnSpPr>
      </xdr:nvCxnSpPr>
      <xdr:spPr>
        <a:xfrm>
          <a:off x="2712720" y="14813280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162560</xdr:rowOff>
    </xdr:from>
    <xdr:to>
      <xdr:col>3</xdr:col>
      <xdr:colOff>624840</xdr:colOff>
      <xdr:row>75</xdr:row>
      <xdr:rowOff>20320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6E5DF2C0-0D0C-4A37-BA96-4BBC6D324684}"/>
            </a:ext>
          </a:extLst>
        </xdr:cNvPr>
        <xdr:cNvSpPr/>
      </xdr:nvSpPr>
      <xdr:spPr>
        <a:xfrm>
          <a:off x="295656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6F39223D-E7F2-4A1F-9E81-2D81965AE9C5}"/>
            </a:ext>
          </a:extLst>
        </xdr:cNvPr>
        <xdr:cNvSpPr/>
      </xdr:nvSpPr>
      <xdr:spPr>
        <a:xfrm>
          <a:off x="55778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6F557D82-CE5B-4D51-9CF8-AB2A707FFE9D}"/>
            </a:ext>
          </a:extLst>
        </xdr:cNvPr>
        <xdr:cNvSpPr/>
      </xdr:nvSpPr>
      <xdr:spPr>
        <a:xfrm>
          <a:off x="70256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9</xdr:col>
      <xdr:colOff>0</xdr:colOff>
      <xdr:row>74</xdr:row>
      <xdr:rowOff>91440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5D591BEF-F9F0-4AC2-B095-31AD21865763}"/>
            </a:ext>
          </a:extLst>
        </xdr:cNvPr>
        <xdr:cNvCxnSpPr>
          <a:stCxn id="12" idx="3"/>
          <a:endCxn id="13" idx="1"/>
        </xdr:cNvCxnSpPr>
      </xdr:nvCxnSpPr>
      <xdr:spPr>
        <a:xfrm>
          <a:off x="6195060" y="14813280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162560</xdr:rowOff>
    </xdr:from>
    <xdr:to>
      <xdr:col>8</xdr:col>
      <xdr:colOff>605790</xdr:colOff>
      <xdr:row>75</xdr:row>
      <xdr:rowOff>20320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D0E0F908-8DB2-4C59-ABA7-CA3253303729}"/>
            </a:ext>
          </a:extLst>
        </xdr:cNvPr>
        <xdr:cNvSpPr/>
      </xdr:nvSpPr>
      <xdr:spPr>
        <a:xfrm>
          <a:off x="641985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3E712441-8D4E-43CE-9D0E-4011288653C1}"/>
            </a:ext>
          </a:extLst>
        </xdr:cNvPr>
        <xdr:cNvSpPr/>
      </xdr:nvSpPr>
      <xdr:spPr>
        <a:xfrm>
          <a:off x="88773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B16A64E2-9578-46F5-A5F0-EAF2861C5ADE}"/>
            </a:ext>
          </a:extLst>
        </xdr:cNvPr>
        <xdr:cNvSpPr/>
      </xdr:nvSpPr>
      <xdr:spPr>
        <a:xfrm>
          <a:off x="101117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91440</xdr:rowOff>
    </xdr:from>
    <xdr:to>
      <xdr:col>14</xdr:col>
      <xdr:colOff>0</xdr:colOff>
      <xdr:row>74</xdr:row>
      <xdr:rowOff>91440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2171E10B-400E-4A82-B997-17735530EE59}"/>
            </a:ext>
          </a:extLst>
        </xdr:cNvPr>
        <xdr:cNvCxnSpPr>
          <a:stCxn id="16" idx="3"/>
          <a:endCxn id="17" idx="1"/>
        </xdr:cNvCxnSpPr>
      </xdr:nvCxnSpPr>
      <xdr:spPr>
        <a:xfrm>
          <a:off x="9494520" y="14813280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162560</xdr:rowOff>
    </xdr:from>
    <xdr:to>
      <xdr:col>13</xdr:col>
      <xdr:colOff>499110</xdr:colOff>
      <xdr:row>75</xdr:row>
      <xdr:rowOff>20320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3F0BB52C-F07E-4D31-B3B3-248BB06FC459}"/>
            </a:ext>
          </a:extLst>
        </xdr:cNvPr>
        <xdr:cNvSpPr/>
      </xdr:nvSpPr>
      <xdr:spPr>
        <a:xfrm>
          <a:off x="961263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18</xdr:col>
      <xdr:colOff>0</xdr:colOff>
      <xdr:row>67</xdr:row>
      <xdr:rowOff>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83278FE2-17BC-4300-98DB-83CB51175F9D}"/>
            </a:ext>
          </a:extLst>
        </xdr:cNvPr>
        <xdr:cNvSpPr/>
      </xdr:nvSpPr>
      <xdr:spPr>
        <a:xfrm>
          <a:off x="1202436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52BADF53-FAF9-413C-A9A4-E423294CDA8F}"/>
            </a:ext>
          </a:extLst>
        </xdr:cNvPr>
        <xdr:cNvSpPr/>
      </xdr:nvSpPr>
      <xdr:spPr>
        <a:xfrm>
          <a:off x="1325118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64</xdr:row>
      <xdr:rowOff>91440</xdr:rowOff>
    </xdr:from>
    <xdr:to>
      <xdr:col>19</xdr:col>
      <xdr:colOff>0</xdr:colOff>
      <xdr:row>64</xdr:row>
      <xdr:rowOff>91440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DBCFF424-A10E-45E0-A1BC-8F0BD34BA32A}"/>
            </a:ext>
          </a:extLst>
        </xdr:cNvPr>
        <xdr:cNvCxnSpPr>
          <a:stCxn id="20" idx="3"/>
          <a:endCxn id="21" idx="1"/>
        </xdr:cNvCxnSpPr>
      </xdr:nvCxnSpPr>
      <xdr:spPr>
        <a:xfrm>
          <a:off x="12641580" y="12832080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170180</xdr:rowOff>
    </xdr:from>
    <xdr:to>
      <xdr:col>18</xdr:col>
      <xdr:colOff>495300</xdr:colOff>
      <xdr:row>65</xdr:row>
      <xdr:rowOff>20320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BB2546F9-BBF2-4120-B94B-57649EB3E7A0}"/>
            </a:ext>
          </a:extLst>
        </xdr:cNvPr>
        <xdr:cNvSpPr/>
      </xdr:nvSpPr>
      <xdr:spPr>
        <a:xfrm>
          <a:off x="12755880" y="127050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617219</xdr:colOff>
      <xdr:row>66</xdr:row>
      <xdr:rowOff>0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55E4869E-544F-47B5-BAF8-B3393201410C}"/>
            </a:ext>
          </a:extLst>
        </xdr:cNvPr>
        <xdr:cNvSpPr/>
      </xdr:nvSpPr>
      <xdr:spPr>
        <a:xfrm>
          <a:off x="15095220" y="12329160"/>
          <a:ext cx="617219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23</xdr:col>
      <xdr:colOff>685799</xdr:colOff>
      <xdr:row>62</xdr:row>
      <xdr:rowOff>0</xdr:rowOff>
    </xdr:from>
    <xdr:to>
      <xdr:col>24</xdr:col>
      <xdr:colOff>617219</xdr:colOff>
      <xdr:row>66</xdr:row>
      <xdr:rowOff>0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B18B3BED-5D47-4A79-B4B6-F5E146826943}"/>
            </a:ext>
          </a:extLst>
        </xdr:cNvPr>
        <xdr:cNvSpPr/>
      </xdr:nvSpPr>
      <xdr:spPr>
        <a:xfrm>
          <a:off x="16398239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22</xdr:col>
      <xdr:colOff>617219</xdr:colOff>
      <xdr:row>63</xdr:row>
      <xdr:rowOff>198120</xdr:rowOff>
    </xdr:from>
    <xdr:to>
      <xdr:col>23</xdr:col>
      <xdr:colOff>685799</xdr:colOff>
      <xdr:row>63</xdr:row>
      <xdr:rowOff>198120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59D530D4-92A1-43D6-83BE-D7C35D895C5D}"/>
            </a:ext>
          </a:extLst>
        </xdr:cNvPr>
        <xdr:cNvCxnSpPr>
          <a:stCxn id="24" idx="3"/>
          <a:endCxn id="25" idx="1"/>
        </xdr:cNvCxnSpPr>
      </xdr:nvCxnSpPr>
      <xdr:spPr>
        <a:xfrm>
          <a:off x="15712439" y="1273302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152399</xdr:colOff>
      <xdr:row>63</xdr:row>
      <xdr:rowOff>71120</xdr:rowOff>
    </xdr:from>
    <xdr:to>
      <xdr:col>23</xdr:col>
      <xdr:colOff>533399</xdr:colOff>
      <xdr:row>64</xdr:row>
      <xdr:rowOff>119380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858307CD-0B52-4B28-A174-07C7E58D4DCF}"/>
            </a:ext>
          </a:extLst>
        </xdr:cNvPr>
        <xdr:cNvSpPr/>
      </xdr:nvSpPr>
      <xdr:spPr>
        <a:xfrm>
          <a:off x="15864839" y="126060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A64B965D-7258-40CD-B769-406C0BDABBBD}"/>
            </a:ext>
          </a:extLst>
        </xdr:cNvPr>
        <xdr:cNvSpPr/>
      </xdr:nvSpPr>
      <xdr:spPr>
        <a:xfrm>
          <a:off x="18249900" y="12329160"/>
          <a:ext cx="31318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32</xdr:col>
      <xdr:colOff>617219</xdr:colOff>
      <xdr:row>62</xdr:row>
      <xdr:rowOff>0</xdr:rowOff>
    </xdr:from>
    <xdr:to>
      <xdr:col>37</xdr:col>
      <xdr:colOff>678179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9C044B50-321C-4685-9184-052BB9BCCF61}"/>
            </a:ext>
          </a:extLst>
        </xdr:cNvPr>
        <xdr:cNvSpPr/>
      </xdr:nvSpPr>
      <xdr:spPr>
        <a:xfrm>
          <a:off x="21998939" y="12329160"/>
          <a:ext cx="33223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32</xdr:col>
      <xdr:colOff>617219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8DFC3EB6-B15C-4277-8D4C-C5AAE1BB569B}"/>
            </a:ext>
          </a:extLst>
        </xdr:cNvPr>
        <xdr:cNvCxnSpPr>
          <a:stCxn id="28" idx="3"/>
          <a:endCxn id="29" idx="1"/>
        </xdr:cNvCxnSpPr>
      </xdr:nvCxnSpPr>
      <xdr:spPr>
        <a:xfrm>
          <a:off x="21381720" y="12633960"/>
          <a:ext cx="617219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118109</xdr:colOff>
      <xdr:row>62</xdr:row>
      <xdr:rowOff>177800</xdr:rowOff>
    </xdr:from>
    <xdr:to>
      <xdr:col>32</xdr:col>
      <xdr:colOff>499109</xdr:colOff>
      <xdr:row>64</xdr:row>
      <xdr:rowOff>20320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24FB07A5-AEE9-4F50-9C7C-55E0B0853037}"/>
            </a:ext>
          </a:extLst>
        </xdr:cNvPr>
        <xdr:cNvSpPr/>
      </xdr:nvSpPr>
      <xdr:spPr>
        <a:xfrm>
          <a:off x="21499829" y="1250696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12701</xdr:colOff>
      <xdr:row>5</xdr:row>
      <xdr:rowOff>12700</xdr:rowOff>
    </xdr:from>
    <xdr:to>
      <xdr:col>39</xdr:col>
      <xdr:colOff>0</xdr:colOff>
      <xdr:row>30</xdr:row>
      <xdr:rowOff>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9244840A-1317-463C-9BF0-E58F5A28896B}"/>
            </a:ext>
          </a:extLst>
        </xdr:cNvPr>
        <xdr:cNvSpPr/>
      </xdr:nvSpPr>
      <xdr:spPr>
        <a:xfrm>
          <a:off x="22743161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2540</xdr:colOff>
      <xdr:row>4</xdr:row>
      <xdr:rowOff>139700</xdr:rowOff>
    </xdr:from>
    <xdr:to>
      <xdr:col>34</xdr:col>
      <xdr:colOff>323782</xdr:colOff>
      <xdr:row>5</xdr:row>
      <xdr:rowOff>68580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6A9E4C94-AB34-4FD6-A226-FB34D233DAE7}"/>
            </a:ext>
          </a:extLst>
        </xdr:cNvPr>
        <xdr:cNvSpPr/>
      </xdr:nvSpPr>
      <xdr:spPr>
        <a:xfrm>
          <a:off x="227330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12701</xdr:colOff>
      <xdr:row>5</xdr:row>
      <xdr:rowOff>12700</xdr:rowOff>
    </xdr:from>
    <xdr:to>
      <xdr:col>46</xdr:col>
      <xdr:colOff>2</xdr:colOff>
      <xdr:row>30</xdr:row>
      <xdr:rowOff>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5AE86395-EF49-4093-9BF9-8326A095039A}"/>
            </a:ext>
          </a:extLst>
        </xdr:cNvPr>
        <xdr:cNvSpPr/>
      </xdr:nvSpPr>
      <xdr:spPr>
        <a:xfrm>
          <a:off x="27299921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5080</xdr:colOff>
      <xdr:row>4</xdr:row>
      <xdr:rowOff>139700</xdr:rowOff>
    </xdr:from>
    <xdr:to>
      <xdr:col>41</xdr:col>
      <xdr:colOff>326322</xdr:colOff>
      <xdr:row>5</xdr:row>
      <xdr:rowOff>68580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5D9BFF87-2326-43BA-B1C7-AA8CB72010C4}"/>
            </a:ext>
          </a:extLst>
        </xdr:cNvPr>
        <xdr:cNvSpPr/>
      </xdr:nvSpPr>
      <xdr:spPr>
        <a:xfrm>
          <a:off x="27292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12701</xdr:colOff>
      <xdr:row>5</xdr:row>
      <xdr:rowOff>12700</xdr:rowOff>
    </xdr:from>
    <xdr:to>
      <xdr:col>53</xdr:col>
      <xdr:colOff>1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F7E2DE76-4D8C-45D0-8D33-8844814D0606}"/>
            </a:ext>
          </a:extLst>
        </xdr:cNvPr>
        <xdr:cNvSpPr/>
      </xdr:nvSpPr>
      <xdr:spPr>
        <a:xfrm>
          <a:off x="3171952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5080</xdr:colOff>
      <xdr:row>4</xdr:row>
      <xdr:rowOff>139700</xdr:rowOff>
    </xdr:from>
    <xdr:to>
      <xdr:col>48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4D8F7986-5173-40FD-8909-247504A00160}"/>
            </a:ext>
          </a:extLst>
        </xdr:cNvPr>
        <xdr:cNvSpPr/>
      </xdr:nvSpPr>
      <xdr:spPr>
        <a:xfrm>
          <a:off x="317119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12700</xdr:colOff>
      <xdr:row>5</xdr:row>
      <xdr:rowOff>12700</xdr:rowOff>
    </xdr:from>
    <xdr:to>
      <xdr:col>60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E5E8C134-3F59-42A3-9254-889CB885BEB9}"/>
            </a:ext>
          </a:extLst>
        </xdr:cNvPr>
        <xdr:cNvSpPr/>
      </xdr:nvSpPr>
      <xdr:spPr>
        <a:xfrm>
          <a:off x="36055300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4</xdr:row>
      <xdr:rowOff>139700</xdr:rowOff>
    </xdr:from>
    <xdr:to>
      <xdr:col>55</xdr:col>
      <xdr:colOff>321242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4DC52C96-C7D0-433A-82DB-6952DDA3C991}"/>
            </a:ext>
          </a:extLst>
        </xdr:cNvPr>
        <xdr:cNvSpPr/>
      </xdr:nvSpPr>
      <xdr:spPr>
        <a:xfrm>
          <a:off x="360426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</xdr:colOff>
      <xdr:row>5</xdr:row>
      <xdr:rowOff>0</xdr:rowOff>
    </xdr:from>
    <xdr:to>
      <xdr:col>39</xdr:col>
      <xdr:colOff>0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EEAF6E5D-7D1E-4867-821A-A5DF013B2D4E}"/>
            </a:ext>
          </a:extLst>
        </xdr:cNvPr>
        <xdr:cNvSpPr/>
      </xdr:nvSpPr>
      <xdr:spPr>
        <a:xfrm>
          <a:off x="22730461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1</xdr:colOff>
      <xdr:row>5</xdr:row>
      <xdr:rowOff>0</xdr:rowOff>
    </xdr:from>
    <xdr:to>
      <xdr:col>46</xdr:col>
      <xdr:colOff>2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FE6E2FD7-3C87-487A-85B4-84689BD34031}"/>
            </a:ext>
          </a:extLst>
        </xdr:cNvPr>
        <xdr:cNvSpPr/>
      </xdr:nvSpPr>
      <xdr:spPr>
        <a:xfrm>
          <a:off x="27287221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1</xdr:colOff>
      <xdr:row>5</xdr:row>
      <xdr:rowOff>0</xdr:rowOff>
    </xdr:from>
    <xdr:to>
      <xdr:col>53</xdr:col>
      <xdr:colOff>1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4399A6E0-87DD-4FAA-9BCE-0FB2D8AD03BC}"/>
            </a:ext>
          </a:extLst>
        </xdr:cNvPr>
        <xdr:cNvSpPr/>
      </xdr:nvSpPr>
      <xdr:spPr>
        <a:xfrm>
          <a:off x="3170682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5</xdr:row>
      <xdr:rowOff>0</xdr:rowOff>
    </xdr:from>
    <xdr:to>
      <xdr:col>60</xdr:col>
      <xdr:colOff>0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1B16A823-ADF6-45E3-B87A-B89C4F7ED79A}"/>
            </a:ext>
          </a:extLst>
        </xdr:cNvPr>
        <xdr:cNvSpPr/>
      </xdr:nvSpPr>
      <xdr:spPr>
        <a:xfrm>
          <a:off x="36042600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A4087D56-27D5-457C-AE0B-20A09C7B5022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FAB0D21B-0CDB-412C-9FFB-E3366B003A72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5332A650-C7AC-4E14-97BC-7C40465919BE}"/>
            </a:ext>
          </a:extLst>
        </xdr:cNvPr>
        <xdr:cNvSpPr/>
      </xdr:nvSpPr>
      <xdr:spPr>
        <a:xfrm>
          <a:off x="1485900" y="12329160"/>
          <a:ext cx="12268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E07B470C-6FBC-40FA-9B3F-8E1A63BA8D21}"/>
            </a:ext>
          </a:extLst>
        </xdr:cNvPr>
        <xdr:cNvSpPr/>
      </xdr:nvSpPr>
      <xdr:spPr>
        <a:xfrm>
          <a:off x="35814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91440</xdr:rowOff>
    </xdr:from>
    <xdr:to>
      <xdr:col>4</xdr:col>
      <xdr:colOff>0</xdr:colOff>
      <xdr:row>74</xdr:row>
      <xdr:rowOff>91440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D0CB033E-A83D-4562-85CF-0507E3104F38}"/>
            </a:ext>
          </a:extLst>
        </xdr:cNvPr>
        <xdr:cNvCxnSpPr>
          <a:stCxn id="8" idx="3"/>
          <a:endCxn id="9" idx="1"/>
        </xdr:cNvCxnSpPr>
      </xdr:nvCxnSpPr>
      <xdr:spPr>
        <a:xfrm>
          <a:off x="2712720" y="14813280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162560</xdr:rowOff>
    </xdr:from>
    <xdr:to>
      <xdr:col>3</xdr:col>
      <xdr:colOff>624840</xdr:colOff>
      <xdr:row>75</xdr:row>
      <xdr:rowOff>20320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79E5A32F-2FF1-492D-A590-B56B7178F040}"/>
            </a:ext>
          </a:extLst>
        </xdr:cNvPr>
        <xdr:cNvSpPr/>
      </xdr:nvSpPr>
      <xdr:spPr>
        <a:xfrm>
          <a:off x="295656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FACF4902-297C-4A00-AD33-99C1184FBE7B}"/>
            </a:ext>
          </a:extLst>
        </xdr:cNvPr>
        <xdr:cNvSpPr/>
      </xdr:nvSpPr>
      <xdr:spPr>
        <a:xfrm>
          <a:off x="55778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92218B83-9860-4C61-B891-2CC7681A4A2F}"/>
            </a:ext>
          </a:extLst>
        </xdr:cNvPr>
        <xdr:cNvSpPr/>
      </xdr:nvSpPr>
      <xdr:spPr>
        <a:xfrm>
          <a:off x="70256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9</xdr:col>
      <xdr:colOff>0</xdr:colOff>
      <xdr:row>74</xdr:row>
      <xdr:rowOff>91440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13A3E6DA-D028-4C73-9357-8D5E173698C4}"/>
            </a:ext>
          </a:extLst>
        </xdr:cNvPr>
        <xdr:cNvCxnSpPr>
          <a:stCxn id="12" idx="3"/>
          <a:endCxn id="13" idx="1"/>
        </xdr:cNvCxnSpPr>
      </xdr:nvCxnSpPr>
      <xdr:spPr>
        <a:xfrm>
          <a:off x="6195060" y="14813280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162560</xdr:rowOff>
    </xdr:from>
    <xdr:to>
      <xdr:col>8</xdr:col>
      <xdr:colOff>605790</xdr:colOff>
      <xdr:row>75</xdr:row>
      <xdr:rowOff>20320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1A24E89B-3AB9-4D3D-B19F-5C6A7CFA1B38}"/>
            </a:ext>
          </a:extLst>
        </xdr:cNvPr>
        <xdr:cNvSpPr/>
      </xdr:nvSpPr>
      <xdr:spPr>
        <a:xfrm>
          <a:off x="641985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C9582061-5CC0-4BFB-AAAA-6964FA70F3AA}"/>
            </a:ext>
          </a:extLst>
        </xdr:cNvPr>
        <xdr:cNvSpPr/>
      </xdr:nvSpPr>
      <xdr:spPr>
        <a:xfrm>
          <a:off x="88773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33C4B274-4834-458F-8165-698346B67A6A}"/>
            </a:ext>
          </a:extLst>
        </xdr:cNvPr>
        <xdr:cNvSpPr/>
      </xdr:nvSpPr>
      <xdr:spPr>
        <a:xfrm>
          <a:off x="101117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91440</xdr:rowOff>
    </xdr:from>
    <xdr:to>
      <xdr:col>14</xdr:col>
      <xdr:colOff>0</xdr:colOff>
      <xdr:row>74</xdr:row>
      <xdr:rowOff>91440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C08AC20E-101C-437A-BADB-1D4D81AEE90D}"/>
            </a:ext>
          </a:extLst>
        </xdr:cNvPr>
        <xdr:cNvCxnSpPr>
          <a:stCxn id="16" idx="3"/>
          <a:endCxn id="17" idx="1"/>
        </xdr:cNvCxnSpPr>
      </xdr:nvCxnSpPr>
      <xdr:spPr>
        <a:xfrm>
          <a:off x="9494520" y="14813280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162560</xdr:rowOff>
    </xdr:from>
    <xdr:to>
      <xdr:col>13</xdr:col>
      <xdr:colOff>499110</xdr:colOff>
      <xdr:row>75</xdr:row>
      <xdr:rowOff>20320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F31AA63F-1A6F-4EB4-A908-755E0792C750}"/>
            </a:ext>
          </a:extLst>
        </xdr:cNvPr>
        <xdr:cNvSpPr/>
      </xdr:nvSpPr>
      <xdr:spPr>
        <a:xfrm>
          <a:off x="961263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18</xdr:col>
      <xdr:colOff>0</xdr:colOff>
      <xdr:row>67</xdr:row>
      <xdr:rowOff>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D18451F7-122B-4552-90CD-B7AB69FBCA0C}"/>
            </a:ext>
          </a:extLst>
        </xdr:cNvPr>
        <xdr:cNvSpPr/>
      </xdr:nvSpPr>
      <xdr:spPr>
        <a:xfrm>
          <a:off x="1202436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022099D0-56D5-4841-A410-E3F4DB1B56D5}"/>
            </a:ext>
          </a:extLst>
        </xdr:cNvPr>
        <xdr:cNvSpPr/>
      </xdr:nvSpPr>
      <xdr:spPr>
        <a:xfrm>
          <a:off x="1325118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64</xdr:row>
      <xdr:rowOff>91440</xdr:rowOff>
    </xdr:from>
    <xdr:to>
      <xdr:col>19</xdr:col>
      <xdr:colOff>0</xdr:colOff>
      <xdr:row>64</xdr:row>
      <xdr:rowOff>91440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AFFCEF03-CD39-49EB-B4CD-E14167CFF434}"/>
            </a:ext>
          </a:extLst>
        </xdr:cNvPr>
        <xdr:cNvCxnSpPr>
          <a:stCxn id="20" idx="3"/>
          <a:endCxn id="21" idx="1"/>
        </xdr:cNvCxnSpPr>
      </xdr:nvCxnSpPr>
      <xdr:spPr>
        <a:xfrm>
          <a:off x="12641580" y="12832080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170180</xdr:rowOff>
    </xdr:from>
    <xdr:to>
      <xdr:col>18</xdr:col>
      <xdr:colOff>495300</xdr:colOff>
      <xdr:row>65</xdr:row>
      <xdr:rowOff>20320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8C789C83-7202-46DE-8AE8-01462BAD1D7F}"/>
            </a:ext>
          </a:extLst>
        </xdr:cNvPr>
        <xdr:cNvSpPr/>
      </xdr:nvSpPr>
      <xdr:spPr>
        <a:xfrm>
          <a:off x="12755880" y="127050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617219</xdr:colOff>
      <xdr:row>66</xdr:row>
      <xdr:rowOff>0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89FD3011-CB4A-4E0F-B1A6-D9C7BD723494}"/>
            </a:ext>
          </a:extLst>
        </xdr:cNvPr>
        <xdr:cNvSpPr/>
      </xdr:nvSpPr>
      <xdr:spPr>
        <a:xfrm>
          <a:off x="15095220" y="12329160"/>
          <a:ext cx="617219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23</xdr:col>
      <xdr:colOff>685799</xdr:colOff>
      <xdr:row>62</xdr:row>
      <xdr:rowOff>0</xdr:rowOff>
    </xdr:from>
    <xdr:to>
      <xdr:col>24</xdr:col>
      <xdr:colOff>617219</xdr:colOff>
      <xdr:row>66</xdr:row>
      <xdr:rowOff>0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DC259889-DF8C-4AFB-9FD7-23A037E4F0DD}"/>
            </a:ext>
          </a:extLst>
        </xdr:cNvPr>
        <xdr:cNvSpPr/>
      </xdr:nvSpPr>
      <xdr:spPr>
        <a:xfrm>
          <a:off x="16398239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22</xdr:col>
      <xdr:colOff>617219</xdr:colOff>
      <xdr:row>63</xdr:row>
      <xdr:rowOff>198120</xdr:rowOff>
    </xdr:from>
    <xdr:to>
      <xdr:col>23</xdr:col>
      <xdr:colOff>685799</xdr:colOff>
      <xdr:row>63</xdr:row>
      <xdr:rowOff>198120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93EFC16F-5004-4AB6-A1C4-646BE204EDFD}"/>
            </a:ext>
          </a:extLst>
        </xdr:cNvPr>
        <xdr:cNvCxnSpPr>
          <a:stCxn id="24" idx="3"/>
          <a:endCxn id="25" idx="1"/>
        </xdr:cNvCxnSpPr>
      </xdr:nvCxnSpPr>
      <xdr:spPr>
        <a:xfrm>
          <a:off x="15712439" y="1273302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152399</xdr:colOff>
      <xdr:row>63</xdr:row>
      <xdr:rowOff>71120</xdr:rowOff>
    </xdr:from>
    <xdr:to>
      <xdr:col>23</xdr:col>
      <xdr:colOff>533399</xdr:colOff>
      <xdr:row>64</xdr:row>
      <xdr:rowOff>119380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11B35BBF-FE14-4359-8048-832001517784}"/>
            </a:ext>
          </a:extLst>
        </xdr:cNvPr>
        <xdr:cNvSpPr/>
      </xdr:nvSpPr>
      <xdr:spPr>
        <a:xfrm>
          <a:off x="15864839" y="126060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FD579CD0-6F0D-4F30-AB42-9BA8AC6D0E92}"/>
            </a:ext>
          </a:extLst>
        </xdr:cNvPr>
        <xdr:cNvSpPr/>
      </xdr:nvSpPr>
      <xdr:spPr>
        <a:xfrm>
          <a:off x="18249900" y="12329160"/>
          <a:ext cx="31318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32</xdr:col>
      <xdr:colOff>617219</xdr:colOff>
      <xdr:row>62</xdr:row>
      <xdr:rowOff>0</xdr:rowOff>
    </xdr:from>
    <xdr:to>
      <xdr:col>37</xdr:col>
      <xdr:colOff>678179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924AD9EA-D845-4B6E-8088-808E63895259}"/>
            </a:ext>
          </a:extLst>
        </xdr:cNvPr>
        <xdr:cNvSpPr/>
      </xdr:nvSpPr>
      <xdr:spPr>
        <a:xfrm>
          <a:off x="21998939" y="12329160"/>
          <a:ext cx="33223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32</xdr:col>
      <xdr:colOff>617219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B654A96B-ED64-41C9-BF25-4829A2469D7D}"/>
            </a:ext>
          </a:extLst>
        </xdr:cNvPr>
        <xdr:cNvCxnSpPr>
          <a:stCxn id="28" idx="3"/>
          <a:endCxn id="29" idx="1"/>
        </xdr:cNvCxnSpPr>
      </xdr:nvCxnSpPr>
      <xdr:spPr>
        <a:xfrm>
          <a:off x="21381720" y="12633960"/>
          <a:ext cx="617219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118109</xdr:colOff>
      <xdr:row>62</xdr:row>
      <xdr:rowOff>177800</xdr:rowOff>
    </xdr:from>
    <xdr:to>
      <xdr:col>32</xdr:col>
      <xdr:colOff>499109</xdr:colOff>
      <xdr:row>64</xdr:row>
      <xdr:rowOff>20320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B9F9C04D-0575-475C-ADD9-C4E02A2EBD8B}"/>
            </a:ext>
          </a:extLst>
        </xdr:cNvPr>
        <xdr:cNvSpPr/>
      </xdr:nvSpPr>
      <xdr:spPr>
        <a:xfrm>
          <a:off x="21499829" y="1250696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12701</xdr:colOff>
      <xdr:row>5</xdr:row>
      <xdr:rowOff>12700</xdr:rowOff>
    </xdr:from>
    <xdr:to>
      <xdr:col>39</xdr:col>
      <xdr:colOff>0</xdr:colOff>
      <xdr:row>30</xdr:row>
      <xdr:rowOff>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D216973D-CB36-4C6A-8477-7D59C28FF976}"/>
            </a:ext>
          </a:extLst>
        </xdr:cNvPr>
        <xdr:cNvSpPr/>
      </xdr:nvSpPr>
      <xdr:spPr>
        <a:xfrm>
          <a:off x="22743161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2540</xdr:colOff>
      <xdr:row>4</xdr:row>
      <xdr:rowOff>139700</xdr:rowOff>
    </xdr:from>
    <xdr:to>
      <xdr:col>34</xdr:col>
      <xdr:colOff>323782</xdr:colOff>
      <xdr:row>5</xdr:row>
      <xdr:rowOff>68580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E19BDF4B-1A81-4A9A-9FEA-CFCE61A22FBB}"/>
            </a:ext>
          </a:extLst>
        </xdr:cNvPr>
        <xdr:cNvSpPr/>
      </xdr:nvSpPr>
      <xdr:spPr>
        <a:xfrm>
          <a:off x="227330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12701</xdr:colOff>
      <xdr:row>5</xdr:row>
      <xdr:rowOff>12700</xdr:rowOff>
    </xdr:from>
    <xdr:to>
      <xdr:col>46</xdr:col>
      <xdr:colOff>2</xdr:colOff>
      <xdr:row>30</xdr:row>
      <xdr:rowOff>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7CDEE6AF-49EB-498F-8214-FC5247412040}"/>
            </a:ext>
          </a:extLst>
        </xdr:cNvPr>
        <xdr:cNvSpPr/>
      </xdr:nvSpPr>
      <xdr:spPr>
        <a:xfrm>
          <a:off x="27299921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5080</xdr:colOff>
      <xdr:row>4</xdr:row>
      <xdr:rowOff>139700</xdr:rowOff>
    </xdr:from>
    <xdr:to>
      <xdr:col>41</xdr:col>
      <xdr:colOff>326322</xdr:colOff>
      <xdr:row>5</xdr:row>
      <xdr:rowOff>68580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453A29FF-F61F-44A3-BC86-DD6EBB21777F}"/>
            </a:ext>
          </a:extLst>
        </xdr:cNvPr>
        <xdr:cNvSpPr/>
      </xdr:nvSpPr>
      <xdr:spPr>
        <a:xfrm>
          <a:off x="27292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12701</xdr:colOff>
      <xdr:row>5</xdr:row>
      <xdr:rowOff>12700</xdr:rowOff>
    </xdr:from>
    <xdr:to>
      <xdr:col>53</xdr:col>
      <xdr:colOff>1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9170E476-9039-4F53-B687-AAC3BE957220}"/>
            </a:ext>
          </a:extLst>
        </xdr:cNvPr>
        <xdr:cNvSpPr/>
      </xdr:nvSpPr>
      <xdr:spPr>
        <a:xfrm>
          <a:off x="3171952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5080</xdr:colOff>
      <xdr:row>4</xdr:row>
      <xdr:rowOff>139700</xdr:rowOff>
    </xdr:from>
    <xdr:to>
      <xdr:col>48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9593EDC5-0032-4812-9237-A01F7165A1D7}"/>
            </a:ext>
          </a:extLst>
        </xdr:cNvPr>
        <xdr:cNvSpPr/>
      </xdr:nvSpPr>
      <xdr:spPr>
        <a:xfrm>
          <a:off x="317119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12700</xdr:colOff>
      <xdr:row>5</xdr:row>
      <xdr:rowOff>12700</xdr:rowOff>
    </xdr:from>
    <xdr:to>
      <xdr:col>60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0A101D61-7805-4881-BCCE-17C568A4A2D4}"/>
            </a:ext>
          </a:extLst>
        </xdr:cNvPr>
        <xdr:cNvSpPr/>
      </xdr:nvSpPr>
      <xdr:spPr>
        <a:xfrm>
          <a:off x="36055300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4</xdr:row>
      <xdr:rowOff>139700</xdr:rowOff>
    </xdr:from>
    <xdr:to>
      <xdr:col>55</xdr:col>
      <xdr:colOff>321242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EF85F15D-5FA1-4F67-9FC4-B0E5F06AF0E1}"/>
            </a:ext>
          </a:extLst>
        </xdr:cNvPr>
        <xdr:cNvSpPr/>
      </xdr:nvSpPr>
      <xdr:spPr>
        <a:xfrm>
          <a:off x="360426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5</xdr:row>
      <xdr:rowOff>0</xdr:rowOff>
    </xdr:from>
    <xdr:to>
      <xdr:col>38</xdr:col>
      <xdr:colOff>617219</xdr:colOff>
      <xdr:row>30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052277F1-15E5-4974-B2EF-217A0B62493A}"/>
            </a:ext>
          </a:extLst>
        </xdr:cNvPr>
        <xdr:cNvSpPr/>
      </xdr:nvSpPr>
      <xdr:spPr>
        <a:xfrm>
          <a:off x="22258020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731519</xdr:colOff>
      <xdr:row>5</xdr:row>
      <xdr:rowOff>0</xdr:rowOff>
    </xdr:from>
    <xdr:to>
      <xdr:col>46</xdr:col>
      <xdr:colOff>0</xdr:colOff>
      <xdr:row>30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038BE6B6-F4D6-4822-AD60-6BF0E257F6F8}"/>
            </a:ext>
          </a:extLst>
        </xdr:cNvPr>
        <xdr:cNvSpPr/>
      </xdr:nvSpPr>
      <xdr:spPr>
        <a:xfrm>
          <a:off x="26814779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678179</xdr:colOff>
      <xdr:row>5</xdr:row>
      <xdr:rowOff>0</xdr:rowOff>
    </xdr:from>
    <xdr:to>
      <xdr:col>52</xdr:col>
      <xdr:colOff>609599</xdr:colOff>
      <xdr:row>30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68EDB0FB-92B8-4E07-B91C-7428BD45E376}"/>
            </a:ext>
          </a:extLst>
        </xdr:cNvPr>
        <xdr:cNvSpPr/>
      </xdr:nvSpPr>
      <xdr:spPr>
        <a:xfrm>
          <a:off x="31234379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1</xdr:colOff>
      <xdr:row>5</xdr:row>
      <xdr:rowOff>0</xdr:rowOff>
    </xdr:from>
    <xdr:to>
      <xdr:col>60</xdr:col>
      <xdr:colOff>1</xdr:colOff>
      <xdr:row>30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FC40A337-BE83-420F-86D6-E7AA97F1E397}"/>
            </a:ext>
          </a:extLst>
        </xdr:cNvPr>
        <xdr:cNvSpPr/>
      </xdr:nvSpPr>
      <xdr:spPr>
        <a:xfrm>
          <a:off x="3557016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92F5F2B3-6D87-40B2-822B-A1C83E16DEA2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9C1DE6A4-A26E-410E-B1F9-5D402C8FDED9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A6DA7992-62BE-48F5-A403-7D778A07AA38}"/>
            </a:ext>
          </a:extLst>
        </xdr:cNvPr>
        <xdr:cNvSpPr/>
      </xdr:nvSpPr>
      <xdr:spPr>
        <a:xfrm>
          <a:off x="1485900" y="12329160"/>
          <a:ext cx="75438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6756F87B-837A-427B-91BA-C68E705B4691}"/>
            </a:ext>
          </a:extLst>
        </xdr:cNvPr>
        <xdr:cNvSpPr/>
      </xdr:nvSpPr>
      <xdr:spPr>
        <a:xfrm>
          <a:off x="31089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99061</xdr:rowOff>
    </xdr:from>
    <xdr:to>
      <xdr:col>4</xdr:col>
      <xdr:colOff>0</xdr:colOff>
      <xdr:row>74</xdr:row>
      <xdr:rowOff>99061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D1F817EB-A54E-442F-9F6D-796C84CB8E29}"/>
            </a:ext>
          </a:extLst>
        </xdr:cNvPr>
        <xdr:cNvCxnSpPr>
          <a:stCxn id="8" idx="3"/>
          <a:endCxn id="9" idx="1"/>
        </xdr:cNvCxnSpPr>
      </xdr:nvCxnSpPr>
      <xdr:spPr>
        <a:xfrm>
          <a:off x="2240280" y="14805661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170181</xdr:rowOff>
    </xdr:from>
    <xdr:to>
      <xdr:col>3</xdr:col>
      <xdr:colOff>624840</xdr:colOff>
      <xdr:row>75</xdr:row>
      <xdr:rowOff>27941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16BB3383-D559-4139-9133-450FF07335B4}"/>
            </a:ext>
          </a:extLst>
        </xdr:cNvPr>
        <xdr:cNvSpPr/>
      </xdr:nvSpPr>
      <xdr:spPr>
        <a:xfrm>
          <a:off x="248412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FB2731D7-F2B9-4E52-AC3E-70CF1B5A9137}"/>
            </a:ext>
          </a:extLst>
        </xdr:cNvPr>
        <xdr:cNvSpPr/>
      </xdr:nvSpPr>
      <xdr:spPr>
        <a:xfrm>
          <a:off x="51054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BDE09591-4414-4A66-8AD3-1826C6C61751}"/>
            </a:ext>
          </a:extLst>
        </xdr:cNvPr>
        <xdr:cNvSpPr/>
      </xdr:nvSpPr>
      <xdr:spPr>
        <a:xfrm>
          <a:off x="65532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99061</xdr:rowOff>
    </xdr:from>
    <xdr:to>
      <xdr:col>9</xdr:col>
      <xdr:colOff>0</xdr:colOff>
      <xdr:row>74</xdr:row>
      <xdr:rowOff>99061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BB48009B-1232-4E26-853A-4CF4D26947E1}"/>
            </a:ext>
          </a:extLst>
        </xdr:cNvPr>
        <xdr:cNvCxnSpPr>
          <a:stCxn id="12" idx="3"/>
          <a:endCxn id="13" idx="1"/>
        </xdr:cNvCxnSpPr>
      </xdr:nvCxnSpPr>
      <xdr:spPr>
        <a:xfrm>
          <a:off x="5722620" y="14805661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170181</xdr:rowOff>
    </xdr:from>
    <xdr:to>
      <xdr:col>8</xdr:col>
      <xdr:colOff>605790</xdr:colOff>
      <xdr:row>75</xdr:row>
      <xdr:rowOff>27941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C4E2CD59-E60E-444B-899A-B8BCB6342983}"/>
            </a:ext>
          </a:extLst>
        </xdr:cNvPr>
        <xdr:cNvSpPr/>
      </xdr:nvSpPr>
      <xdr:spPr>
        <a:xfrm>
          <a:off x="594741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584FFA62-E52E-4969-8A8B-D060730BB748}"/>
            </a:ext>
          </a:extLst>
        </xdr:cNvPr>
        <xdr:cNvSpPr/>
      </xdr:nvSpPr>
      <xdr:spPr>
        <a:xfrm>
          <a:off x="840486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BE134275-A6E4-4869-A35C-B818CA4FF3DB}"/>
            </a:ext>
          </a:extLst>
        </xdr:cNvPr>
        <xdr:cNvSpPr/>
      </xdr:nvSpPr>
      <xdr:spPr>
        <a:xfrm>
          <a:off x="9639300" y="12329160"/>
          <a:ext cx="617220" cy="4953001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99061</xdr:rowOff>
    </xdr:from>
    <xdr:to>
      <xdr:col>14</xdr:col>
      <xdr:colOff>0</xdr:colOff>
      <xdr:row>74</xdr:row>
      <xdr:rowOff>99061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DE11DFC8-00AC-44DA-B10B-773C99D8D183}"/>
            </a:ext>
          </a:extLst>
        </xdr:cNvPr>
        <xdr:cNvCxnSpPr>
          <a:stCxn id="16" idx="3"/>
          <a:endCxn id="17" idx="1"/>
        </xdr:cNvCxnSpPr>
      </xdr:nvCxnSpPr>
      <xdr:spPr>
        <a:xfrm>
          <a:off x="9022080" y="14805661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170181</xdr:rowOff>
    </xdr:from>
    <xdr:to>
      <xdr:col>13</xdr:col>
      <xdr:colOff>499110</xdr:colOff>
      <xdr:row>75</xdr:row>
      <xdr:rowOff>27941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EA12BF50-6EF1-4F1A-B861-7D8956972EEB}"/>
            </a:ext>
          </a:extLst>
        </xdr:cNvPr>
        <xdr:cNvSpPr/>
      </xdr:nvSpPr>
      <xdr:spPr>
        <a:xfrm>
          <a:off x="9140190" y="146786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17</xdr:col>
      <xdr:colOff>617219</xdr:colOff>
      <xdr:row>67</xdr:row>
      <xdr:rowOff>1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B3FAEF55-97FB-438E-9E21-5F82D4D8A17C}"/>
            </a:ext>
          </a:extLst>
        </xdr:cNvPr>
        <xdr:cNvSpPr/>
      </xdr:nvSpPr>
      <xdr:spPr>
        <a:xfrm>
          <a:off x="11551920" y="12329160"/>
          <a:ext cx="617219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1</xdr:colOff>
      <xdr:row>67</xdr:row>
      <xdr:rowOff>1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9555A7A5-5B4D-49D5-82B2-9623C9398D6E}"/>
            </a:ext>
          </a:extLst>
        </xdr:cNvPr>
        <xdr:cNvSpPr/>
      </xdr:nvSpPr>
      <xdr:spPr>
        <a:xfrm>
          <a:off x="12778740" y="12329160"/>
          <a:ext cx="617221" cy="990601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17</xdr:col>
      <xdr:colOff>617219</xdr:colOff>
      <xdr:row>64</xdr:row>
      <xdr:rowOff>99061</xdr:rowOff>
    </xdr:from>
    <xdr:to>
      <xdr:col>19</xdr:col>
      <xdr:colOff>0</xdr:colOff>
      <xdr:row>64</xdr:row>
      <xdr:rowOff>99061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718B7CF9-6DFD-45BE-A915-1BD4F07023F5}"/>
            </a:ext>
          </a:extLst>
        </xdr:cNvPr>
        <xdr:cNvCxnSpPr>
          <a:stCxn id="20" idx="3"/>
          <a:endCxn id="21" idx="1"/>
        </xdr:cNvCxnSpPr>
      </xdr:nvCxnSpPr>
      <xdr:spPr>
        <a:xfrm>
          <a:off x="12169139" y="12824461"/>
          <a:ext cx="609601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170181</xdr:rowOff>
    </xdr:from>
    <xdr:to>
      <xdr:col>18</xdr:col>
      <xdr:colOff>495300</xdr:colOff>
      <xdr:row>65</xdr:row>
      <xdr:rowOff>27941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046EA249-7BE5-4259-A165-30337D3C165A}"/>
            </a:ext>
          </a:extLst>
        </xdr:cNvPr>
        <xdr:cNvSpPr/>
      </xdr:nvSpPr>
      <xdr:spPr>
        <a:xfrm>
          <a:off x="12283440" y="1269746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23</xdr:col>
      <xdr:colOff>0</xdr:colOff>
      <xdr:row>65</xdr:row>
      <xdr:rowOff>198119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04871AA2-D2F9-460B-9D51-19F4AD703404}"/>
            </a:ext>
          </a:extLst>
        </xdr:cNvPr>
        <xdr:cNvSpPr/>
      </xdr:nvSpPr>
      <xdr:spPr>
        <a:xfrm>
          <a:off x="1462278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65</xdr:row>
      <xdr:rowOff>198119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C761326B-482B-4611-9A11-EE33731B67D1}"/>
            </a:ext>
          </a:extLst>
        </xdr:cNvPr>
        <xdr:cNvSpPr/>
      </xdr:nvSpPr>
      <xdr:spPr>
        <a:xfrm>
          <a:off x="15925800" y="12329160"/>
          <a:ext cx="617220" cy="792479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0</xdr:colOff>
      <xdr:row>64</xdr:row>
      <xdr:rowOff>0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1E33EEE6-DC19-4192-B35E-6889EC7D946D}"/>
            </a:ext>
          </a:extLst>
        </xdr:cNvPr>
        <xdr:cNvCxnSpPr>
          <a:stCxn id="24" idx="3"/>
          <a:endCxn id="25" idx="1"/>
        </xdr:cNvCxnSpPr>
      </xdr:nvCxnSpPr>
      <xdr:spPr>
        <a:xfrm>
          <a:off x="15240000" y="1272540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63</xdr:row>
      <xdr:rowOff>71120</xdr:rowOff>
    </xdr:from>
    <xdr:to>
      <xdr:col>23</xdr:col>
      <xdr:colOff>533400</xdr:colOff>
      <xdr:row>64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6BAF526D-9257-46ED-8880-11BB4489CEB7}"/>
            </a:ext>
          </a:extLst>
        </xdr:cNvPr>
        <xdr:cNvSpPr/>
      </xdr:nvSpPr>
      <xdr:spPr>
        <a:xfrm>
          <a:off x="15392400" y="125984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1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EADAECDF-5D40-412C-A1CB-C0F817476C62}"/>
            </a:ext>
          </a:extLst>
        </xdr:cNvPr>
        <xdr:cNvSpPr/>
      </xdr:nvSpPr>
      <xdr:spPr>
        <a:xfrm>
          <a:off x="17777461" y="12329160"/>
          <a:ext cx="3131819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62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126A9469-78A0-4175-8E9E-3E75A64B5E83}"/>
            </a:ext>
          </a:extLst>
        </xdr:cNvPr>
        <xdr:cNvSpPr/>
      </xdr:nvSpPr>
      <xdr:spPr>
        <a:xfrm>
          <a:off x="21526500" y="12329160"/>
          <a:ext cx="3322320" cy="59436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33</xdr:col>
      <xdr:colOff>0</xdr:colOff>
      <xdr:row>63</xdr:row>
      <xdr:rowOff>99060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7CBD8B36-74E1-4084-80E0-FEACF0DDE6C5}"/>
            </a:ext>
          </a:extLst>
        </xdr:cNvPr>
        <xdr:cNvCxnSpPr>
          <a:stCxn id="28" idx="3"/>
          <a:endCxn id="29" idx="1"/>
        </xdr:cNvCxnSpPr>
      </xdr:nvCxnSpPr>
      <xdr:spPr>
        <a:xfrm>
          <a:off x="20909280" y="12626340"/>
          <a:ext cx="61722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118111</xdr:colOff>
      <xdr:row>62</xdr:row>
      <xdr:rowOff>170180</xdr:rowOff>
    </xdr:from>
    <xdr:to>
      <xdr:col>32</xdr:col>
      <xdr:colOff>499111</xdr:colOff>
      <xdr:row>64</xdr:row>
      <xdr:rowOff>27940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8CE0B5AC-DCAC-4340-B38B-FA7B2D6A86AD}"/>
            </a:ext>
          </a:extLst>
        </xdr:cNvPr>
        <xdr:cNvSpPr/>
      </xdr:nvSpPr>
      <xdr:spPr>
        <a:xfrm>
          <a:off x="21027391" y="1249934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70</xdr:row>
      <xdr:rowOff>198119</xdr:rowOff>
    </xdr:from>
    <xdr:to>
      <xdr:col>23</xdr:col>
      <xdr:colOff>0</xdr:colOff>
      <xdr:row>75</xdr:row>
      <xdr:rowOff>198119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02BE7442-25D1-4411-947A-0154D15047BB}"/>
            </a:ext>
          </a:extLst>
        </xdr:cNvPr>
        <xdr:cNvSpPr/>
      </xdr:nvSpPr>
      <xdr:spPr>
        <a:xfrm>
          <a:off x="14622780" y="14112239"/>
          <a:ext cx="617220" cy="9906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24</xdr:col>
      <xdr:colOff>0</xdr:colOff>
      <xdr:row>70</xdr:row>
      <xdr:rowOff>198119</xdr:rowOff>
    </xdr:from>
    <xdr:to>
      <xdr:col>25</xdr:col>
      <xdr:colOff>0</xdr:colOff>
      <xdr:row>75</xdr:row>
      <xdr:rowOff>198119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DF4FBB26-D2AE-4530-9212-A2039B3183E4}"/>
            </a:ext>
          </a:extLst>
        </xdr:cNvPr>
        <xdr:cNvSpPr/>
      </xdr:nvSpPr>
      <xdr:spPr>
        <a:xfrm>
          <a:off x="15925800" y="14112239"/>
          <a:ext cx="617220" cy="9906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CC0099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73</xdr:row>
      <xdr:rowOff>99059</xdr:rowOff>
    </xdr:from>
    <xdr:to>
      <xdr:col>24</xdr:col>
      <xdr:colOff>0</xdr:colOff>
      <xdr:row>73</xdr:row>
      <xdr:rowOff>99059</xdr:rowOff>
    </xdr:to>
    <xdr:cxnSp macro="">
      <xdr:nvCxnSpPr>
        <xdr:cNvPr id="34" name="OpenSolver33">
          <a:extLst>
            <a:ext uri="{FF2B5EF4-FFF2-40B4-BE49-F238E27FC236}">
              <a16:creationId xmlns:a16="http://schemas.microsoft.com/office/drawing/2014/main" id="{8EBBA829-6B92-4131-B1E2-C7B724A132D4}"/>
            </a:ext>
          </a:extLst>
        </xdr:cNvPr>
        <xdr:cNvCxnSpPr>
          <a:stCxn id="32" idx="3"/>
          <a:endCxn id="33" idx="1"/>
        </xdr:cNvCxnSpPr>
      </xdr:nvCxnSpPr>
      <xdr:spPr>
        <a:xfrm>
          <a:off x="15240000" y="14607539"/>
          <a:ext cx="68580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152400</xdr:colOff>
      <xdr:row>72</xdr:row>
      <xdr:rowOff>170179</xdr:rowOff>
    </xdr:from>
    <xdr:to>
      <xdr:col>23</xdr:col>
      <xdr:colOff>533400</xdr:colOff>
      <xdr:row>74</xdr:row>
      <xdr:rowOff>27939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1DA652C1-86F4-4B27-82BB-2D54A4D6FBC4}"/>
            </a:ext>
          </a:extLst>
        </xdr:cNvPr>
        <xdr:cNvSpPr/>
      </xdr:nvSpPr>
      <xdr:spPr>
        <a:xfrm>
          <a:off x="15392400" y="14480539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12700</xdr:colOff>
      <xdr:row>5</xdr:row>
      <xdr:rowOff>12700</xdr:rowOff>
    </xdr:from>
    <xdr:to>
      <xdr:col>38</xdr:col>
      <xdr:colOff>617219</xdr:colOff>
      <xdr:row>30</xdr:row>
      <xdr:rowOff>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867DDEF5-1745-44A1-A5EE-E774D01C05E4}"/>
            </a:ext>
          </a:extLst>
        </xdr:cNvPr>
        <xdr:cNvSpPr/>
      </xdr:nvSpPr>
      <xdr:spPr>
        <a:xfrm>
          <a:off x="22270720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5080</xdr:colOff>
      <xdr:row>4</xdr:row>
      <xdr:rowOff>139700</xdr:rowOff>
    </xdr:from>
    <xdr:to>
      <xdr:col>34</xdr:col>
      <xdr:colOff>326322</xdr:colOff>
      <xdr:row>5</xdr:row>
      <xdr:rowOff>68580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A0A01FEA-203B-4720-8F52-C74077FDF432}"/>
            </a:ext>
          </a:extLst>
        </xdr:cNvPr>
        <xdr:cNvSpPr/>
      </xdr:nvSpPr>
      <xdr:spPr>
        <a:xfrm>
          <a:off x="222631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12699</xdr:colOff>
      <xdr:row>5</xdr:row>
      <xdr:rowOff>12700</xdr:rowOff>
    </xdr:from>
    <xdr:to>
      <xdr:col>46</xdr:col>
      <xdr:colOff>0</xdr:colOff>
      <xdr:row>30</xdr:row>
      <xdr:rowOff>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B24A244D-D635-4E83-9388-94463A64823F}"/>
            </a:ext>
          </a:extLst>
        </xdr:cNvPr>
        <xdr:cNvSpPr/>
      </xdr:nvSpPr>
      <xdr:spPr>
        <a:xfrm>
          <a:off x="26827479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40</xdr:col>
      <xdr:colOff>726440</xdr:colOff>
      <xdr:row>4</xdr:row>
      <xdr:rowOff>139700</xdr:rowOff>
    </xdr:from>
    <xdr:to>
      <xdr:col>41</xdr:col>
      <xdr:colOff>316162</xdr:colOff>
      <xdr:row>5</xdr:row>
      <xdr:rowOff>68580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D5651D4B-17EB-4048-9199-FA38FF56D852}"/>
            </a:ext>
          </a:extLst>
        </xdr:cNvPr>
        <xdr:cNvSpPr/>
      </xdr:nvSpPr>
      <xdr:spPr>
        <a:xfrm>
          <a:off x="26809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12699</xdr:colOff>
      <xdr:row>5</xdr:row>
      <xdr:rowOff>12700</xdr:rowOff>
    </xdr:from>
    <xdr:to>
      <xdr:col>52</xdr:col>
      <xdr:colOff>609599</xdr:colOff>
      <xdr:row>30</xdr:row>
      <xdr:rowOff>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AA5D169A-9123-495B-8559-1ECEFBCB87A4}"/>
            </a:ext>
          </a:extLst>
        </xdr:cNvPr>
        <xdr:cNvSpPr/>
      </xdr:nvSpPr>
      <xdr:spPr>
        <a:xfrm>
          <a:off x="31247079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47</xdr:col>
      <xdr:colOff>673100</xdr:colOff>
      <xdr:row>4</xdr:row>
      <xdr:rowOff>139700</xdr:rowOff>
    </xdr:from>
    <xdr:to>
      <xdr:col>48</xdr:col>
      <xdr:colOff>316162</xdr:colOff>
      <xdr:row>5</xdr:row>
      <xdr:rowOff>68580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5C613254-7124-417B-B05A-F81AD9603DEC}"/>
            </a:ext>
          </a:extLst>
        </xdr:cNvPr>
        <xdr:cNvSpPr/>
      </xdr:nvSpPr>
      <xdr:spPr>
        <a:xfrm>
          <a:off x="31229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12701</xdr:colOff>
      <xdr:row>5</xdr:row>
      <xdr:rowOff>12700</xdr:rowOff>
    </xdr:from>
    <xdr:to>
      <xdr:col>60</xdr:col>
      <xdr:colOff>1</xdr:colOff>
      <xdr:row>30</xdr:row>
      <xdr:rowOff>0</xdr:rowOff>
    </xdr:to>
    <xdr:sp macro="" textlink="">
      <xdr:nvSpPr>
        <xdr:cNvPr id="42" name="OpenSolver41">
          <a:extLst>
            <a:ext uri="{FF2B5EF4-FFF2-40B4-BE49-F238E27FC236}">
              <a16:creationId xmlns:a16="http://schemas.microsoft.com/office/drawing/2014/main" id="{872098BF-1227-4107-B6C0-2751D8E9E9A0}"/>
            </a:ext>
          </a:extLst>
        </xdr:cNvPr>
        <xdr:cNvSpPr/>
      </xdr:nvSpPr>
      <xdr:spPr>
        <a:xfrm>
          <a:off x="3558286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2540</xdr:colOff>
      <xdr:row>4</xdr:row>
      <xdr:rowOff>139700</xdr:rowOff>
    </xdr:from>
    <xdr:to>
      <xdr:col>55</xdr:col>
      <xdr:colOff>323782</xdr:colOff>
      <xdr:row>5</xdr:row>
      <xdr:rowOff>68580</xdr:rowOff>
    </xdr:to>
    <xdr:sp macro="" textlink="">
      <xdr:nvSpPr>
        <xdr:cNvPr id="43" name="OpenSolver42">
          <a:extLst>
            <a:ext uri="{FF2B5EF4-FFF2-40B4-BE49-F238E27FC236}">
              <a16:creationId xmlns:a16="http://schemas.microsoft.com/office/drawing/2014/main" id="{CD163CF0-98DD-4A3A-9DA4-DD61ABDAA6BD}"/>
            </a:ext>
          </a:extLst>
        </xdr:cNvPr>
        <xdr:cNvSpPr/>
      </xdr:nvSpPr>
      <xdr:spPr>
        <a:xfrm>
          <a:off x="355727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topLeftCell="A16" workbookViewId="0">
      <selection activeCell="B6" sqref="B6:H6"/>
    </sheetView>
  </sheetViews>
  <sheetFormatPr defaultRowHeight="14.4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x14ac:dyDescent="0.3">
      <c r="A1" s="56" t="s">
        <v>39</v>
      </c>
    </row>
    <row r="2" spans="1:8" x14ac:dyDescent="0.3">
      <c r="A2" s="56" t="s">
        <v>40</v>
      </c>
      <c r="B2" s="46"/>
      <c r="C2" s="46"/>
      <c r="D2" s="46"/>
      <c r="E2" s="46"/>
      <c r="F2" s="46"/>
      <c r="G2" s="46"/>
      <c r="H2" s="46"/>
    </row>
    <row r="3" spans="1:8" x14ac:dyDescent="0.3">
      <c r="A3" s="56" t="s">
        <v>1159</v>
      </c>
      <c r="B3" s="46"/>
      <c r="C3" s="46"/>
      <c r="D3" s="46"/>
      <c r="E3" s="46"/>
      <c r="F3" s="46"/>
      <c r="G3" s="46"/>
      <c r="H3" s="46"/>
    </row>
    <row r="4" spans="1:8" x14ac:dyDescent="0.3">
      <c r="B4" s="46"/>
      <c r="C4" s="46"/>
      <c r="D4" s="46"/>
      <c r="E4" s="46"/>
      <c r="F4" s="46"/>
      <c r="G4" s="46"/>
      <c r="H4" s="46"/>
    </row>
    <row r="5" spans="1:8" ht="15" thickBot="1" x14ac:dyDescent="0.35">
      <c r="A5" s="56" t="s">
        <v>41</v>
      </c>
      <c r="B5" s="46"/>
      <c r="C5" s="46"/>
      <c r="D5" s="46"/>
      <c r="E5" s="46"/>
      <c r="F5" s="46"/>
      <c r="G5" s="46"/>
      <c r="H5" s="46"/>
    </row>
    <row r="6" spans="1:8" ht="15" thickBot="1" x14ac:dyDescent="0.35">
      <c r="B6" s="53" t="s">
        <v>42</v>
      </c>
      <c r="C6" s="54" t="s">
        <v>43</v>
      </c>
      <c r="D6" s="54" t="s">
        <v>44</v>
      </c>
      <c r="E6" s="54" t="s">
        <v>45</v>
      </c>
      <c r="F6" s="54" t="s">
        <v>46</v>
      </c>
      <c r="G6" s="54" t="s">
        <v>47</v>
      </c>
      <c r="H6" s="55" t="s">
        <v>48</v>
      </c>
    </row>
    <row r="7" spans="1:8" x14ac:dyDescent="0.3">
      <c r="B7" s="47" t="s">
        <v>49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x14ac:dyDescent="0.3">
      <c r="B8" s="47" t="s">
        <v>50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x14ac:dyDescent="0.3">
      <c r="B9" s="47" t="s">
        <v>51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x14ac:dyDescent="0.3">
      <c r="B10" s="47" t="s">
        <v>52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x14ac:dyDescent="0.3">
      <c r="B11" s="47" t="s">
        <v>53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x14ac:dyDescent="0.3">
      <c r="B12" s="47" t="s">
        <v>54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x14ac:dyDescent="0.3">
      <c r="B13" s="47" t="s">
        <v>55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x14ac:dyDescent="0.3">
      <c r="B14" s="47" t="s">
        <v>56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x14ac:dyDescent="0.3">
      <c r="B15" s="47" t="s">
        <v>57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x14ac:dyDescent="0.3">
      <c r="B16" s="47" t="s">
        <v>58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x14ac:dyDescent="0.3">
      <c r="B17" s="47" t="s">
        <v>59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x14ac:dyDescent="0.3">
      <c r="B18" s="47" t="s">
        <v>60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x14ac:dyDescent="0.3">
      <c r="B19" s="47" t="s">
        <v>61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x14ac:dyDescent="0.3">
      <c r="B20" s="47" t="s">
        <v>62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x14ac:dyDescent="0.3">
      <c r="B21" s="47" t="s">
        <v>63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x14ac:dyDescent="0.3">
      <c r="B22" s="47" t="s">
        <v>64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x14ac:dyDescent="0.3">
      <c r="B23" s="47" t="s">
        <v>65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x14ac:dyDescent="0.3">
      <c r="B24" s="47" t="s">
        <v>66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x14ac:dyDescent="0.3">
      <c r="B25" s="47" t="s">
        <v>67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x14ac:dyDescent="0.3">
      <c r="B26" s="47" t="s">
        <v>68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x14ac:dyDescent="0.3">
      <c r="B27" s="47" t="s">
        <v>69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x14ac:dyDescent="0.3">
      <c r="B28" s="47" t="s">
        <v>70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71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72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73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74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75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76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77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78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79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80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81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82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83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84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85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86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87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88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89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90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91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92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93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94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95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96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97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98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99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100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101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102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103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104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105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106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107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108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109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110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111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112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113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114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115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116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117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118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119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120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121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122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123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124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125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126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127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128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129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130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131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132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133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134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135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136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137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138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139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140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141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142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143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144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145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146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147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148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149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150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151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152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153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154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155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156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157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158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159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160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161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162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163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164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165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166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167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168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169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170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171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172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173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174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175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176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177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178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179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180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181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182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183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184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185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186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187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188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189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190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191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192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193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194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195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196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197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198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199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200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201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202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203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204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205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206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207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208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209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210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211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212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213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214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215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216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217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218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219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220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221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222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223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224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225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226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227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228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229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230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231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232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233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234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235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236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237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238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239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240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241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242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243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244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245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246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247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248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249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250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251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252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253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254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255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256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257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258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259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260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261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262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263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264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265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266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267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268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269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270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271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272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273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274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275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276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277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278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279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280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281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282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283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284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285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286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287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288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289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290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291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292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293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294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295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296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297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298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299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300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301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302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303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304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305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306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307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308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309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310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311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312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313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314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315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316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317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318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319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320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321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322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323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324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325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326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327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328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329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330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331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332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333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334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335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336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337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338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339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340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341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342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343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344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345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346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347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348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349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350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351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352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353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354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355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356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357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358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359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360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361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362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363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364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365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366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367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368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369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370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371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372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373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374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375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376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377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378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379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380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381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382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383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384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385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386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387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388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389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390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391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392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393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394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395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396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397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398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399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400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401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402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403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404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405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406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407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408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409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410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411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412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413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414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415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416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417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418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419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420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421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422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423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424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425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426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427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428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429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430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431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432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433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434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435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436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437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438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439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440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441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442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443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444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445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446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447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448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449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450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451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452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453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454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455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456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457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458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459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460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461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462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463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464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465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466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467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468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469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470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471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472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473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474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475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476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477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478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479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480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481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482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483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484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485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486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487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488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489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490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491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492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493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494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495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496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497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498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499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500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501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502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503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504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505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506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507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508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509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510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511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512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513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514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515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516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517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518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519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520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521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522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523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524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525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526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527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528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529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530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531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532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533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534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535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536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537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538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539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540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541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542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543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544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545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546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547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" thickBot="1" x14ac:dyDescent="0.35">
      <c r="B506" s="50" t="s">
        <v>548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" thickBot="1" x14ac:dyDescent="0.35">
      <c r="A508" s="56" t="s">
        <v>549</v>
      </c>
      <c r="B508" s="46"/>
      <c r="C508" s="46"/>
      <c r="D508" s="46"/>
      <c r="E508" s="46"/>
      <c r="F508" s="46"/>
      <c r="G508" s="46"/>
      <c r="H508" s="46"/>
    </row>
    <row r="509" spans="1:8" ht="15" thickBot="1" x14ac:dyDescent="0.35">
      <c r="B509" s="53" t="s">
        <v>42</v>
      </c>
      <c r="C509" s="54" t="s">
        <v>43</v>
      </c>
      <c r="D509" s="54" t="s">
        <v>44</v>
      </c>
      <c r="E509" s="54" t="s">
        <v>550</v>
      </c>
      <c r="F509" s="54" t="s">
        <v>551</v>
      </c>
      <c r="G509" s="54" t="s">
        <v>47</v>
      </c>
      <c r="H509" s="55" t="s">
        <v>48</v>
      </c>
    </row>
    <row r="510" spans="1:8" x14ac:dyDescent="0.3">
      <c r="B510" s="47" t="s">
        <v>552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553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554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555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556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557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558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559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560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561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562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563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564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565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566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567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568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569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570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571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572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573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574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575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576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577</v>
      </c>
      <c r="C535" s="48" t="s">
        <v>578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579</v>
      </c>
      <c r="C536" s="48" t="s">
        <v>578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580</v>
      </c>
      <c r="C537" s="48" t="s">
        <v>578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581</v>
      </c>
      <c r="C538" s="48" t="s">
        <v>578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582</v>
      </c>
      <c r="C539" s="48" t="s">
        <v>578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583</v>
      </c>
      <c r="C540" s="48" t="s">
        <v>578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584</v>
      </c>
      <c r="C541" s="48" t="s">
        <v>578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585</v>
      </c>
      <c r="C542" s="48" t="s">
        <v>578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586</v>
      </c>
      <c r="C543" s="48" t="s">
        <v>578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587</v>
      </c>
      <c r="C544" s="48" t="s">
        <v>578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588</v>
      </c>
      <c r="C545" s="48" t="s">
        <v>578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589</v>
      </c>
      <c r="C546" s="48" t="s">
        <v>578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590</v>
      </c>
      <c r="C547" s="48" t="s">
        <v>578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591</v>
      </c>
      <c r="C548" s="48" t="s">
        <v>578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592</v>
      </c>
      <c r="C549" s="48" t="s">
        <v>578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593</v>
      </c>
      <c r="C550" s="48" t="s">
        <v>578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594</v>
      </c>
      <c r="C551" s="48" t="s">
        <v>578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595</v>
      </c>
      <c r="C552" s="48" t="s">
        <v>578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596</v>
      </c>
      <c r="C553" s="48" t="s">
        <v>578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597</v>
      </c>
      <c r="C554" s="48" t="s">
        <v>578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598</v>
      </c>
      <c r="C555" s="48" t="s">
        <v>578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599</v>
      </c>
      <c r="C556" s="48" t="s">
        <v>578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600</v>
      </c>
      <c r="C557" s="48" t="s">
        <v>578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601</v>
      </c>
      <c r="C558" s="48" t="s">
        <v>578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602</v>
      </c>
      <c r="C559" s="48" t="s">
        <v>578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603</v>
      </c>
      <c r="C560" s="48" t="s">
        <v>24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604</v>
      </c>
      <c r="C561" s="48" t="s">
        <v>24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605</v>
      </c>
      <c r="C562" s="48" t="s">
        <v>24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606</v>
      </c>
      <c r="C563" s="48" t="s">
        <v>24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607</v>
      </c>
      <c r="C564" s="48" t="s">
        <v>24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608</v>
      </c>
      <c r="C565" s="48" t="s">
        <v>24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609</v>
      </c>
      <c r="C566" s="48" t="s">
        <v>24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610</v>
      </c>
      <c r="C567" s="48" t="s">
        <v>24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611</v>
      </c>
      <c r="C568" s="48" t="s">
        <v>24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612</v>
      </c>
      <c r="C569" s="48" t="s">
        <v>24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613</v>
      </c>
      <c r="C570" s="48" t="s">
        <v>24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614</v>
      </c>
      <c r="C571" s="48" t="s">
        <v>24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615</v>
      </c>
      <c r="C572" s="48" t="s">
        <v>24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616</v>
      </c>
      <c r="C573" s="48" t="s">
        <v>24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617</v>
      </c>
      <c r="C574" s="48" t="s">
        <v>24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618</v>
      </c>
      <c r="C575" s="48" t="s">
        <v>24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619</v>
      </c>
      <c r="C576" s="48" t="s">
        <v>24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620</v>
      </c>
      <c r="C577" s="48" t="s">
        <v>24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621</v>
      </c>
      <c r="C578" s="48" t="s">
        <v>24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622</v>
      </c>
      <c r="C579" s="48" t="s">
        <v>24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623</v>
      </c>
      <c r="C580" s="48" t="s">
        <v>24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624</v>
      </c>
      <c r="C581" s="48" t="s">
        <v>24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625</v>
      </c>
      <c r="C582" s="48" t="s">
        <v>24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626</v>
      </c>
      <c r="C583" s="48" t="s">
        <v>24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627</v>
      </c>
      <c r="C584" s="48" t="s">
        <v>24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628</v>
      </c>
      <c r="C585" s="48" t="s">
        <v>629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630</v>
      </c>
      <c r="C586" s="48" t="s">
        <v>629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631</v>
      </c>
      <c r="C587" s="48" t="s">
        <v>629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632</v>
      </c>
      <c r="C588" s="48" t="s">
        <v>629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633</v>
      </c>
      <c r="C589" s="48" t="s">
        <v>629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634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635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636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637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638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639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640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641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642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643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644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645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646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647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648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649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650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651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652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653</v>
      </c>
      <c r="C609" s="48" t="s">
        <v>654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655</v>
      </c>
      <c r="C610" s="48" t="s">
        <v>656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657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658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659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660</v>
      </c>
      <c r="C614" s="48" t="s">
        <v>654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661</v>
      </c>
      <c r="C615" s="48" t="s">
        <v>656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662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663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664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665</v>
      </c>
      <c r="C619" s="48" t="s">
        <v>654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666</v>
      </c>
      <c r="C620" s="48" t="s">
        <v>656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667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668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669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670</v>
      </c>
      <c r="C624" s="48" t="s">
        <v>654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671</v>
      </c>
      <c r="C625" s="48" t="s">
        <v>656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672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673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674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675</v>
      </c>
      <c r="C629" s="48" t="s">
        <v>654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676</v>
      </c>
      <c r="C630" s="48" t="s">
        <v>656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677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678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679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680</v>
      </c>
      <c r="C634" s="48" t="s">
        <v>654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681</v>
      </c>
      <c r="C635" s="48" t="s">
        <v>656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682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683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684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685</v>
      </c>
      <c r="C639" s="48" t="s">
        <v>654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686</v>
      </c>
      <c r="C640" s="48" t="s">
        <v>656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687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688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689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690</v>
      </c>
      <c r="C644" s="48" t="s">
        <v>654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691</v>
      </c>
      <c r="C645" s="48" t="s">
        <v>656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692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693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694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695</v>
      </c>
      <c r="C649" s="48" t="s">
        <v>654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696</v>
      </c>
      <c r="C650" s="48" t="s">
        <v>656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697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698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699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700</v>
      </c>
      <c r="C654" s="48" t="s">
        <v>654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701</v>
      </c>
      <c r="C655" s="48" t="s">
        <v>656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702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703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704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705</v>
      </c>
      <c r="C659" s="48" t="s">
        <v>654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706</v>
      </c>
      <c r="C660" s="48" t="s">
        <v>656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707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708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709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710</v>
      </c>
      <c r="C664" s="48" t="s">
        <v>654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711</v>
      </c>
      <c r="C665" s="48" t="s">
        <v>656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712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713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714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715</v>
      </c>
      <c r="C669" s="48" t="s">
        <v>654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716</v>
      </c>
      <c r="C670" s="48" t="s">
        <v>656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717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718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719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720</v>
      </c>
      <c r="C674" s="48" t="s">
        <v>654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721</v>
      </c>
      <c r="C675" s="48" t="s">
        <v>656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722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723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724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725</v>
      </c>
      <c r="C679" s="48" t="s">
        <v>654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726</v>
      </c>
      <c r="C680" s="48" t="s">
        <v>656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727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728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729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730</v>
      </c>
      <c r="C684" s="48" t="s">
        <v>654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731</v>
      </c>
      <c r="C685" s="48" t="s">
        <v>656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732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733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734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735</v>
      </c>
      <c r="C689" s="48" t="s">
        <v>654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736</v>
      </c>
      <c r="C690" s="48" t="s">
        <v>656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737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738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739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740</v>
      </c>
      <c r="C694" s="48" t="s">
        <v>654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741</v>
      </c>
      <c r="C695" s="48" t="s">
        <v>656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742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743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744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745</v>
      </c>
      <c r="C699" s="48" t="s">
        <v>654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746</v>
      </c>
      <c r="C700" s="48" t="s">
        <v>656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747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748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749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750</v>
      </c>
      <c r="C704" s="48" t="s">
        <v>654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751</v>
      </c>
      <c r="C705" s="48" t="s">
        <v>656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752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753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754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755</v>
      </c>
      <c r="C709" s="48" t="s">
        <v>654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756</v>
      </c>
      <c r="C710" s="48" t="s">
        <v>656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757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758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759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760</v>
      </c>
      <c r="C714" s="48" t="s">
        <v>654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761</v>
      </c>
      <c r="C715" s="48" t="s">
        <v>656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762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763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764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765</v>
      </c>
      <c r="C719" s="48" t="s">
        <v>654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766</v>
      </c>
      <c r="C720" s="48" t="s">
        <v>656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767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768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769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770</v>
      </c>
      <c r="C724" s="48" t="s">
        <v>654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771</v>
      </c>
      <c r="C725" s="48" t="s">
        <v>656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772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773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774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775</v>
      </c>
      <c r="C729" s="48" t="s">
        <v>654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776</v>
      </c>
      <c r="C730" s="48" t="s">
        <v>656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777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778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779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780</v>
      </c>
      <c r="C734" s="48" t="s">
        <v>781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782</v>
      </c>
      <c r="C735" s="48" t="s">
        <v>783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784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785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786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787</v>
      </c>
      <c r="C739" s="48" t="s">
        <v>781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788</v>
      </c>
      <c r="C740" s="48" t="s">
        <v>783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789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790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791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792</v>
      </c>
      <c r="C744" s="48" t="s">
        <v>781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793</v>
      </c>
      <c r="C745" s="48" t="s">
        <v>783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794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795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796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797</v>
      </c>
      <c r="C749" s="48" t="s">
        <v>781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798</v>
      </c>
      <c r="C750" s="48" t="s">
        <v>783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799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800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801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802</v>
      </c>
      <c r="C754" s="48" t="s">
        <v>781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803</v>
      </c>
      <c r="C755" s="48" t="s">
        <v>783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804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805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806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807</v>
      </c>
      <c r="C759" s="48" t="s">
        <v>781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808</v>
      </c>
      <c r="C760" s="48" t="s">
        <v>783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809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810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811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812</v>
      </c>
      <c r="C764" s="48" t="s">
        <v>781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813</v>
      </c>
      <c r="C765" s="48" t="s">
        <v>783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814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815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816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817</v>
      </c>
      <c r="C769" s="48" t="s">
        <v>781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818</v>
      </c>
      <c r="C770" s="48" t="s">
        <v>783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819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820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821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822</v>
      </c>
      <c r="C774" s="48" t="s">
        <v>781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823</v>
      </c>
      <c r="C775" s="48" t="s">
        <v>783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824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825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826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827</v>
      </c>
      <c r="C779" s="48" t="s">
        <v>781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828</v>
      </c>
      <c r="C780" s="48" t="s">
        <v>783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829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830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831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832</v>
      </c>
      <c r="C784" s="48" t="s">
        <v>781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833</v>
      </c>
      <c r="C785" s="48" t="s">
        <v>783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834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835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836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837</v>
      </c>
      <c r="C789" s="48" t="s">
        <v>781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838</v>
      </c>
      <c r="C790" s="48" t="s">
        <v>783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839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840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841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842</v>
      </c>
      <c r="C794" s="48" t="s">
        <v>781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843</v>
      </c>
      <c r="C795" s="48" t="s">
        <v>783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844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845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846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847</v>
      </c>
      <c r="C799" s="48" t="s">
        <v>781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848</v>
      </c>
      <c r="C800" s="48" t="s">
        <v>783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849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850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851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852</v>
      </c>
      <c r="C804" s="48" t="s">
        <v>781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853</v>
      </c>
      <c r="C805" s="48" t="s">
        <v>783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854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855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856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857</v>
      </c>
      <c r="C809" s="48" t="s">
        <v>781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858</v>
      </c>
      <c r="C810" s="48" t="s">
        <v>783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859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860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861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862</v>
      </c>
      <c r="C814" s="48" t="s">
        <v>781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863</v>
      </c>
      <c r="C815" s="48" t="s">
        <v>783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864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865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866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867</v>
      </c>
      <c r="C819" s="48" t="s">
        <v>781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868</v>
      </c>
      <c r="C820" s="48" t="s">
        <v>783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869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870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871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872</v>
      </c>
      <c r="C824" s="48" t="s">
        <v>781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873</v>
      </c>
      <c r="C825" s="48" t="s">
        <v>783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874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875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876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877</v>
      </c>
      <c r="C829" s="48" t="s">
        <v>781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878</v>
      </c>
      <c r="C830" s="48" t="s">
        <v>783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879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880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881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882</v>
      </c>
      <c r="C834" s="48" t="s">
        <v>781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883</v>
      </c>
      <c r="C835" s="48" t="s">
        <v>783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884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885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886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887</v>
      </c>
      <c r="C839" s="48" t="s">
        <v>781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888</v>
      </c>
      <c r="C840" s="48" t="s">
        <v>783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889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890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891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892</v>
      </c>
      <c r="C844" s="48" t="s">
        <v>781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893</v>
      </c>
      <c r="C845" s="48" t="s">
        <v>783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894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895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896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897</v>
      </c>
      <c r="C849" s="48" t="s">
        <v>781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898</v>
      </c>
      <c r="C850" s="48" t="s">
        <v>783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899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900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901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902</v>
      </c>
      <c r="C854" s="48" t="s">
        <v>781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903</v>
      </c>
      <c r="C855" s="48" t="s">
        <v>783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904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905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906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907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908</v>
      </c>
      <c r="C860" s="48" t="s">
        <v>909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910</v>
      </c>
      <c r="C861" s="48" t="s">
        <v>654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911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912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913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914</v>
      </c>
      <c r="C865" s="48" t="s">
        <v>909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915</v>
      </c>
      <c r="C866" s="48" t="s">
        <v>654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916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917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918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919</v>
      </c>
      <c r="C870" s="48" t="s">
        <v>909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920</v>
      </c>
      <c r="C871" s="48" t="s">
        <v>654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921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922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923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924</v>
      </c>
      <c r="C875" s="48" t="s">
        <v>909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925</v>
      </c>
      <c r="C876" s="48" t="s">
        <v>654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926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927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928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929</v>
      </c>
      <c r="C880" s="48" t="s">
        <v>909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930</v>
      </c>
      <c r="C881" s="48" t="s">
        <v>654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931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932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933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934</v>
      </c>
      <c r="C885" s="48" t="s">
        <v>909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935</v>
      </c>
      <c r="C886" s="48" t="s">
        <v>654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936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937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938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939</v>
      </c>
      <c r="C890" s="48" t="s">
        <v>909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940</v>
      </c>
      <c r="C891" s="48" t="s">
        <v>654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941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942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943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944</v>
      </c>
      <c r="C895" s="48" t="s">
        <v>909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945</v>
      </c>
      <c r="C896" s="48" t="s">
        <v>654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946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947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948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949</v>
      </c>
      <c r="C900" s="48" t="s">
        <v>909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950</v>
      </c>
      <c r="C901" s="48" t="s">
        <v>654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951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952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953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954</v>
      </c>
      <c r="C905" s="48" t="s">
        <v>909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955</v>
      </c>
      <c r="C906" s="48" t="s">
        <v>654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956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957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958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959</v>
      </c>
      <c r="C910" s="48" t="s">
        <v>909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960</v>
      </c>
      <c r="C911" s="48" t="s">
        <v>654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961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962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963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964</v>
      </c>
      <c r="C915" s="48" t="s">
        <v>909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965</v>
      </c>
      <c r="C916" s="48" t="s">
        <v>654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966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967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968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969</v>
      </c>
      <c r="C920" s="48" t="s">
        <v>909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970</v>
      </c>
      <c r="C921" s="48" t="s">
        <v>654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971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972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973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974</v>
      </c>
      <c r="C925" s="48" t="s">
        <v>909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975</v>
      </c>
      <c r="C926" s="48" t="s">
        <v>654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976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977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978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979</v>
      </c>
      <c r="C930" s="48" t="s">
        <v>909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980</v>
      </c>
      <c r="C931" s="48" t="s">
        <v>654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981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982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983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984</v>
      </c>
      <c r="C935" s="48" t="s">
        <v>909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985</v>
      </c>
      <c r="C936" s="48" t="s">
        <v>654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986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987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988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989</v>
      </c>
      <c r="C940" s="48" t="s">
        <v>909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990</v>
      </c>
      <c r="C941" s="48" t="s">
        <v>654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991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992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993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994</v>
      </c>
      <c r="C945" s="48" t="s">
        <v>909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995</v>
      </c>
      <c r="C946" s="48" t="s">
        <v>654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996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997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998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999</v>
      </c>
      <c r="C950" s="48" t="s">
        <v>909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1000</v>
      </c>
      <c r="C951" s="48" t="s">
        <v>654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1001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1002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1003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1004</v>
      </c>
      <c r="C955" s="48" t="s">
        <v>909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1005</v>
      </c>
      <c r="C956" s="48" t="s">
        <v>654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1006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1007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1008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1009</v>
      </c>
      <c r="C960" s="48" t="s">
        <v>909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1010</v>
      </c>
      <c r="C961" s="48" t="s">
        <v>654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1011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1012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1013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1014</v>
      </c>
      <c r="C965" s="48" t="s">
        <v>909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1015</v>
      </c>
      <c r="C966" s="48" t="s">
        <v>654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1016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1017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1018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1019</v>
      </c>
      <c r="C970" s="48" t="s">
        <v>909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1020</v>
      </c>
      <c r="C971" s="48" t="s">
        <v>654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1021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1022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1023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1024</v>
      </c>
      <c r="C975" s="48" t="s">
        <v>909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1025</v>
      </c>
      <c r="C976" s="48" t="s">
        <v>654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1026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1027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1028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1029</v>
      </c>
      <c r="C980" s="48" t="s">
        <v>909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1030</v>
      </c>
      <c r="C981" s="48" t="s">
        <v>654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1031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1032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1033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1034</v>
      </c>
      <c r="C985" s="48" t="s">
        <v>1035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1036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1037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1038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1039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1040</v>
      </c>
      <c r="C990" s="48" t="s">
        <v>1035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1041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1042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1043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1044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1045</v>
      </c>
      <c r="C995" s="48" t="s">
        <v>1035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1046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1047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1048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1049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1050</v>
      </c>
      <c r="C1000" s="48" t="s">
        <v>1035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1051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1052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1053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1054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1055</v>
      </c>
      <c r="C1005" s="48" t="s">
        <v>1035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1056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1057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1058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1059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1060</v>
      </c>
      <c r="C1010" s="48" t="s">
        <v>1035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1061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1062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1063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1064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1065</v>
      </c>
      <c r="C1015" s="48" t="s">
        <v>1035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1066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1067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1068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1069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1070</v>
      </c>
      <c r="C1020" s="48" t="s">
        <v>1035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1071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1072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1073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1074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1075</v>
      </c>
      <c r="C1025" s="48" t="s">
        <v>1035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1076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1077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1078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1079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1080</v>
      </c>
      <c r="C1030" s="48" t="s">
        <v>1035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1081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1082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1083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1084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1085</v>
      </c>
      <c r="C1035" s="48" t="s">
        <v>1035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1086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1087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1088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1089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1090</v>
      </c>
      <c r="C1040" s="48" t="s">
        <v>1035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1091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1092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1093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1094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1095</v>
      </c>
      <c r="C1045" s="48" t="s">
        <v>1035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1096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1097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1098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1099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1100</v>
      </c>
      <c r="C1050" s="48" t="s">
        <v>1035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1101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1102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1103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1104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1105</v>
      </c>
      <c r="C1055" s="48" t="s">
        <v>1035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1106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1107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1108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1109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1110</v>
      </c>
      <c r="C1060" s="48" t="s">
        <v>1035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1111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1112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1113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1114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1115</v>
      </c>
      <c r="C1065" s="48" t="s">
        <v>1035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1116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1117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1118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1119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1120</v>
      </c>
      <c r="C1070" s="48" t="s">
        <v>1035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1121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1122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1123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1124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1125</v>
      </c>
      <c r="C1075" s="48" t="s">
        <v>1035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1126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1127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1128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1129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1130</v>
      </c>
      <c r="C1080" s="48" t="s">
        <v>1035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1131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1132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1133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1134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1135</v>
      </c>
      <c r="C1085" s="48" t="s">
        <v>1035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1136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1137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1138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1139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1140</v>
      </c>
      <c r="C1090" s="48" t="s">
        <v>1035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1141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1142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1143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1144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1145</v>
      </c>
      <c r="C1095" s="48" t="s">
        <v>1035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1146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1147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1148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1149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1150</v>
      </c>
      <c r="C1100" s="48" t="s">
        <v>1035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1151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1152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1153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1154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1155</v>
      </c>
      <c r="C1105" s="48" t="s">
        <v>1035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1156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1157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" thickBot="1" x14ac:dyDescent="0.35">
      <c r="B1108" s="50" t="s">
        <v>1158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opLeftCell="A46" zoomScale="70" zoomScaleNormal="70" workbookViewId="0">
      <selection activeCell="AH48" sqref="AH48:AH53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31.6640625" style="1" bestFit="1" customWidth="1"/>
    <col min="63" max="67" width="8.88671875" style="1"/>
    <col min="68" max="68" width="26.5546875" style="1" bestFit="1" customWidth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27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 t="s">
        <v>1163</v>
      </c>
      <c r="BR3" s="8"/>
      <c r="BS3" s="8"/>
      <c r="BT3" s="8"/>
      <c r="BU3" s="8"/>
      <c r="BV3" s="8"/>
      <c r="BW3" s="8"/>
      <c r="BX3" s="8" t="s">
        <v>1164</v>
      </c>
      <c r="BY3" s="8"/>
      <c r="BZ3" s="8"/>
      <c r="CA3" s="8"/>
      <c r="CB3" s="8"/>
      <c r="CC3" s="9"/>
    </row>
    <row r="4" spans="2:81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5"/>
      <c r="AH4" s="7" t="s">
        <v>28</v>
      </c>
      <c r="AI4" s="11"/>
      <c r="AJ4" s="11"/>
      <c r="AK4" s="11"/>
      <c r="AL4" s="11"/>
      <c r="AM4" s="11"/>
      <c r="AN4" s="8"/>
      <c r="AO4" s="8" t="s">
        <v>31</v>
      </c>
      <c r="AP4" s="11"/>
      <c r="AQ4" s="11"/>
      <c r="AR4" s="11"/>
      <c r="AS4" s="11"/>
      <c r="AT4" s="11"/>
      <c r="AU4" s="8"/>
      <c r="AV4" s="8" t="s">
        <v>30</v>
      </c>
      <c r="AW4" s="11"/>
      <c r="AX4" s="11"/>
      <c r="AY4" s="11"/>
      <c r="AZ4" s="11"/>
      <c r="BA4" s="11"/>
      <c r="BB4" s="8"/>
      <c r="BC4" s="8" t="s">
        <v>29</v>
      </c>
      <c r="BD4" s="11"/>
      <c r="BE4" s="11"/>
      <c r="BF4" s="11"/>
      <c r="BG4" s="11"/>
      <c r="BH4" s="34"/>
      <c r="BJ4" s="7" t="s">
        <v>35</v>
      </c>
      <c r="BK4" s="8"/>
      <c r="BL4" s="8"/>
      <c r="BM4" s="8"/>
      <c r="BN4" s="8"/>
      <c r="BO4" s="8"/>
      <c r="BP4" s="8"/>
      <c r="BQ4" s="8" t="s">
        <v>1162</v>
      </c>
      <c r="BR4" s="8"/>
      <c r="BS4" s="8"/>
      <c r="BT4" s="8"/>
      <c r="BU4" s="8"/>
      <c r="BV4" s="58"/>
      <c r="BW4" s="8"/>
      <c r="BX4" s="8" t="s">
        <v>1161</v>
      </c>
      <c r="BY4" s="8"/>
      <c r="BZ4" s="8"/>
      <c r="CA4" s="8"/>
      <c r="CB4" s="8"/>
      <c r="CC4" s="9"/>
    </row>
    <row r="5" spans="2:81" x14ac:dyDescent="0.3">
      <c r="B5" s="13"/>
      <c r="C5" s="11" t="s">
        <v>9</v>
      </c>
      <c r="D5" s="8"/>
      <c r="E5" s="14"/>
      <c r="F5" s="11" t="s">
        <v>10</v>
      </c>
      <c r="G5" s="8"/>
      <c r="H5" s="14"/>
      <c r="I5" s="11" t="s">
        <v>11</v>
      </c>
      <c r="J5" s="8"/>
      <c r="K5" s="14"/>
      <c r="L5" s="40" t="s">
        <v>12</v>
      </c>
      <c r="M5" s="8"/>
      <c r="N5" s="14"/>
      <c r="O5" s="11" t="s">
        <v>13</v>
      </c>
      <c r="P5" s="8"/>
      <c r="Q5" s="14"/>
      <c r="R5" s="11" t="s">
        <v>14</v>
      </c>
      <c r="S5" s="8"/>
      <c r="T5" s="15"/>
      <c r="U5" s="11" t="s">
        <v>15</v>
      </c>
      <c r="V5" s="8"/>
      <c r="W5" s="8"/>
      <c r="X5" s="8"/>
      <c r="Y5" s="8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8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8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8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8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8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20">
        <v>15</v>
      </c>
      <c r="D6" s="8"/>
      <c r="E6" s="42">
        <v>1</v>
      </c>
      <c r="F6" s="21">
        <v>10</v>
      </c>
      <c r="G6" s="8"/>
      <c r="H6" s="42">
        <v>1</v>
      </c>
      <c r="I6" s="14">
        <v>7</v>
      </c>
      <c r="J6" s="8"/>
      <c r="K6" s="42">
        <v>1</v>
      </c>
      <c r="L6" s="14">
        <v>4</v>
      </c>
      <c r="M6" s="8"/>
      <c r="N6" s="42">
        <v>1</v>
      </c>
      <c r="O6" s="14">
        <v>0.5</v>
      </c>
      <c r="P6" s="8"/>
      <c r="Q6" s="42">
        <v>1</v>
      </c>
      <c r="R6" s="14">
        <v>2</v>
      </c>
      <c r="S6" s="8"/>
      <c r="T6" s="42">
        <v>1</v>
      </c>
      <c r="U6" s="20">
        <v>15</v>
      </c>
      <c r="V6" s="8"/>
      <c r="W6" s="8"/>
      <c r="X6" s="8"/>
      <c r="Y6" s="8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8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8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8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6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P6" s="8"/>
      <c r="BQ6" s="23">
        <v>1</v>
      </c>
      <c r="BR6" s="16">
        <f>AI6+AP6*2+AW6*3+BD6*4</f>
        <v>0</v>
      </c>
      <c r="BS6" s="16">
        <f t="shared" ref="BS6:BV6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W6" s="8"/>
      <c r="BX6" s="23">
        <v>1</v>
      </c>
      <c r="BY6" s="16">
        <f>AI6+AP6*POWER(2,$O6)+AW6*POWER(3,$O6)+BD6*POWER(4,$O6)</f>
        <v>0</v>
      </c>
      <c r="BZ6" s="16">
        <f t="shared" ref="BZ6:CC6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20">
        <v>8</v>
      </c>
      <c r="D7" s="8"/>
      <c r="E7" s="42">
        <v>2</v>
      </c>
      <c r="F7" s="24">
        <v>9</v>
      </c>
      <c r="G7" s="8"/>
      <c r="H7" s="42">
        <v>2</v>
      </c>
      <c r="I7" s="14">
        <v>6</v>
      </c>
      <c r="J7" s="8"/>
      <c r="K7" s="42">
        <v>2</v>
      </c>
      <c r="L7" s="14">
        <v>10</v>
      </c>
      <c r="M7" s="8"/>
      <c r="N7" s="42">
        <v>2</v>
      </c>
      <c r="O7" s="14">
        <v>0.2</v>
      </c>
      <c r="P7" s="8"/>
      <c r="Q7" s="42">
        <v>2</v>
      </c>
      <c r="R7" s="14">
        <v>1</v>
      </c>
      <c r="S7" s="8"/>
      <c r="T7" s="42">
        <v>2</v>
      </c>
      <c r="U7" s="20">
        <v>19</v>
      </c>
      <c r="V7" s="8"/>
      <c r="W7" s="8"/>
      <c r="X7" s="8"/>
      <c r="Y7" s="8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8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8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8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K30" si="8">AI7+AP7+AW7+BD7</f>
        <v>0</v>
      </c>
      <c r="BL7" s="16">
        <f t="shared" ref="BL7:BL30" si="9">AJ7+AQ7+AX7+BE7</f>
        <v>0</v>
      </c>
      <c r="BM7" s="16">
        <f t="shared" ref="BM7:BM30" si="10">AK7+AR7+AY7+BF7</f>
        <v>0</v>
      </c>
      <c r="BN7" s="16">
        <f t="shared" ref="BN7:BN30" si="11">AL7+AS7+AZ7+BG7</f>
        <v>0</v>
      </c>
      <c r="BO7" s="16">
        <f t="shared" ref="BO7:BO30" si="12">AM7+AT7+BA7+BH7</f>
        <v>1</v>
      </c>
      <c r="BP7" s="8"/>
      <c r="BQ7" s="23">
        <v>2</v>
      </c>
      <c r="BR7" s="16">
        <f t="shared" ref="BR7:BR30" si="13">AI7+AP7*2+AW7*3+BD7*4</f>
        <v>0</v>
      </c>
      <c r="BS7" s="16">
        <f t="shared" ref="BS7:BS30" si="14">AJ7+AQ7*2+AX7*3+BE7*4</f>
        <v>0</v>
      </c>
      <c r="BT7" s="16">
        <f t="shared" ref="BT7:BT30" si="15">AK7+AR7*2+AY7*3+BF7*4</f>
        <v>0</v>
      </c>
      <c r="BU7" s="16">
        <f t="shared" ref="BU7:BU30" si="16">AL7+AS7*2+AZ7*3+BG7*4</f>
        <v>0</v>
      </c>
      <c r="BV7" s="16">
        <f t="shared" ref="BV7:BV30" si="17">AM7+AT7*2+BA7*3+BH7*4</f>
        <v>1</v>
      </c>
      <c r="BW7" s="8"/>
      <c r="BX7" s="23">
        <v>2</v>
      </c>
      <c r="BY7" s="16">
        <f t="shared" ref="BY7:BY30" si="18">AI7+AP7*POWER(2,$O7)+AW7*POWER(3,$O7)+BD7*POWER(4,$O7)</f>
        <v>0</v>
      </c>
      <c r="BZ7" s="16">
        <f t="shared" ref="BZ7:BZ30" si="19">AJ7+AQ7*POWER(2,$O7)+AX7*POWER(3,$O7)+BE7*POWER(4,$O7)</f>
        <v>0</v>
      </c>
      <c r="CA7" s="16">
        <f t="shared" ref="CA7:CA30" si="20">AK7+AR7*POWER(2,$O7)+AY7*POWER(3,$O7)+BF7*POWER(4,$O7)</f>
        <v>0</v>
      </c>
      <c r="CB7" s="16">
        <f t="shared" ref="CB7:CB30" si="21">AL7+AS7*POWER(2,$O7)+AZ7*POWER(3,$O7)+BG7*POWER(4,$O7)</f>
        <v>0</v>
      </c>
      <c r="CC7" s="19">
        <f t="shared" ref="CC7:CC30" si="22">AM7+AT7*POWER(2,$O7)+BA7*POWER(3,$O7)+BH7*POWER(4,$O7)</f>
        <v>1</v>
      </c>
    </row>
    <row r="8" spans="2:81" x14ac:dyDescent="0.3">
      <c r="B8" s="41">
        <v>3</v>
      </c>
      <c r="C8" s="20">
        <v>12</v>
      </c>
      <c r="D8" s="8"/>
      <c r="E8" s="42">
        <v>3</v>
      </c>
      <c r="F8" s="24">
        <v>5</v>
      </c>
      <c r="G8" s="8"/>
      <c r="H8" s="42">
        <v>3</v>
      </c>
      <c r="I8" s="14">
        <v>10</v>
      </c>
      <c r="J8" s="8"/>
      <c r="K8" s="42">
        <v>3</v>
      </c>
      <c r="L8" s="14">
        <v>10</v>
      </c>
      <c r="M8" s="8"/>
      <c r="N8" s="42">
        <v>3</v>
      </c>
      <c r="O8" s="14">
        <v>0.3</v>
      </c>
      <c r="P8" s="8"/>
      <c r="Q8" s="42">
        <v>3</v>
      </c>
      <c r="R8" s="14">
        <v>1</v>
      </c>
      <c r="S8" s="8"/>
      <c r="T8" s="42">
        <v>3</v>
      </c>
      <c r="U8" s="20">
        <v>23</v>
      </c>
      <c r="V8" s="8"/>
      <c r="W8" s="8"/>
      <c r="X8" s="8"/>
      <c r="Y8" s="8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8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8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8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9"/>
        <v>0</v>
      </c>
      <c r="BM8" s="16">
        <f t="shared" si="10"/>
        <v>1</v>
      </c>
      <c r="BN8" s="16">
        <f t="shared" si="11"/>
        <v>0</v>
      </c>
      <c r="BO8" s="16">
        <f t="shared" si="12"/>
        <v>0</v>
      </c>
      <c r="BP8" s="8"/>
      <c r="BQ8" s="23">
        <v>3</v>
      </c>
      <c r="BR8" s="16">
        <f t="shared" si="13"/>
        <v>0</v>
      </c>
      <c r="BS8" s="16">
        <f t="shared" si="14"/>
        <v>0</v>
      </c>
      <c r="BT8" s="16">
        <f t="shared" si="15"/>
        <v>1</v>
      </c>
      <c r="BU8" s="16">
        <f t="shared" si="16"/>
        <v>0</v>
      </c>
      <c r="BV8" s="16">
        <f t="shared" si="17"/>
        <v>0</v>
      </c>
      <c r="BW8" s="8"/>
      <c r="BX8" s="23">
        <v>3</v>
      </c>
      <c r="BY8" s="16">
        <f t="shared" si="18"/>
        <v>0</v>
      </c>
      <c r="BZ8" s="16">
        <f t="shared" si="19"/>
        <v>0</v>
      </c>
      <c r="CA8" s="16">
        <f t="shared" si="20"/>
        <v>1</v>
      </c>
      <c r="CB8" s="16">
        <f t="shared" si="21"/>
        <v>0</v>
      </c>
      <c r="CC8" s="19">
        <f t="shared" si="22"/>
        <v>0</v>
      </c>
    </row>
    <row r="9" spans="2:81" x14ac:dyDescent="0.3">
      <c r="B9" s="41">
        <v>4</v>
      </c>
      <c r="C9" s="20">
        <v>6</v>
      </c>
      <c r="D9" s="8"/>
      <c r="E9" s="42">
        <v>4</v>
      </c>
      <c r="F9" s="24">
        <v>7</v>
      </c>
      <c r="G9" s="8"/>
      <c r="H9" s="42">
        <v>4</v>
      </c>
      <c r="I9" s="14">
        <v>7</v>
      </c>
      <c r="J9" s="8"/>
      <c r="K9" s="42">
        <v>4</v>
      </c>
      <c r="L9" s="14">
        <v>7</v>
      </c>
      <c r="M9" s="8"/>
      <c r="N9" s="42">
        <v>4</v>
      </c>
      <c r="O9" s="14">
        <v>0.2</v>
      </c>
      <c r="P9" s="8"/>
      <c r="Q9" s="42">
        <v>4</v>
      </c>
      <c r="R9" s="14">
        <v>1</v>
      </c>
      <c r="S9" s="8"/>
      <c r="T9" s="42">
        <v>4</v>
      </c>
      <c r="U9" s="20">
        <v>9</v>
      </c>
      <c r="V9" s="8"/>
      <c r="W9" s="8"/>
      <c r="X9" s="8"/>
      <c r="Y9" s="8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8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8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8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9"/>
        <v>0</v>
      </c>
      <c r="BM9" s="16">
        <f t="shared" si="10"/>
        <v>1</v>
      </c>
      <c r="BN9" s="16">
        <f t="shared" si="11"/>
        <v>0</v>
      </c>
      <c r="BO9" s="16">
        <f t="shared" si="12"/>
        <v>0</v>
      </c>
      <c r="BP9" s="8"/>
      <c r="BQ9" s="23">
        <v>4</v>
      </c>
      <c r="BR9" s="16">
        <f t="shared" si="13"/>
        <v>0</v>
      </c>
      <c r="BS9" s="16">
        <f t="shared" si="14"/>
        <v>0</v>
      </c>
      <c r="BT9" s="16">
        <f t="shared" si="15"/>
        <v>1</v>
      </c>
      <c r="BU9" s="16">
        <f t="shared" si="16"/>
        <v>0</v>
      </c>
      <c r="BV9" s="16">
        <f t="shared" si="17"/>
        <v>0</v>
      </c>
      <c r="BW9" s="8"/>
      <c r="BX9" s="23">
        <v>4</v>
      </c>
      <c r="BY9" s="16">
        <f t="shared" si="18"/>
        <v>0</v>
      </c>
      <c r="BZ9" s="16">
        <f t="shared" si="19"/>
        <v>0</v>
      </c>
      <c r="CA9" s="16">
        <f t="shared" si="20"/>
        <v>1</v>
      </c>
      <c r="CB9" s="16">
        <f t="shared" si="21"/>
        <v>0</v>
      </c>
      <c r="CC9" s="19">
        <f t="shared" si="22"/>
        <v>0</v>
      </c>
    </row>
    <row r="10" spans="2:81" x14ac:dyDescent="0.3">
      <c r="B10" s="41">
        <v>5</v>
      </c>
      <c r="C10" s="20">
        <v>11</v>
      </c>
      <c r="D10" s="8"/>
      <c r="E10" s="42">
        <v>5</v>
      </c>
      <c r="F10" s="24">
        <v>9</v>
      </c>
      <c r="G10" s="8"/>
      <c r="H10" s="42">
        <v>5</v>
      </c>
      <c r="I10" s="14">
        <v>9</v>
      </c>
      <c r="J10" s="8"/>
      <c r="K10" s="42">
        <v>5</v>
      </c>
      <c r="L10" s="14">
        <v>5</v>
      </c>
      <c r="M10" s="8"/>
      <c r="N10" s="42">
        <v>5</v>
      </c>
      <c r="O10" s="14">
        <v>0.9</v>
      </c>
      <c r="P10" s="8"/>
      <c r="Q10" s="42">
        <v>5</v>
      </c>
      <c r="R10" s="14">
        <v>1</v>
      </c>
      <c r="S10" s="8"/>
      <c r="T10" s="42">
        <v>5</v>
      </c>
      <c r="U10" s="20">
        <v>16</v>
      </c>
      <c r="V10" s="8"/>
      <c r="W10" s="8"/>
      <c r="X10" s="8"/>
      <c r="Y10" s="8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8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8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8"/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9"/>
        <v>0</v>
      </c>
      <c r="BM10" s="16">
        <f t="shared" si="10"/>
        <v>1</v>
      </c>
      <c r="BN10" s="16">
        <f t="shared" si="11"/>
        <v>0</v>
      </c>
      <c r="BO10" s="16">
        <f t="shared" si="12"/>
        <v>0</v>
      </c>
      <c r="BP10" s="8"/>
      <c r="BQ10" s="23">
        <v>5</v>
      </c>
      <c r="BR10" s="16">
        <f t="shared" si="13"/>
        <v>0</v>
      </c>
      <c r="BS10" s="16">
        <f t="shared" si="14"/>
        <v>0</v>
      </c>
      <c r="BT10" s="16">
        <f t="shared" si="15"/>
        <v>4</v>
      </c>
      <c r="BU10" s="16">
        <f t="shared" si="16"/>
        <v>0</v>
      </c>
      <c r="BV10" s="16">
        <f t="shared" si="17"/>
        <v>0</v>
      </c>
      <c r="BW10" s="8"/>
      <c r="BX10" s="23">
        <v>5</v>
      </c>
      <c r="BY10" s="16">
        <f t="shared" si="18"/>
        <v>0</v>
      </c>
      <c r="BZ10" s="16">
        <f t="shared" si="19"/>
        <v>0</v>
      </c>
      <c r="CA10" s="16">
        <f t="shared" si="20"/>
        <v>3.4822022531844965</v>
      </c>
      <c r="CB10" s="16">
        <f t="shared" si="21"/>
        <v>0</v>
      </c>
      <c r="CC10" s="19">
        <f t="shared" si="22"/>
        <v>0</v>
      </c>
    </row>
    <row r="11" spans="2:81" x14ac:dyDescent="0.3">
      <c r="B11" s="41">
        <v>6</v>
      </c>
      <c r="C11" s="20">
        <v>14</v>
      </c>
      <c r="D11" s="8"/>
      <c r="E11" s="42">
        <v>6</v>
      </c>
      <c r="F11" s="24">
        <v>6</v>
      </c>
      <c r="G11" s="8"/>
      <c r="H11" s="42">
        <v>6</v>
      </c>
      <c r="I11" s="14">
        <v>8</v>
      </c>
      <c r="J11" s="8"/>
      <c r="K11" s="42">
        <v>6</v>
      </c>
      <c r="L11" s="14">
        <v>2</v>
      </c>
      <c r="M11" s="8"/>
      <c r="N11" s="42">
        <v>6</v>
      </c>
      <c r="O11" s="14">
        <v>0.4</v>
      </c>
      <c r="P11" s="8"/>
      <c r="Q11" s="42">
        <v>6</v>
      </c>
      <c r="R11" s="14">
        <v>1</v>
      </c>
      <c r="S11" s="8"/>
      <c r="T11" s="42">
        <v>6</v>
      </c>
      <c r="U11" s="20">
        <v>21</v>
      </c>
      <c r="V11" s="8"/>
      <c r="W11" s="8"/>
      <c r="X11" s="8"/>
      <c r="Y11" s="8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1</v>
      </c>
      <c r="AN11" s="8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8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8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0</v>
      </c>
      <c r="BL11" s="16">
        <f t="shared" si="9"/>
        <v>0</v>
      </c>
      <c r="BM11" s="16">
        <f t="shared" si="10"/>
        <v>0</v>
      </c>
      <c r="BN11" s="16">
        <f t="shared" si="11"/>
        <v>0</v>
      </c>
      <c r="BO11" s="16">
        <f t="shared" si="12"/>
        <v>1</v>
      </c>
      <c r="BP11" s="8"/>
      <c r="BQ11" s="23">
        <v>6</v>
      </c>
      <c r="BR11" s="16">
        <f t="shared" si="13"/>
        <v>0</v>
      </c>
      <c r="BS11" s="16">
        <f t="shared" si="14"/>
        <v>0</v>
      </c>
      <c r="BT11" s="16">
        <f t="shared" si="15"/>
        <v>0</v>
      </c>
      <c r="BU11" s="16">
        <f t="shared" si="16"/>
        <v>0</v>
      </c>
      <c r="BV11" s="16">
        <f t="shared" si="17"/>
        <v>1</v>
      </c>
      <c r="BW11" s="8"/>
      <c r="BX11" s="23">
        <v>6</v>
      </c>
      <c r="BY11" s="16">
        <f t="shared" si="18"/>
        <v>0</v>
      </c>
      <c r="BZ11" s="16">
        <f t="shared" si="19"/>
        <v>0</v>
      </c>
      <c r="CA11" s="16">
        <f t="shared" si="20"/>
        <v>0</v>
      </c>
      <c r="CB11" s="16">
        <f t="shared" si="21"/>
        <v>0</v>
      </c>
      <c r="CC11" s="19">
        <f t="shared" si="22"/>
        <v>1</v>
      </c>
    </row>
    <row r="12" spans="2:81" x14ac:dyDescent="0.3">
      <c r="B12" s="41">
        <v>7</v>
      </c>
      <c r="C12" s="20">
        <v>14</v>
      </c>
      <c r="D12" s="8"/>
      <c r="E12" s="42">
        <v>7</v>
      </c>
      <c r="F12" s="24">
        <v>9</v>
      </c>
      <c r="G12" s="8"/>
      <c r="H12" s="42">
        <v>7</v>
      </c>
      <c r="I12" s="14">
        <v>6</v>
      </c>
      <c r="J12" s="8"/>
      <c r="K12" s="42">
        <v>7</v>
      </c>
      <c r="L12" s="14">
        <v>1</v>
      </c>
      <c r="M12" s="8"/>
      <c r="N12" s="42">
        <v>7</v>
      </c>
      <c r="O12" s="14">
        <v>0.5</v>
      </c>
      <c r="P12" s="8"/>
      <c r="Q12" s="42">
        <v>7</v>
      </c>
      <c r="R12" s="14">
        <v>1</v>
      </c>
      <c r="S12" s="8"/>
      <c r="T12" s="42">
        <v>7</v>
      </c>
      <c r="U12" s="20">
        <v>11</v>
      </c>
      <c r="V12" s="8"/>
      <c r="W12" s="8"/>
      <c r="X12" s="8"/>
      <c r="Y12" s="8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8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8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8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9"/>
        <v>0</v>
      </c>
      <c r="BM12" s="16">
        <f t="shared" si="10"/>
        <v>0</v>
      </c>
      <c r="BN12" s="16">
        <f t="shared" si="11"/>
        <v>0</v>
      </c>
      <c r="BO12" s="16">
        <f t="shared" si="12"/>
        <v>0</v>
      </c>
      <c r="BP12" s="8"/>
      <c r="BQ12" s="23">
        <v>7</v>
      </c>
      <c r="BR12" s="16">
        <f t="shared" si="13"/>
        <v>0</v>
      </c>
      <c r="BS12" s="16">
        <f t="shared" si="14"/>
        <v>0</v>
      </c>
      <c r="BT12" s="16">
        <f t="shared" si="15"/>
        <v>0</v>
      </c>
      <c r="BU12" s="16">
        <f t="shared" si="16"/>
        <v>0</v>
      </c>
      <c r="BV12" s="16">
        <f t="shared" si="17"/>
        <v>0</v>
      </c>
      <c r="BW12" s="8"/>
      <c r="BX12" s="23">
        <v>7</v>
      </c>
      <c r="BY12" s="16">
        <f t="shared" si="18"/>
        <v>0</v>
      </c>
      <c r="BZ12" s="16">
        <f t="shared" si="19"/>
        <v>0</v>
      </c>
      <c r="CA12" s="16">
        <f t="shared" si="20"/>
        <v>0</v>
      </c>
      <c r="CB12" s="16">
        <f t="shared" si="21"/>
        <v>0</v>
      </c>
      <c r="CC12" s="19">
        <f t="shared" si="22"/>
        <v>0</v>
      </c>
    </row>
    <row r="13" spans="2:81" x14ac:dyDescent="0.3">
      <c r="B13" s="41">
        <v>8</v>
      </c>
      <c r="C13" s="20">
        <v>6</v>
      </c>
      <c r="D13" s="8"/>
      <c r="E13" s="42">
        <v>8</v>
      </c>
      <c r="F13" s="24">
        <v>5</v>
      </c>
      <c r="G13" s="8"/>
      <c r="H13" s="42">
        <v>8</v>
      </c>
      <c r="I13" s="14">
        <v>9</v>
      </c>
      <c r="J13" s="8"/>
      <c r="K13" s="42">
        <v>8</v>
      </c>
      <c r="L13" s="14">
        <v>6</v>
      </c>
      <c r="M13" s="8"/>
      <c r="N13" s="42">
        <v>8</v>
      </c>
      <c r="O13" s="14">
        <v>0.3</v>
      </c>
      <c r="P13" s="8"/>
      <c r="Q13" s="42">
        <v>8</v>
      </c>
      <c r="R13" s="14">
        <v>1</v>
      </c>
      <c r="S13" s="8"/>
      <c r="T13" s="42">
        <v>8</v>
      </c>
      <c r="U13" s="20">
        <v>18</v>
      </c>
      <c r="V13" s="8"/>
      <c r="W13" s="8"/>
      <c r="X13" s="8"/>
      <c r="Y13" s="8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1</v>
      </c>
      <c r="AJ13" s="16">
        <v>0</v>
      </c>
      <c r="AK13" s="16">
        <v>0</v>
      </c>
      <c r="AL13" s="16">
        <v>0</v>
      </c>
      <c r="AM13" s="16">
        <v>0</v>
      </c>
      <c r="AN13" s="8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8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8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1</v>
      </c>
      <c r="BL13" s="16">
        <f t="shared" si="9"/>
        <v>0</v>
      </c>
      <c r="BM13" s="16">
        <f t="shared" si="10"/>
        <v>0</v>
      </c>
      <c r="BN13" s="16">
        <f t="shared" si="11"/>
        <v>0</v>
      </c>
      <c r="BO13" s="16">
        <f t="shared" si="12"/>
        <v>0</v>
      </c>
      <c r="BP13" s="8"/>
      <c r="BQ13" s="23">
        <v>8</v>
      </c>
      <c r="BR13" s="16">
        <f t="shared" si="13"/>
        <v>1</v>
      </c>
      <c r="BS13" s="16">
        <f t="shared" si="14"/>
        <v>0</v>
      </c>
      <c r="BT13" s="16">
        <f t="shared" si="15"/>
        <v>0</v>
      </c>
      <c r="BU13" s="16">
        <f t="shared" si="16"/>
        <v>0</v>
      </c>
      <c r="BV13" s="16">
        <f t="shared" si="17"/>
        <v>0</v>
      </c>
      <c r="BW13" s="8"/>
      <c r="BX13" s="23">
        <v>8</v>
      </c>
      <c r="BY13" s="16">
        <f t="shared" si="18"/>
        <v>1</v>
      </c>
      <c r="BZ13" s="16">
        <f t="shared" si="19"/>
        <v>0</v>
      </c>
      <c r="CA13" s="16">
        <f t="shared" si="20"/>
        <v>0</v>
      </c>
      <c r="CB13" s="16">
        <f t="shared" si="21"/>
        <v>0</v>
      </c>
      <c r="CC13" s="19">
        <f t="shared" si="22"/>
        <v>0</v>
      </c>
    </row>
    <row r="14" spans="2:81" x14ac:dyDescent="0.3">
      <c r="B14" s="41">
        <v>9</v>
      </c>
      <c r="C14" s="20">
        <v>5</v>
      </c>
      <c r="D14" s="8"/>
      <c r="E14" s="42">
        <v>9</v>
      </c>
      <c r="F14" s="24">
        <v>9</v>
      </c>
      <c r="G14" s="8"/>
      <c r="H14" s="42">
        <v>9</v>
      </c>
      <c r="I14" s="14">
        <v>9</v>
      </c>
      <c r="J14" s="8"/>
      <c r="K14" s="42">
        <v>9</v>
      </c>
      <c r="L14" s="14">
        <v>7</v>
      </c>
      <c r="M14" s="8"/>
      <c r="N14" s="42">
        <v>9</v>
      </c>
      <c r="O14" s="14">
        <v>0.8</v>
      </c>
      <c r="P14" s="8"/>
      <c r="Q14" s="42">
        <v>9</v>
      </c>
      <c r="R14" s="14">
        <v>2</v>
      </c>
      <c r="S14" s="8"/>
      <c r="T14" s="42">
        <v>9</v>
      </c>
      <c r="U14" s="20">
        <v>11</v>
      </c>
      <c r="V14" s="8"/>
      <c r="W14" s="8"/>
      <c r="X14" s="8"/>
      <c r="Y14" s="8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8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8"/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B14" s="8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9"/>
        <v>0</v>
      </c>
      <c r="BM14" s="16">
        <f t="shared" si="10"/>
        <v>0</v>
      </c>
      <c r="BN14" s="16">
        <f t="shared" si="11"/>
        <v>1</v>
      </c>
      <c r="BO14" s="16">
        <f t="shared" si="12"/>
        <v>0</v>
      </c>
      <c r="BP14" s="8"/>
      <c r="BQ14" s="23">
        <v>9</v>
      </c>
      <c r="BR14" s="16">
        <f t="shared" si="13"/>
        <v>0</v>
      </c>
      <c r="BS14" s="16">
        <f t="shared" si="14"/>
        <v>0</v>
      </c>
      <c r="BT14" s="16">
        <f t="shared" si="15"/>
        <v>0</v>
      </c>
      <c r="BU14" s="16">
        <f t="shared" si="16"/>
        <v>3</v>
      </c>
      <c r="BV14" s="16">
        <f t="shared" si="17"/>
        <v>0</v>
      </c>
      <c r="BW14" s="8"/>
      <c r="BX14" s="23">
        <v>9</v>
      </c>
      <c r="BY14" s="16">
        <f t="shared" si="18"/>
        <v>0</v>
      </c>
      <c r="BZ14" s="16">
        <f t="shared" si="19"/>
        <v>0</v>
      </c>
      <c r="CA14" s="16">
        <f t="shared" si="20"/>
        <v>0</v>
      </c>
      <c r="CB14" s="16">
        <f t="shared" si="21"/>
        <v>2.4082246852806923</v>
      </c>
      <c r="CC14" s="19">
        <f t="shared" si="22"/>
        <v>0</v>
      </c>
    </row>
    <row r="15" spans="2:81" x14ac:dyDescent="0.3">
      <c r="B15" s="41">
        <v>10</v>
      </c>
      <c r="C15" s="20">
        <v>11</v>
      </c>
      <c r="D15" s="8"/>
      <c r="E15" s="42">
        <v>10</v>
      </c>
      <c r="F15" s="21">
        <v>10</v>
      </c>
      <c r="G15" s="8"/>
      <c r="H15" s="42">
        <v>10</v>
      </c>
      <c r="I15" s="14">
        <v>9</v>
      </c>
      <c r="J15" s="8"/>
      <c r="K15" s="42">
        <v>10</v>
      </c>
      <c r="L15" s="14">
        <v>3</v>
      </c>
      <c r="M15" s="8"/>
      <c r="N15" s="42">
        <v>10</v>
      </c>
      <c r="O15" s="14">
        <v>0.8</v>
      </c>
      <c r="P15" s="8"/>
      <c r="Q15" s="42">
        <v>10</v>
      </c>
      <c r="R15" s="14">
        <v>1</v>
      </c>
      <c r="S15" s="8"/>
      <c r="T15" s="42">
        <v>10</v>
      </c>
      <c r="U15" s="20">
        <v>11</v>
      </c>
      <c r="V15" s="8"/>
      <c r="W15" s="8"/>
      <c r="X15" s="8"/>
      <c r="Y15" s="8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8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8"/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B15" s="8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9"/>
        <v>0</v>
      </c>
      <c r="BM15" s="16">
        <f t="shared" si="10"/>
        <v>0</v>
      </c>
      <c r="BN15" s="16">
        <f t="shared" si="11"/>
        <v>0</v>
      </c>
      <c r="BO15" s="16">
        <f t="shared" si="12"/>
        <v>1</v>
      </c>
      <c r="BP15" s="8"/>
      <c r="BQ15" s="23">
        <v>10</v>
      </c>
      <c r="BR15" s="16">
        <f t="shared" si="13"/>
        <v>0</v>
      </c>
      <c r="BS15" s="16">
        <f t="shared" si="14"/>
        <v>0</v>
      </c>
      <c r="BT15" s="16">
        <f t="shared" si="15"/>
        <v>0</v>
      </c>
      <c r="BU15" s="16">
        <f t="shared" si="16"/>
        <v>0</v>
      </c>
      <c r="BV15" s="16">
        <f t="shared" si="17"/>
        <v>3</v>
      </c>
      <c r="BW15" s="8"/>
      <c r="BX15" s="23">
        <v>10</v>
      </c>
      <c r="BY15" s="16">
        <f t="shared" si="18"/>
        <v>0</v>
      </c>
      <c r="BZ15" s="16">
        <f t="shared" si="19"/>
        <v>0</v>
      </c>
      <c r="CA15" s="16">
        <f t="shared" si="20"/>
        <v>0</v>
      </c>
      <c r="CB15" s="16">
        <f t="shared" si="21"/>
        <v>0</v>
      </c>
      <c r="CC15" s="19">
        <f t="shared" si="22"/>
        <v>2.4082246852806923</v>
      </c>
    </row>
    <row r="16" spans="2:81" x14ac:dyDescent="0.3">
      <c r="B16" s="41">
        <v>11</v>
      </c>
      <c r="C16" s="20">
        <v>12</v>
      </c>
      <c r="D16" s="8"/>
      <c r="E16" s="42">
        <v>11</v>
      </c>
      <c r="F16" s="24">
        <v>7</v>
      </c>
      <c r="G16" s="8"/>
      <c r="H16" s="42">
        <v>11</v>
      </c>
      <c r="I16" s="14">
        <v>5</v>
      </c>
      <c r="J16" s="8"/>
      <c r="K16" s="42">
        <v>11</v>
      </c>
      <c r="L16" s="14">
        <v>4</v>
      </c>
      <c r="M16" s="8"/>
      <c r="N16" s="42">
        <v>11</v>
      </c>
      <c r="O16" s="14">
        <v>0.1</v>
      </c>
      <c r="P16" s="8"/>
      <c r="Q16" s="42">
        <v>11</v>
      </c>
      <c r="R16" s="14">
        <v>2</v>
      </c>
      <c r="S16" s="8"/>
      <c r="T16" s="42">
        <v>11</v>
      </c>
      <c r="U16" s="20">
        <v>17</v>
      </c>
      <c r="V16" s="8"/>
      <c r="W16" s="8"/>
      <c r="X16" s="8"/>
      <c r="Y16" s="8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1</v>
      </c>
      <c r="AJ16" s="16">
        <v>0</v>
      </c>
      <c r="AK16" s="16">
        <v>0</v>
      </c>
      <c r="AL16" s="16">
        <v>0</v>
      </c>
      <c r="AM16" s="16">
        <v>0</v>
      </c>
      <c r="AN16" s="8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8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8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1</v>
      </c>
      <c r="BL16" s="16">
        <f t="shared" si="9"/>
        <v>0</v>
      </c>
      <c r="BM16" s="16">
        <f t="shared" si="10"/>
        <v>0</v>
      </c>
      <c r="BN16" s="16">
        <f t="shared" si="11"/>
        <v>0</v>
      </c>
      <c r="BO16" s="16">
        <f t="shared" si="12"/>
        <v>0</v>
      </c>
      <c r="BP16" s="8"/>
      <c r="BQ16" s="23">
        <v>11</v>
      </c>
      <c r="BR16" s="16">
        <f t="shared" si="13"/>
        <v>1</v>
      </c>
      <c r="BS16" s="16">
        <f t="shared" si="14"/>
        <v>0</v>
      </c>
      <c r="BT16" s="16">
        <f t="shared" si="15"/>
        <v>0</v>
      </c>
      <c r="BU16" s="16">
        <f t="shared" si="16"/>
        <v>0</v>
      </c>
      <c r="BV16" s="16">
        <f t="shared" si="17"/>
        <v>0</v>
      </c>
      <c r="BW16" s="8"/>
      <c r="BX16" s="23">
        <v>11</v>
      </c>
      <c r="BY16" s="16">
        <f t="shared" si="18"/>
        <v>1</v>
      </c>
      <c r="BZ16" s="16">
        <f t="shared" si="19"/>
        <v>0</v>
      </c>
      <c r="CA16" s="16">
        <f t="shared" si="20"/>
        <v>0</v>
      </c>
      <c r="CB16" s="16">
        <f t="shared" si="21"/>
        <v>0</v>
      </c>
      <c r="CC16" s="19">
        <f t="shared" si="22"/>
        <v>0</v>
      </c>
    </row>
    <row r="17" spans="2:81" x14ac:dyDescent="0.3">
      <c r="B17" s="41">
        <v>12</v>
      </c>
      <c r="C17" s="20">
        <v>8</v>
      </c>
      <c r="D17" s="8"/>
      <c r="E17" s="42">
        <v>12</v>
      </c>
      <c r="F17" s="24">
        <v>5</v>
      </c>
      <c r="G17" s="8"/>
      <c r="H17" s="42">
        <v>12</v>
      </c>
      <c r="I17" s="14">
        <v>6</v>
      </c>
      <c r="J17" s="8"/>
      <c r="K17" s="42">
        <v>12</v>
      </c>
      <c r="L17" s="14">
        <v>7</v>
      </c>
      <c r="M17" s="8"/>
      <c r="N17" s="42">
        <v>12</v>
      </c>
      <c r="O17" s="14">
        <v>0.8</v>
      </c>
      <c r="P17" s="8"/>
      <c r="Q17" s="42">
        <v>12</v>
      </c>
      <c r="R17" s="14">
        <v>2</v>
      </c>
      <c r="S17" s="8"/>
      <c r="T17" s="42">
        <v>12</v>
      </c>
      <c r="U17" s="20">
        <v>22</v>
      </c>
      <c r="V17" s="8"/>
      <c r="W17" s="8"/>
      <c r="X17" s="8"/>
      <c r="Y17" s="8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8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8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8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9"/>
        <v>0</v>
      </c>
      <c r="BM17" s="16">
        <f t="shared" si="10"/>
        <v>0</v>
      </c>
      <c r="BN17" s="16">
        <f t="shared" si="11"/>
        <v>1</v>
      </c>
      <c r="BO17" s="16">
        <f t="shared" si="12"/>
        <v>0</v>
      </c>
      <c r="BP17" s="8"/>
      <c r="BQ17" s="23">
        <v>12</v>
      </c>
      <c r="BR17" s="16">
        <f t="shared" si="13"/>
        <v>0</v>
      </c>
      <c r="BS17" s="16">
        <f t="shared" si="14"/>
        <v>0</v>
      </c>
      <c r="BT17" s="16">
        <f t="shared" si="15"/>
        <v>0</v>
      </c>
      <c r="BU17" s="16">
        <f t="shared" si="16"/>
        <v>4</v>
      </c>
      <c r="BV17" s="16">
        <f t="shared" si="17"/>
        <v>0</v>
      </c>
      <c r="BW17" s="8"/>
      <c r="BX17" s="23">
        <v>12</v>
      </c>
      <c r="BY17" s="16">
        <f t="shared" si="18"/>
        <v>0</v>
      </c>
      <c r="BZ17" s="16">
        <f t="shared" si="19"/>
        <v>0</v>
      </c>
      <c r="CA17" s="16">
        <f t="shared" si="20"/>
        <v>0</v>
      </c>
      <c r="CB17" s="16">
        <f t="shared" si="21"/>
        <v>3.031433133020796</v>
      </c>
      <c r="CC17" s="19">
        <f t="shared" si="22"/>
        <v>0</v>
      </c>
    </row>
    <row r="18" spans="2:81" x14ac:dyDescent="0.3">
      <c r="B18" s="41">
        <v>13</v>
      </c>
      <c r="C18" s="20">
        <v>11</v>
      </c>
      <c r="D18" s="8"/>
      <c r="E18" s="42">
        <v>13</v>
      </c>
      <c r="F18" s="24">
        <v>7</v>
      </c>
      <c r="G18" s="8"/>
      <c r="H18" s="42">
        <v>13</v>
      </c>
      <c r="I18" s="14">
        <v>6</v>
      </c>
      <c r="J18" s="8"/>
      <c r="K18" s="42">
        <v>13</v>
      </c>
      <c r="L18" s="14">
        <v>2</v>
      </c>
      <c r="M18" s="8"/>
      <c r="N18" s="42">
        <v>13</v>
      </c>
      <c r="O18" s="14">
        <v>0.1</v>
      </c>
      <c r="P18" s="8"/>
      <c r="Q18" s="42">
        <v>13</v>
      </c>
      <c r="R18" s="14">
        <v>1</v>
      </c>
      <c r="S18" s="8"/>
      <c r="T18" s="42">
        <v>13</v>
      </c>
      <c r="U18" s="20">
        <v>12</v>
      </c>
      <c r="V18" s="8"/>
      <c r="W18" s="8"/>
      <c r="X18" s="8"/>
      <c r="Y18" s="8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8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8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8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9"/>
        <v>0</v>
      </c>
      <c r="BM18" s="16">
        <f t="shared" si="10"/>
        <v>0</v>
      </c>
      <c r="BN18" s="16">
        <f t="shared" si="11"/>
        <v>0</v>
      </c>
      <c r="BO18" s="16">
        <f t="shared" si="12"/>
        <v>0</v>
      </c>
      <c r="BP18" s="8"/>
      <c r="BQ18" s="23">
        <v>13</v>
      </c>
      <c r="BR18" s="16">
        <f t="shared" si="13"/>
        <v>0</v>
      </c>
      <c r="BS18" s="16">
        <f t="shared" si="14"/>
        <v>0</v>
      </c>
      <c r="BT18" s="16">
        <f t="shared" si="15"/>
        <v>0</v>
      </c>
      <c r="BU18" s="16">
        <f t="shared" si="16"/>
        <v>0</v>
      </c>
      <c r="BV18" s="16">
        <f t="shared" si="17"/>
        <v>0</v>
      </c>
      <c r="BW18" s="8"/>
      <c r="BX18" s="23">
        <v>13</v>
      </c>
      <c r="BY18" s="16">
        <f t="shared" si="18"/>
        <v>0</v>
      </c>
      <c r="BZ18" s="16">
        <f t="shared" si="19"/>
        <v>0</v>
      </c>
      <c r="CA18" s="16">
        <f t="shared" si="20"/>
        <v>0</v>
      </c>
      <c r="CB18" s="16">
        <f t="shared" si="21"/>
        <v>0</v>
      </c>
      <c r="CC18" s="19">
        <f t="shared" si="22"/>
        <v>0</v>
      </c>
    </row>
    <row r="19" spans="2:81" x14ac:dyDescent="0.3">
      <c r="B19" s="41">
        <v>14</v>
      </c>
      <c r="C19" s="20">
        <v>13</v>
      </c>
      <c r="D19" s="8"/>
      <c r="E19" s="42">
        <v>14</v>
      </c>
      <c r="F19" s="24">
        <v>8</v>
      </c>
      <c r="G19" s="8"/>
      <c r="H19" s="42">
        <v>14</v>
      </c>
      <c r="I19" s="14">
        <v>9</v>
      </c>
      <c r="J19" s="8"/>
      <c r="K19" s="42">
        <v>14</v>
      </c>
      <c r="L19" s="14">
        <v>9</v>
      </c>
      <c r="M19" s="8"/>
      <c r="N19" s="42">
        <v>14</v>
      </c>
      <c r="O19" s="14">
        <v>0.8</v>
      </c>
      <c r="P19" s="8"/>
      <c r="Q19" s="42">
        <v>14</v>
      </c>
      <c r="R19" s="14">
        <v>3</v>
      </c>
      <c r="S19" s="8"/>
      <c r="T19" s="42">
        <v>14</v>
      </c>
      <c r="U19" s="20">
        <v>12</v>
      </c>
      <c r="V19" s="8"/>
      <c r="W19" s="8"/>
      <c r="X19" s="8"/>
      <c r="Y19" s="8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8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8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8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9"/>
        <v>0</v>
      </c>
      <c r="BM19" s="16">
        <f t="shared" si="10"/>
        <v>1</v>
      </c>
      <c r="BN19" s="16">
        <f t="shared" si="11"/>
        <v>0</v>
      </c>
      <c r="BO19" s="16">
        <f t="shared" si="12"/>
        <v>0</v>
      </c>
      <c r="BP19" s="8"/>
      <c r="BQ19" s="23">
        <v>14</v>
      </c>
      <c r="BR19" s="16">
        <f t="shared" si="13"/>
        <v>0</v>
      </c>
      <c r="BS19" s="16">
        <f t="shared" si="14"/>
        <v>0</v>
      </c>
      <c r="BT19" s="16">
        <f t="shared" si="15"/>
        <v>4</v>
      </c>
      <c r="BU19" s="16">
        <f t="shared" si="16"/>
        <v>0</v>
      </c>
      <c r="BV19" s="16">
        <f t="shared" si="17"/>
        <v>0</v>
      </c>
      <c r="BW19" s="8"/>
      <c r="BX19" s="23">
        <v>14</v>
      </c>
      <c r="BY19" s="16">
        <f t="shared" si="18"/>
        <v>0</v>
      </c>
      <c r="BZ19" s="16">
        <f t="shared" si="19"/>
        <v>0</v>
      </c>
      <c r="CA19" s="16">
        <f t="shared" si="20"/>
        <v>3.031433133020796</v>
      </c>
      <c r="CB19" s="16">
        <f t="shared" si="21"/>
        <v>0</v>
      </c>
      <c r="CC19" s="19">
        <f t="shared" si="22"/>
        <v>0</v>
      </c>
    </row>
    <row r="20" spans="2:81" x14ac:dyDescent="0.3">
      <c r="B20" s="41">
        <v>15</v>
      </c>
      <c r="C20" s="20">
        <v>7</v>
      </c>
      <c r="D20" s="8"/>
      <c r="E20" s="42">
        <v>15</v>
      </c>
      <c r="F20" s="24">
        <v>9</v>
      </c>
      <c r="G20" s="8"/>
      <c r="H20" s="42">
        <v>15</v>
      </c>
      <c r="I20" s="14">
        <v>8</v>
      </c>
      <c r="J20" s="8"/>
      <c r="K20" s="42">
        <v>15</v>
      </c>
      <c r="L20" s="14">
        <v>11</v>
      </c>
      <c r="M20" s="8"/>
      <c r="N20" s="42">
        <v>15</v>
      </c>
      <c r="O20" s="14">
        <v>0.8</v>
      </c>
      <c r="P20" s="8"/>
      <c r="Q20" s="42">
        <v>15</v>
      </c>
      <c r="R20" s="14">
        <v>3</v>
      </c>
      <c r="S20" s="8"/>
      <c r="T20" s="42">
        <v>15</v>
      </c>
      <c r="U20" s="20">
        <v>19</v>
      </c>
      <c r="V20" s="8"/>
      <c r="W20" s="8"/>
      <c r="X20" s="8"/>
      <c r="Y20" s="8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8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8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8"/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9"/>
        <v>0</v>
      </c>
      <c r="BM20" s="16">
        <f t="shared" si="10"/>
        <v>0</v>
      </c>
      <c r="BN20" s="16">
        <f t="shared" si="11"/>
        <v>1</v>
      </c>
      <c r="BO20" s="16">
        <f t="shared" si="12"/>
        <v>0</v>
      </c>
      <c r="BP20" s="8"/>
      <c r="BQ20" s="23">
        <v>15</v>
      </c>
      <c r="BR20" s="16">
        <f t="shared" si="13"/>
        <v>0</v>
      </c>
      <c r="BS20" s="16">
        <f t="shared" si="14"/>
        <v>0</v>
      </c>
      <c r="BT20" s="16">
        <f t="shared" si="15"/>
        <v>0</v>
      </c>
      <c r="BU20" s="16">
        <f t="shared" si="16"/>
        <v>4</v>
      </c>
      <c r="BV20" s="16">
        <f t="shared" si="17"/>
        <v>0</v>
      </c>
      <c r="BW20" s="8"/>
      <c r="BX20" s="23">
        <v>15</v>
      </c>
      <c r="BY20" s="16">
        <f t="shared" si="18"/>
        <v>0</v>
      </c>
      <c r="BZ20" s="16">
        <f t="shared" si="19"/>
        <v>0</v>
      </c>
      <c r="CA20" s="16">
        <f t="shared" si="20"/>
        <v>0</v>
      </c>
      <c r="CB20" s="16">
        <f t="shared" si="21"/>
        <v>3.031433133020796</v>
      </c>
      <c r="CC20" s="19">
        <f t="shared" si="22"/>
        <v>0</v>
      </c>
    </row>
    <row r="21" spans="2:81" x14ac:dyDescent="0.3">
      <c r="B21" s="41">
        <v>16</v>
      </c>
      <c r="C21" s="20">
        <v>14</v>
      </c>
      <c r="D21" s="8"/>
      <c r="E21" s="42">
        <v>16</v>
      </c>
      <c r="F21" s="21">
        <v>23</v>
      </c>
      <c r="G21" s="8"/>
      <c r="H21" s="42">
        <v>16</v>
      </c>
      <c r="I21" s="14">
        <v>5</v>
      </c>
      <c r="J21" s="8"/>
      <c r="K21" s="42">
        <v>16</v>
      </c>
      <c r="L21" s="14">
        <v>2</v>
      </c>
      <c r="M21" s="8"/>
      <c r="N21" s="42">
        <v>16</v>
      </c>
      <c r="O21" s="14">
        <v>0.1</v>
      </c>
      <c r="P21" s="8"/>
      <c r="Q21" s="42">
        <v>16</v>
      </c>
      <c r="R21" s="14">
        <v>2</v>
      </c>
      <c r="S21" s="8"/>
      <c r="T21" s="42">
        <v>16</v>
      </c>
      <c r="U21" s="20">
        <v>16</v>
      </c>
      <c r="V21" s="8"/>
      <c r="W21" s="8"/>
      <c r="X21" s="8"/>
      <c r="Y21" s="8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8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8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8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9"/>
        <v>0</v>
      </c>
      <c r="BM21" s="16">
        <f t="shared" si="10"/>
        <v>0</v>
      </c>
      <c r="BN21" s="16">
        <f t="shared" si="11"/>
        <v>0</v>
      </c>
      <c r="BO21" s="16">
        <f t="shared" si="12"/>
        <v>0</v>
      </c>
      <c r="BP21" s="8"/>
      <c r="BQ21" s="23">
        <v>16</v>
      </c>
      <c r="BR21" s="16">
        <f t="shared" si="13"/>
        <v>0</v>
      </c>
      <c r="BS21" s="16">
        <f t="shared" si="14"/>
        <v>0</v>
      </c>
      <c r="BT21" s="16">
        <f t="shared" si="15"/>
        <v>0</v>
      </c>
      <c r="BU21" s="16">
        <f t="shared" si="16"/>
        <v>0</v>
      </c>
      <c r="BV21" s="16">
        <f t="shared" si="17"/>
        <v>0</v>
      </c>
      <c r="BW21" s="8"/>
      <c r="BX21" s="23">
        <v>16</v>
      </c>
      <c r="BY21" s="16">
        <f t="shared" si="18"/>
        <v>0</v>
      </c>
      <c r="BZ21" s="16">
        <f t="shared" si="19"/>
        <v>0</v>
      </c>
      <c r="CA21" s="16">
        <f t="shared" si="20"/>
        <v>0</v>
      </c>
      <c r="CB21" s="16">
        <f t="shared" si="21"/>
        <v>0</v>
      </c>
      <c r="CC21" s="19">
        <f t="shared" si="22"/>
        <v>0</v>
      </c>
    </row>
    <row r="22" spans="2:81" x14ac:dyDescent="0.3">
      <c r="B22" s="41">
        <v>17</v>
      </c>
      <c r="C22" s="20">
        <v>9</v>
      </c>
      <c r="D22" s="8"/>
      <c r="E22" s="42">
        <v>17</v>
      </c>
      <c r="F22" s="21">
        <v>25</v>
      </c>
      <c r="G22" s="8"/>
      <c r="H22" s="42">
        <v>17</v>
      </c>
      <c r="I22" s="14">
        <v>6</v>
      </c>
      <c r="J22" s="8"/>
      <c r="K22" s="42">
        <v>17</v>
      </c>
      <c r="L22" s="14">
        <v>9</v>
      </c>
      <c r="M22" s="8"/>
      <c r="N22" s="42">
        <v>17</v>
      </c>
      <c r="O22" s="14">
        <v>0.1</v>
      </c>
      <c r="P22" s="8"/>
      <c r="Q22" s="42">
        <v>17</v>
      </c>
      <c r="R22" s="14">
        <v>1</v>
      </c>
      <c r="S22" s="8"/>
      <c r="T22" s="42">
        <v>17</v>
      </c>
      <c r="U22" s="20">
        <v>10</v>
      </c>
      <c r="V22" s="8"/>
      <c r="W22" s="8"/>
      <c r="X22" s="8"/>
      <c r="Y22" s="8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8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8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8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9"/>
        <v>0</v>
      </c>
      <c r="BM22" s="16">
        <f t="shared" si="10"/>
        <v>0</v>
      </c>
      <c r="BN22" s="16">
        <f t="shared" si="11"/>
        <v>0</v>
      </c>
      <c r="BO22" s="16">
        <f t="shared" si="12"/>
        <v>0</v>
      </c>
      <c r="BP22" s="8"/>
      <c r="BQ22" s="23">
        <v>17</v>
      </c>
      <c r="BR22" s="16">
        <f t="shared" si="13"/>
        <v>0</v>
      </c>
      <c r="BS22" s="16">
        <f t="shared" si="14"/>
        <v>0</v>
      </c>
      <c r="BT22" s="16">
        <f t="shared" si="15"/>
        <v>0</v>
      </c>
      <c r="BU22" s="16">
        <f t="shared" si="16"/>
        <v>0</v>
      </c>
      <c r="BV22" s="16">
        <f t="shared" si="17"/>
        <v>0</v>
      </c>
      <c r="BW22" s="8"/>
      <c r="BX22" s="23">
        <v>17</v>
      </c>
      <c r="BY22" s="16">
        <f t="shared" si="18"/>
        <v>0</v>
      </c>
      <c r="BZ22" s="16">
        <f t="shared" si="19"/>
        <v>0</v>
      </c>
      <c r="CA22" s="16">
        <f t="shared" si="20"/>
        <v>0</v>
      </c>
      <c r="CB22" s="16">
        <f t="shared" si="21"/>
        <v>0</v>
      </c>
      <c r="CC22" s="19">
        <f t="shared" si="22"/>
        <v>0</v>
      </c>
    </row>
    <row r="23" spans="2:81" x14ac:dyDescent="0.3">
      <c r="B23" s="41">
        <v>18</v>
      </c>
      <c r="C23" s="20">
        <v>10</v>
      </c>
      <c r="D23" s="8"/>
      <c r="E23" s="42">
        <v>18</v>
      </c>
      <c r="F23" s="21">
        <v>17</v>
      </c>
      <c r="G23" s="8"/>
      <c r="H23" s="42">
        <v>18</v>
      </c>
      <c r="I23" s="14">
        <v>8</v>
      </c>
      <c r="J23" s="8"/>
      <c r="K23" s="42">
        <v>18</v>
      </c>
      <c r="L23" s="14">
        <v>1</v>
      </c>
      <c r="M23" s="8"/>
      <c r="N23" s="42">
        <v>18</v>
      </c>
      <c r="O23" s="14">
        <v>0.8</v>
      </c>
      <c r="P23" s="8"/>
      <c r="Q23" s="42">
        <v>18</v>
      </c>
      <c r="R23" s="14">
        <v>2</v>
      </c>
      <c r="S23" s="8"/>
      <c r="T23" s="42">
        <v>18</v>
      </c>
      <c r="U23" s="20">
        <v>16</v>
      </c>
      <c r="V23" s="8"/>
      <c r="W23" s="8"/>
      <c r="X23" s="8"/>
      <c r="Y23" s="8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8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8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8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9"/>
        <v>0</v>
      </c>
      <c r="BM23" s="16">
        <f t="shared" si="10"/>
        <v>0</v>
      </c>
      <c r="BN23" s="16">
        <f t="shared" si="11"/>
        <v>0</v>
      </c>
      <c r="BO23" s="16">
        <f t="shared" si="12"/>
        <v>0</v>
      </c>
      <c r="BP23" s="8"/>
      <c r="BQ23" s="23">
        <v>18</v>
      </c>
      <c r="BR23" s="16">
        <f t="shared" si="13"/>
        <v>0</v>
      </c>
      <c r="BS23" s="16">
        <f t="shared" si="14"/>
        <v>0</v>
      </c>
      <c r="BT23" s="16">
        <f t="shared" si="15"/>
        <v>0</v>
      </c>
      <c r="BU23" s="16">
        <f t="shared" si="16"/>
        <v>0</v>
      </c>
      <c r="BV23" s="16">
        <f t="shared" si="17"/>
        <v>0</v>
      </c>
      <c r="BW23" s="8"/>
      <c r="BX23" s="23">
        <v>18</v>
      </c>
      <c r="BY23" s="16">
        <f t="shared" si="18"/>
        <v>0</v>
      </c>
      <c r="BZ23" s="16">
        <f t="shared" si="19"/>
        <v>0</v>
      </c>
      <c r="CA23" s="16">
        <f t="shared" si="20"/>
        <v>0</v>
      </c>
      <c r="CB23" s="16">
        <f t="shared" si="21"/>
        <v>0</v>
      </c>
      <c r="CC23" s="19">
        <f t="shared" si="22"/>
        <v>0</v>
      </c>
    </row>
    <row r="24" spans="2:81" x14ac:dyDescent="0.3">
      <c r="B24" s="41">
        <v>19</v>
      </c>
      <c r="C24" s="20">
        <v>13</v>
      </c>
      <c r="D24" s="8"/>
      <c r="E24" s="42">
        <v>19</v>
      </c>
      <c r="F24" s="21">
        <v>15</v>
      </c>
      <c r="G24" s="8"/>
      <c r="H24" s="42">
        <v>19</v>
      </c>
      <c r="I24" s="14">
        <v>9</v>
      </c>
      <c r="J24" s="8"/>
      <c r="K24" s="42">
        <v>19</v>
      </c>
      <c r="L24" s="14">
        <v>4</v>
      </c>
      <c r="M24" s="8"/>
      <c r="N24" s="42">
        <v>19</v>
      </c>
      <c r="O24" s="14">
        <v>0.2</v>
      </c>
      <c r="P24" s="8"/>
      <c r="Q24" s="42">
        <v>19</v>
      </c>
      <c r="R24" s="14">
        <v>2</v>
      </c>
      <c r="S24" s="8"/>
      <c r="T24" s="42">
        <v>19</v>
      </c>
      <c r="U24" s="20">
        <v>20</v>
      </c>
      <c r="V24" s="8"/>
      <c r="W24" s="8"/>
      <c r="X24" s="8"/>
      <c r="Y24" s="8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8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8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8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9"/>
        <v>0</v>
      </c>
      <c r="BM24" s="16">
        <f t="shared" si="10"/>
        <v>0</v>
      </c>
      <c r="BN24" s="16">
        <f t="shared" si="11"/>
        <v>0</v>
      </c>
      <c r="BO24" s="16">
        <f t="shared" si="12"/>
        <v>0</v>
      </c>
      <c r="BP24" s="8"/>
      <c r="BQ24" s="23">
        <v>19</v>
      </c>
      <c r="BR24" s="16">
        <f t="shared" si="13"/>
        <v>0</v>
      </c>
      <c r="BS24" s="16">
        <f t="shared" si="14"/>
        <v>0</v>
      </c>
      <c r="BT24" s="16">
        <f t="shared" si="15"/>
        <v>0</v>
      </c>
      <c r="BU24" s="16">
        <f t="shared" si="16"/>
        <v>0</v>
      </c>
      <c r="BV24" s="16">
        <f t="shared" si="17"/>
        <v>0</v>
      </c>
      <c r="BW24" s="8"/>
      <c r="BX24" s="23">
        <v>19</v>
      </c>
      <c r="BY24" s="16">
        <f t="shared" si="18"/>
        <v>0</v>
      </c>
      <c r="BZ24" s="16">
        <f t="shared" si="19"/>
        <v>0</v>
      </c>
      <c r="CA24" s="16">
        <f t="shared" si="20"/>
        <v>0</v>
      </c>
      <c r="CB24" s="16">
        <f t="shared" si="21"/>
        <v>0</v>
      </c>
      <c r="CC24" s="19">
        <f t="shared" si="22"/>
        <v>0</v>
      </c>
    </row>
    <row r="25" spans="2:81" x14ac:dyDescent="0.3">
      <c r="B25" s="41">
        <v>20</v>
      </c>
      <c r="C25" s="20">
        <v>5</v>
      </c>
      <c r="D25" s="8"/>
      <c r="E25" s="42">
        <v>20</v>
      </c>
      <c r="F25" s="21">
        <v>23</v>
      </c>
      <c r="G25" s="8"/>
      <c r="H25" s="42">
        <v>20</v>
      </c>
      <c r="I25" s="14">
        <v>6</v>
      </c>
      <c r="J25" s="8"/>
      <c r="K25" s="42">
        <v>20</v>
      </c>
      <c r="L25" s="14">
        <v>2</v>
      </c>
      <c r="M25" s="8"/>
      <c r="N25" s="42">
        <v>20</v>
      </c>
      <c r="O25" s="14">
        <v>0.6</v>
      </c>
      <c r="P25" s="8"/>
      <c r="Q25" s="42">
        <v>20</v>
      </c>
      <c r="R25" s="14">
        <v>3</v>
      </c>
      <c r="S25" s="8"/>
      <c r="T25" s="42">
        <v>20</v>
      </c>
      <c r="U25" s="20">
        <v>19</v>
      </c>
      <c r="V25" s="8"/>
      <c r="W25" s="8"/>
      <c r="X25" s="8"/>
      <c r="Y25" s="8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8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8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8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9"/>
        <v>0</v>
      </c>
      <c r="BM25" s="16">
        <f t="shared" si="10"/>
        <v>0</v>
      </c>
      <c r="BN25" s="16">
        <f t="shared" si="11"/>
        <v>0</v>
      </c>
      <c r="BO25" s="16">
        <f t="shared" si="12"/>
        <v>0</v>
      </c>
      <c r="BP25" s="8"/>
      <c r="BQ25" s="23">
        <v>20</v>
      </c>
      <c r="BR25" s="16">
        <f t="shared" si="13"/>
        <v>0</v>
      </c>
      <c r="BS25" s="16">
        <f t="shared" si="14"/>
        <v>0</v>
      </c>
      <c r="BT25" s="16">
        <f t="shared" si="15"/>
        <v>0</v>
      </c>
      <c r="BU25" s="16">
        <f t="shared" si="16"/>
        <v>0</v>
      </c>
      <c r="BV25" s="16">
        <f t="shared" si="17"/>
        <v>0</v>
      </c>
      <c r="BW25" s="8"/>
      <c r="BX25" s="23">
        <v>20</v>
      </c>
      <c r="BY25" s="16">
        <f t="shared" si="18"/>
        <v>0</v>
      </c>
      <c r="BZ25" s="16">
        <f t="shared" si="19"/>
        <v>0</v>
      </c>
      <c r="CA25" s="16">
        <f t="shared" si="20"/>
        <v>0</v>
      </c>
      <c r="CB25" s="16">
        <f t="shared" si="21"/>
        <v>0</v>
      </c>
      <c r="CC25" s="19">
        <f t="shared" si="22"/>
        <v>0</v>
      </c>
    </row>
    <row r="26" spans="2:81" x14ac:dyDescent="0.3">
      <c r="B26" s="41">
        <v>21</v>
      </c>
      <c r="C26" s="20">
        <v>11</v>
      </c>
      <c r="D26" s="8"/>
      <c r="E26" s="42">
        <v>21</v>
      </c>
      <c r="F26" s="21">
        <v>19</v>
      </c>
      <c r="G26" s="8"/>
      <c r="H26" s="42">
        <v>21</v>
      </c>
      <c r="I26" s="14">
        <v>8</v>
      </c>
      <c r="J26" s="8"/>
      <c r="K26" s="42">
        <v>21</v>
      </c>
      <c r="L26" s="14">
        <v>6</v>
      </c>
      <c r="M26" s="8"/>
      <c r="N26" s="42">
        <v>21</v>
      </c>
      <c r="O26" s="14">
        <v>0.6</v>
      </c>
      <c r="P26" s="8"/>
      <c r="Q26" s="42">
        <v>21</v>
      </c>
      <c r="R26" s="14">
        <v>2</v>
      </c>
      <c r="S26" s="8"/>
      <c r="T26" s="42">
        <v>21</v>
      </c>
      <c r="U26" s="20">
        <v>24</v>
      </c>
      <c r="V26" s="8"/>
      <c r="W26" s="8"/>
      <c r="X26" s="8"/>
      <c r="Y26" s="8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8"/>
      <c r="AO26" s="23">
        <v>21</v>
      </c>
      <c r="AP26" s="16">
        <v>1</v>
      </c>
      <c r="AQ26" s="16">
        <v>0</v>
      </c>
      <c r="AR26" s="16">
        <v>0</v>
      </c>
      <c r="AS26" s="16">
        <v>0</v>
      </c>
      <c r="AT26" s="16">
        <v>0</v>
      </c>
      <c r="AU26" s="8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8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1</v>
      </c>
      <c r="BL26" s="16">
        <f t="shared" si="9"/>
        <v>0</v>
      </c>
      <c r="BM26" s="16">
        <f t="shared" si="10"/>
        <v>0</v>
      </c>
      <c r="BN26" s="16">
        <f t="shared" si="11"/>
        <v>0</v>
      </c>
      <c r="BO26" s="16">
        <f t="shared" si="12"/>
        <v>0</v>
      </c>
      <c r="BP26" s="8"/>
      <c r="BQ26" s="23">
        <v>21</v>
      </c>
      <c r="BR26" s="16">
        <f t="shared" si="13"/>
        <v>2</v>
      </c>
      <c r="BS26" s="16">
        <f t="shared" si="14"/>
        <v>0</v>
      </c>
      <c r="BT26" s="16">
        <f t="shared" si="15"/>
        <v>0</v>
      </c>
      <c r="BU26" s="16">
        <f t="shared" si="16"/>
        <v>0</v>
      </c>
      <c r="BV26" s="16">
        <f t="shared" si="17"/>
        <v>0</v>
      </c>
      <c r="BW26" s="8"/>
      <c r="BX26" s="23">
        <v>21</v>
      </c>
      <c r="BY26" s="16">
        <f t="shared" si="18"/>
        <v>1.515716566510398</v>
      </c>
      <c r="BZ26" s="16">
        <f t="shared" si="19"/>
        <v>0</v>
      </c>
      <c r="CA26" s="16">
        <f t="shared" si="20"/>
        <v>0</v>
      </c>
      <c r="CB26" s="16">
        <f t="shared" si="21"/>
        <v>0</v>
      </c>
      <c r="CC26" s="19">
        <f t="shared" si="22"/>
        <v>0</v>
      </c>
    </row>
    <row r="27" spans="2:81" x14ac:dyDescent="0.3">
      <c r="B27" s="41">
        <v>22</v>
      </c>
      <c r="C27" s="20">
        <v>11</v>
      </c>
      <c r="D27" s="8"/>
      <c r="E27" s="42">
        <v>22</v>
      </c>
      <c r="F27" s="21">
        <v>19</v>
      </c>
      <c r="G27" s="8"/>
      <c r="H27" s="42">
        <v>22</v>
      </c>
      <c r="I27" s="14">
        <v>9</v>
      </c>
      <c r="J27" s="8"/>
      <c r="K27" s="42">
        <v>22</v>
      </c>
      <c r="L27" s="14">
        <v>6</v>
      </c>
      <c r="M27" s="8"/>
      <c r="N27" s="42">
        <v>22</v>
      </c>
      <c r="O27" s="14">
        <v>0.4</v>
      </c>
      <c r="P27" s="8"/>
      <c r="Q27" s="42">
        <v>22</v>
      </c>
      <c r="R27" s="14">
        <v>1</v>
      </c>
      <c r="S27" s="8"/>
      <c r="T27" s="42">
        <v>22</v>
      </c>
      <c r="U27" s="20">
        <v>16</v>
      </c>
      <c r="V27" s="8"/>
      <c r="W27" s="8"/>
      <c r="X27" s="8"/>
      <c r="Y27" s="8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8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8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8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9"/>
        <v>0</v>
      </c>
      <c r="BM27" s="16">
        <f t="shared" si="10"/>
        <v>0</v>
      </c>
      <c r="BN27" s="16">
        <f t="shared" si="11"/>
        <v>0</v>
      </c>
      <c r="BO27" s="16">
        <f t="shared" si="12"/>
        <v>1</v>
      </c>
      <c r="BP27" s="8"/>
      <c r="BQ27" s="23">
        <v>22</v>
      </c>
      <c r="BR27" s="16">
        <f t="shared" si="13"/>
        <v>0</v>
      </c>
      <c r="BS27" s="16">
        <f t="shared" si="14"/>
        <v>0</v>
      </c>
      <c r="BT27" s="16">
        <f t="shared" si="15"/>
        <v>0</v>
      </c>
      <c r="BU27" s="16">
        <f t="shared" si="16"/>
        <v>0</v>
      </c>
      <c r="BV27" s="16">
        <f t="shared" si="17"/>
        <v>1</v>
      </c>
      <c r="BW27" s="8"/>
      <c r="BX27" s="23">
        <v>22</v>
      </c>
      <c r="BY27" s="16">
        <f t="shared" si="18"/>
        <v>0</v>
      </c>
      <c r="BZ27" s="16">
        <f t="shared" si="19"/>
        <v>0</v>
      </c>
      <c r="CA27" s="16">
        <f t="shared" si="20"/>
        <v>0</v>
      </c>
      <c r="CB27" s="16">
        <f t="shared" si="21"/>
        <v>0</v>
      </c>
      <c r="CC27" s="19">
        <f t="shared" si="22"/>
        <v>1</v>
      </c>
    </row>
    <row r="28" spans="2:81" x14ac:dyDescent="0.3">
      <c r="B28" s="41">
        <v>23</v>
      </c>
      <c r="C28" s="20">
        <v>7</v>
      </c>
      <c r="D28" s="8"/>
      <c r="E28" s="42">
        <v>23</v>
      </c>
      <c r="F28" s="21">
        <v>16</v>
      </c>
      <c r="G28" s="8"/>
      <c r="H28" s="42">
        <v>23</v>
      </c>
      <c r="I28" s="14">
        <v>7</v>
      </c>
      <c r="J28" s="8"/>
      <c r="K28" s="42">
        <v>23</v>
      </c>
      <c r="L28" s="14">
        <v>8</v>
      </c>
      <c r="M28" s="8"/>
      <c r="N28" s="42">
        <v>23</v>
      </c>
      <c r="O28" s="14">
        <v>0.5</v>
      </c>
      <c r="P28" s="8"/>
      <c r="Q28" s="42">
        <v>23</v>
      </c>
      <c r="R28" s="14">
        <v>2</v>
      </c>
      <c r="S28" s="8"/>
      <c r="T28" s="42">
        <v>23</v>
      </c>
      <c r="U28" s="20">
        <v>13</v>
      </c>
      <c r="V28" s="8"/>
      <c r="W28" s="8"/>
      <c r="X28" s="8"/>
      <c r="Y28" s="8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8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8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8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9"/>
        <v>0</v>
      </c>
      <c r="BM28" s="16">
        <f t="shared" si="10"/>
        <v>0</v>
      </c>
      <c r="BN28" s="16">
        <f t="shared" si="11"/>
        <v>0</v>
      </c>
      <c r="BO28" s="16">
        <f t="shared" si="12"/>
        <v>1</v>
      </c>
      <c r="BP28" s="8"/>
      <c r="BQ28" s="23">
        <v>23</v>
      </c>
      <c r="BR28" s="16">
        <f t="shared" si="13"/>
        <v>0</v>
      </c>
      <c r="BS28" s="16">
        <f t="shared" si="14"/>
        <v>0</v>
      </c>
      <c r="BT28" s="16">
        <f t="shared" si="15"/>
        <v>0</v>
      </c>
      <c r="BU28" s="16">
        <f t="shared" si="16"/>
        <v>0</v>
      </c>
      <c r="BV28" s="16">
        <f t="shared" si="17"/>
        <v>1</v>
      </c>
      <c r="BW28" s="8"/>
      <c r="BX28" s="23">
        <v>23</v>
      </c>
      <c r="BY28" s="16">
        <f t="shared" si="18"/>
        <v>0</v>
      </c>
      <c r="BZ28" s="16">
        <f t="shared" si="19"/>
        <v>0</v>
      </c>
      <c r="CA28" s="16">
        <f t="shared" si="20"/>
        <v>0</v>
      </c>
      <c r="CB28" s="16">
        <f t="shared" si="21"/>
        <v>0</v>
      </c>
      <c r="CC28" s="19">
        <f t="shared" si="22"/>
        <v>1</v>
      </c>
    </row>
    <row r="29" spans="2:81" x14ac:dyDescent="0.3">
      <c r="B29" s="41">
        <v>24</v>
      </c>
      <c r="C29" s="20">
        <v>10</v>
      </c>
      <c r="D29" s="8"/>
      <c r="E29" s="42">
        <v>24</v>
      </c>
      <c r="F29" s="21">
        <v>14</v>
      </c>
      <c r="G29" s="8"/>
      <c r="H29" s="42">
        <v>24</v>
      </c>
      <c r="I29" s="14">
        <v>5</v>
      </c>
      <c r="J29" s="8"/>
      <c r="K29" s="42">
        <v>24</v>
      </c>
      <c r="L29" s="14">
        <v>2</v>
      </c>
      <c r="M29" s="8"/>
      <c r="N29" s="42">
        <v>24</v>
      </c>
      <c r="O29" s="14">
        <v>0.8</v>
      </c>
      <c r="P29" s="8"/>
      <c r="Q29" s="42">
        <v>24</v>
      </c>
      <c r="R29" s="14">
        <v>1</v>
      </c>
      <c r="S29" s="8"/>
      <c r="T29" s="42">
        <v>24</v>
      </c>
      <c r="U29" s="20">
        <v>16</v>
      </c>
      <c r="V29" s="8"/>
      <c r="W29" s="8"/>
      <c r="X29" s="8"/>
      <c r="Y29" s="8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8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1</v>
      </c>
      <c r="AU29" s="8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8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9"/>
        <v>0</v>
      </c>
      <c r="BM29" s="16">
        <f t="shared" si="10"/>
        <v>0</v>
      </c>
      <c r="BN29" s="16">
        <f t="shared" si="11"/>
        <v>0</v>
      </c>
      <c r="BO29" s="16">
        <f t="shared" si="12"/>
        <v>1</v>
      </c>
      <c r="BP29" s="8"/>
      <c r="BQ29" s="23">
        <v>24</v>
      </c>
      <c r="BR29" s="16">
        <f t="shared" si="13"/>
        <v>0</v>
      </c>
      <c r="BS29" s="16">
        <f t="shared" si="14"/>
        <v>0</v>
      </c>
      <c r="BT29" s="16">
        <f t="shared" si="15"/>
        <v>0</v>
      </c>
      <c r="BU29" s="16">
        <f t="shared" si="16"/>
        <v>0</v>
      </c>
      <c r="BV29" s="16">
        <f t="shared" si="17"/>
        <v>2</v>
      </c>
      <c r="BW29" s="8"/>
      <c r="BX29" s="23">
        <v>24</v>
      </c>
      <c r="BY29" s="16">
        <f t="shared" si="18"/>
        <v>0</v>
      </c>
      <c r="BZ29" s="16">
        <f t="shared" si="19"/>
        <v>0</v>
      </c>
      <c r="CA29" s="16">
        <f t="shared" si="20"/>
        <v>0</v>
      </c>
      <c r="CB29" s="16">
        <f t="shared" si="21"/>
        <v>0</v>
      </c>
      <c r="CC29" s="19">
        <f t="shared" si="22"/>
        <v>1.7411011265922482</v>
      </c>
    </row>
    <row r="30" spans="2:81" x14ac:dyDescent="0.3">
      <c r="B30" s="41">
        <v>25</v>
      </c>
      <c r="C30" s="20">
        <v>13</v>
      </c>
      <c r="D30" s="8"/>
      <c r="E30" s="42">
        <v>25</v>
      </c>
      <c r="F30" s="21">
        <v>16</v>
      </c>
      <c r="G30" s="8"/>
      <c r="H30" s="42">
        <v>25</v>
      </c>
      <c r="I30" s="14">
        <v>10</v>
      </c>
      <c r="J30" s="8"/>
      <c r="K30" s="42">
        <v>25</v>
      </c>
      <c r="L30" s="14">
        <v>4</v>
      </c>
      <c r="M30" s="8"/>
      <c r="N30" s="42">
        <v>25</v>
      </c>
      <c r="O30" s="14">
        <v>0.9</v>
      </c>
      <c r="P30" s="8"/>
      <c r="Q30" s="42">
        <v>25</v>
      </c>
      <c r="R30" s="14">
        <v>2</v>
      </c>
      <c r="S30" s="8"/>
      <c r="T30" s="42">
        <v>25</v>
      </c>
      <c r="U30" s="20">
        <v>14</v>
      </c>
      <c r="V30" s="8"/>
      <c r="W30" s="8"/>
      <c r="X30" s="8"/>
      <c r="Y30" s="8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8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8"/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8"/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9"/>
        <v>1</v>
      </c>
      <c r="BM30" s="16">
        <f t="shared" si="10"/>
        <v>0</v>
      </c>
      <c r="BN30" s="16">
        <f t="shared" si="11"/>
        <v>0</v>
      </c>
      <c r="BO30" s="16">
        <f t="shared" si="12"/>
        <v>0</v>
      </c>
      <c r="BP30" s="8"/>
      <c r="BQ30" s="23">
        <v>25</v>
      </c>
      <c r="BR30" s="16">
        <f t="shared" si="13"/>
        <v>0</v>
      </c>
      <c r="BS30" s="16">
        <f t="shared" si="14"/>
        <v>4</v>
      </c>
      <c r="BT30" s="16">
        <f t="shared" si="15"/>
        <v>0</v>
      </c>
      <c r="BU30" s="16">
        <f t="shared" si="16"/>
        <v>0</v>
      </c>
      <c r="BV30" s="16">
        <f t="shared" si="17"/>
        <v>0</v>
      </c>
      <c r="BW30" s="8"/>
      <c r="BX30" s="23">
        <v>25</v>
      </c>
      <c r="BY30" s="16">
        <f t="shared" si="18"/>
        <v>0</v>
      </c>
      <c r="BZ30" s="16">
        <f t="shared" si="19"/>
        <v>3.4822022531844965</v>
      </c>
      <c r="CA30" s="16">
        <f t="shared" si="20"/>
        <v>0</v>
      </c>
      <c r="CB30" s="16">
        <f t="shared" si="21"/>
        <v>0</v>
      </c>
      <c r="CC30" s="19">
        <f t="shared" si="22"/>
        <v>0</v>
      </c>
    </row>
    <row r="31" spans="2:81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32</v>
      </c>
      <c r="AI31" s="8">
        <v>1</v>
      </c>
      <c r="AJ31" s="8"/>
      <c r="AK31" s="8"/>
      <c r="AL31" s="8"/>
      <c r="AM31" s="8"/>
      <c r="AN31" s="8"/>
      <c r="AO31" s="8" t="s">
        <v>32</v>
      </c>
      <c r="AP31" s="8">
        <v>2</v>
      </c>
      <c r="AQ31" s="8"/>
      <c r="AR31" s="8"/>
      <c r="AS31" s="8"/>
      <c r="AT31" s="8"/>
      <c r="AU31" s="8"/>
      <c r="AV31" s="8" t="s">
        <v>32</v>
      </c>
      <c r="AW31" s="8">
        <v>3</v>
      </c>
      <c r="AX31" s="8"/>
      <c r="AY31" s="8"/>
      <c r="AZ31" s="8"/>
      <c r="BA31" s="8"/>
      <c r="BB31" s="8"/>
      <c r="BC31" s="8" t="s">
        <v>32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7"/>
      <c r="BW31" s="8"/>
      <c r="BX31" s="8"/>
      <c r="BY31" s="8"/>
      <c r="BZ31" s="8"/>
      <c r="CA31" s="8"/>
      <c r="CB31" s="8"/>
      <c r="CC31" s="9"/>
    </row>
    <row r="32" spans="2:81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9"/>
    </row>
    <row r="33" spans="2:81" ht="16.2" thickBot="1" x14ac:dyDescent="0.35">
      <c r="B33" s="41">
        <v>1</v>
      </c>
      <c r="C33" s="28">
        <v>50</v>
      </c>
      <c r="D33" s="11"/>
      <c r="E33" s="42">
        <v>1</v>
      </c>
      <c r="F33" s="28">
        <v>34</v>
      </c>
      <c r="G33" s="43"/>
      <c r="H33" s="42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28">
        <v>65</v>
      </c>
      <c r="D34" s="11"/>
      <c r="E34" s="42">
        <v>2</v>
      </c>
      <c r="F34" s="28">
        <v>30</v>
      </c>
      <c r="G34" s="43"/>
      <c r="H34" s="42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26</v>
      </c>
      <c r="AB34" s="8"/>
      <c r="AC34" s="8"/>
      <c r="AD34" s="8"/>
      <c r="AE34" s="8"/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28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28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81" x14ac:dyDescent="0.3">
      <c r="B37" s="41">
        <v>5</v>
      </c>
      <c r="C37" s="28">
        <v>110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BJ37" s="62" t="s">
        <v>1165</v>
      </c>
    </row>
    <row r="38" spans="2:81" x14ac:dyDescent="0.3">
      <c r="B38" s="32"/>
      <c r="C38" s="2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1166</v>
      </c>
    </row>
    <row r="39" spans="2:81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</row>
    <row r="40" spans="2:81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  <c r="BJ40" s="16">
        <v>2</v>
      </c>
      <c r="BK40" s="61" cm="1">
        <f t="array" aca="1" ref="BK40" ca="1">BY7*$C7*$L7*POWER($F7,$O7)*INDIRECT(ADDRESS(32+COLUMNS($A$1:A2),9))</f>
        <v>0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31.036911478307196</v>
      </c>
      <c r="BP40" s="1">
        <f t="shared" ref="BP40:BP64" ca="1" si="23">SUM(BK40:BO40)</f>
        <v>31.036911478307196</v>
      </c>
    </row>
    <row r="41" spans="2:81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23"/>
        <v>194.4787916031315</v>
      </c>
    </row>
    <row r="42" spans="2:81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61.982472786971179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0</v>
      </c>
      <c r="BP42" s="1">
        <f t="shared" ca="1" si="23"/>
        <v>61.982472786971179</v>
      </c>
    </row>
    <row r="43" spans="2:81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23"/>
        <v>1383.6776951677273</v>
      </c>
    </row>
    <row r="44" spans="2:81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  <c r="BJ44" s="16">
        <v>6</v>
      </c>
      <c r="BK44" s="61" cm="1">
        <f t="array" aca="1" ref="BK44" ca="1">BY11*$C11*$L11*POWER($F11,$O11)*INDIRECT(ADDRESS(32+COLUMNS($A$1:A6),9))</f>
        <v>0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14.333707577554534</v>
      </c>
      <c r="BP44" s="1">
        <f t="shared" ca="1" si="23"/>
        <v>14.333707577554534</v>
      </c>
    </row>
    <row r="45" spans="2:81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23"/>
        <v>0</v>
      </c>
    </row>
    <row r="46" spans="2:81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  <c r="BJ46" s="16">
        <v>8</v>
      </c>
      <c r="BK46" s="61" cm="1">
        <f t="array" aca="1" ref="BK46" ca="1">BY13*$C13*$L13*POWER($F13,$O13)*INDIRECT(ADDRESS(32+COLUMNS($A$1:A8),9))</f>
        <v>14.585909370234862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0</v>
      </c>
      <c r="BP46" s="1">
        <f t="shared" ca="1" si="23"/>
        <v>14.585909370234862</v>
      </c>
    </row>
    <row r="47" spans="2:81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0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293.2988134700031</v>
      </c>
      <c r="BO47" s="16" cm="1">
        <f t="array" aca="1" ref="BO47" ca="1">CC14*$C14*$L14*POWER($F14,$O14)*INDIRECT(ADDRESS(32+COLUMNS($A$1:E9),9))</f>
        <v>0</v>
      </c>
      <c r="BP47" s="1">
        <f t="shared" ca="1" si="23"/>
        <v>293.2988134700031</v>
      </c>
    </row>
    <row r="48" spans="2:81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/>
      <c r="BJ48" s="16">
        <v>10</v>
      </c>
      <c r="BK48" s="61" cm="1">
        <f t="array" aca="1" ref="BK48" ca="1">BY15*$C15*$L15*POWER($F15,$O15)*INDIRECT(ADDRESS(32+COLUMNS($A$1:A10),9))</f>
        <v>0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125.3576818177493</v>
      </c>
      <c r="BP48" s="1">
        <f t="shared" ca="1" si="23"/>
        <v>125.3576818177493</v>
      </c>
    </row>
    <row r="49" spans="1:91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BJ49" s="16">
        <v>11</v>
      </c>
      <c r="BK49" s="61" cm="1">
        <f t="array" aca="1" ref="BK49" ca="1">BY16*$C16*$L16*POWER($F16,$O16)*INDIRECT(ADDRESS(32+COLUMNS($A$1:A11),9))</f>
        <v>14.577768528468802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0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23"/>
        <v>14.577768528468802</v>
      </c>
    </row>
    <row r="50" spans="1:91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23"/>
        <v>369.11634255085556</v>
      </c>
    </row>
    <row r="51" spans="1:91" ht="16.2" thickBot="1" x14ac:dyDescent="0.35"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23"/>
        <v>0</v>
      </c>
    </row>
    <row r="52" spans="1:91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23"/>
        <v>1871.9999999999998</v>
      </c>
    </row>
    <row r="53" spans="1:91" x14ac:dyDescent="0.3">
      <c r="B53" s="7"/>
      <c r="C53" s="8"/>
      <c r="D53" s="8"/>
      <c r="E53" s="8"/>
      <c r="F53" s="9"/>
      <c r="H53" s="10" t="s">
        <v>2</v>
      </c>
      <c r="I53" s="11"/>
      <c r="J53" s="34"/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0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812.23925749895227</v>
      </c>
      <c r="BO53" s="16" cm="1">
        <f t="array" aca="1" ref="BO53" ca="1">CC20*$C20*$L20*POWER($F20,$O20)*INDIRECT(ADDRESS(32+COLUMNS($A$1:E15),9))</f>
        <v>0</v>
      </c>
      <c r="BP53" s="1">
        <f t="shared" ca="1" si="23"/>
        <v>812.23925749895227</v>
      </c>
    </row>
    <row r="54" spans="1:91" x14ac:dyDescent="0.3">
      <c r="B54" s="7"/>
      <c r="C54" s="8"/>
      <c r="D54" s="8"/>
      <c r="E54" s="8"/>
      <c r="F54" s="9"/>
      <c r="H54" s="10" t="s">
        <v>1</v>
      </c>
      <c r="I54" s="11"/>
      <c r="J54" s="34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23"/>
        <v>0</v>
      </c>
    </row>
    <row r="55" spans="1:91" ht="16.2" thickBot="1" x14ac:dyDescent="0.35">
      <c r="B55" s="25" cm="1">
        <f t="array" ref="B55">SUMPRODUCT(MMULT(BY6:CC30*C6:C30*L6:L30*POWER(F6:F30,O6:O30),I33:I37))</f>
        <v>6945.7335192189566</v>
      </c>
      <c r="C55" s="26"/>
      <c r="D55" s="26"/>
      <c r="E55" s="26"/>
      <c r="F55" s="27"/>
      <c r="H55" s="25" t="s">
        <v>1160</v>
      </c>
      <c r="I55" s="26"/>
      <c r="J55" s="27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23"/>
        <v>0</v>
      </c>
    </row>
    <row r="56" spans="1:91" ht="16.2" thickBot="1" x14ac:dyDescent="0.35"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23"/>
        <v>0</v>
      </c>
    </row>
    <row r="57" spans="1:91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23"/>
        <v>0</v>
      </c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23"/>
        <v>0</v>
      </c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6">
        <v>21</v>
      </c>
      <c r="BK59" s="61" cm="1">
        <f t="array" aca="1" ref="BK59" ca="1">BY26*$C26*$L26*POWER($F26,$O26)*INDIRECT(ADDRESS(32+COLUMNS($A$1:A21),9))</f>
        <v>146.33698473728819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0</v>
      </c>
      <c r="BP59" s="1">
        <f t="shared" ca="1" si="23"/>
        <v>146.33698473728819</v>
      </c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6">
        <v>22</v>
      </c>
      <c r="BK60" s="61" cm="1">
        <f t="array" aca="1" ref="BK60" ca="1">BY27*$C27*$L27*POWER($F27,$O27)*INDIRECT(ADDRESS(32+COLUMNS($A$1:A22),9))</f>
        <v>0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53.577862653738528</v>
      </c>
      <c r="BP60" s="1">
        <f t="shared" ca="1" si="23"/>
        <v>53.577862653738528</v>
      </c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6">
        <v>23</v>
      </c>
      <c r="BK61" s="61" cm="1">
        <f t="array" aca="1" ref="BK61" ca="1">BY28*$C28*$L28*POWER($F28,$O28)*INDIRECT(ADDRESS(32+COLUMNS($A$1:A23),9))</f>
        <v>0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56</v>
      </c>
      <c r="BP61" s="1">
        <f t="shared" ca="1" si="23"/>
        <v>56</v>
      </c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x14ac:dyDescent="0.3">
      <c r="A62" s="8"/>
      <c r="B62" s="7" t="s">
        <v>22</v>
      </c>
      <c r="C62" s="8"/>
      <c r="D62" s="8"/>
      <c r="E62" s="8"/>
      <c r="F62" s="8"/>
      <c r="G62" s="8" t="s">
        <v>33</v>
      </c>
      <c r="H62" s="8"/>
      <c r="I62" s="8"/>
      <c r="J62" s="8"/>
      <c r="K62" s="8"/>
      <c r="L62" s="8" t="s">
        <v>23</v>
      </c>
      <c r="M62" s="8"/>
      <c r="N62" s="8"/>
      <c r="O62" s="8"/>
      <c r="P62" s="8"/>
      <c r="Q62" s="8" t="s">
        <v>36</v>
      </c>
      <c r="R62" s="8"/>
      <c r="S62" s="8"/>
      <c r="T62" s="8"/>
      <c r="U62" s="8"/>
      <c r="V62" s="8" t="s">
        <v>37</v>
      </c>
      <c r="W62" s="8"/>
      <c r="X62" s="8"/>
      <c r="Y62" s="8"/>
      <c r="Z62" s="8"/>
      <c r="AA62" s="8" t="s">
        <v>38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71.894626096254626</v>
      </c>
      <c r="BP62" s="1">
        <f t="shared" ca="1" si="23"/>
        <v>71.894626096254626</v>
      </c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ht="16.2" thickBot="1" x14ac:dyDescent="0.35">
      <c r="A63" s="8"/>
      <c r="B63" s="7"/>
      <c r="C63" s="8">
        <f>SUM(AI6:AM6,AP6:AT6,AW6:BA6,BD6:BH6)</f>
        <v>1</v>
      </c>
      <c r="D63" s="8" t="s">
        <v>21</v>
      </c>
      <c r="E63" s="8">
        <v>1</v>
      </c>
      <c r="F63" s="8"/>
      <c r="G63" s="8"/>
      <c r="H63" s="8" cm="1">
        <f t="array" ref="H63">SUM(AA6:AE6*BR6:BV6-R6*BK6:BO6)</f>
        <v>1</v>
      </c>
      <c r="I63" s="8" t="s">
        <v>24</v>
      </c>
      <c r="J63" s="8">
        <v>0</v>
      </c>
      <c r="K63" s="8"/>
      <c r="L63" s="8"/>
      <c r="M63" s="8" cm="1">
        <f t="array" ref="M63">SUM(AA6:AE6*BR6:BV6-U6*BK6:BO6)</f>
        <v>-12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0</v>
      </c>
      <c r="S63" s="8" t="s">
        <v>21</v>
      </c>
      <c r="T63" s="8">
        <v>0</v>
      </c>
      <c r="U63" s="8"/>
      <c r="V63" s="8"/>
      <c r="W63" s="8">
        <f ca="1">SUM(INDIRECT(ADDRESS(5+B47,63)):INDIRECT(ADDRESS(5+B47,67)))-SUM(INDIRECT(ADDRESS(5+C47,63)):INDIRECT(ADDRESS(5+C47,67)))</f>
        <v>0</v>
      </c>
      <c r="X63" s="8" t="s">
        <v>25</v>
      </c>
      <c r="Y63" s="8">
        <v>0</v>
      </c>
      <c r="Z63" s="8"/>
      <c r="AA63" s="8"/>
      <c r="AB63" s="8" cm="1">
        <f t="array" aca="1" ref="AB63" ca="1">INDIRECT(ADDRESS(5+$B42,62+COLUMNS($A1:A1)))+INDIRECT(ADDRESS(5+$C42,62+COLUMNS($A1:A1)))</f>
        <v>0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1</v>
      </c>
      <c r="AE63" s="8" cm="1">
        <f t="array" aca="1" ref="AE63" ca="1">INDIRECT(ADDRESS(5+$B42,62+COLUMNS($A1:D1)))+INDIRECT(ADDRESS(5+$C42,62+COLUMNS($A1:D1)))</f>
        <v>0</v>
      </c>
      <c r="AF63" s="8" cm="1">
        <f t="array" aca="1" ref="AF63" ca="1">INDIRECT(ADDRESS(5+$B42,62+COLUMNS($A1:E1)))+INDIRECT(ADDRESS(5+$C42,62+COLUMNS($A1:E1)))</f>
        <v>1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1317.3966981156575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0</v>
      </c>
      <c r="BO63" s="16" cm="1">
        <f t="array" aca="1" ref="BO63" ca="1">CC30*$C30*$L30*POWER($F30,$O30)*INDIRECT(ADDRESS(32+COLUMNS($A$1:E25),9))</f>
        <v>0</v>
      </c>
      <c r="BP63" s="1">
        <f t="shared" ca="1" si="23"/>
        <v>1317.3966981156575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ht="16.2" thickBot="1" x14ac:dyDescent="0.35">
      <c r="A64" s="8"/>
      <c r="B64" s="7"/>
      <c r="C64" s="8">
        <f t="shared" ref="C64:C86" si="24">SUM(AI7:AM7,AP7:AT7,AW7:BA7,BD7:BH7)</f>
        <v>1</v>
      </c>
      <c r="D64" s="8" t="s">
        <v>21</v>
      </c>
      <c r="E64" s="8">
        <v>1</v>
      </c>
      <c r="F64" s="8"/>
      <c r="G64" s="8"/>
      <c r="H64" s="8" cm="1">
        <f t="array" ref="H64">SUM(AA7:AE7*BR7:BV7-R7*BK7:BO7)</f>
        <v>3</v>
      </c>
      <c r="I64" s="8" t="s">
        <v>24</v>
      </c>
      <c r="J64" s="8">
        <v>0</v>
      </c>
      <c r="K64" s="8"/>
      <c r="L64" s="8"/>
      <c r="M64" s="8" cm="1">
        <f t="array" ref="M64">SUM(AA7:AE7*BR7:BV7-U7*BK7:BO7)</f>
        <v>-15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-1</v>
      </c>
      <c r="S64" s="8" t="s">
        <v>21</v>
      </c>
      <c r="T64" s="8">
        <v>0</v>
      </c>
      <c r="U64" s="8"/>
      <c r="V64" s="8"/>
      <c r="W64" s="8">
        <f ca="1">SUM(INDIRECT(ADDRESS(5+B48,63)):INDIRECT(ADDRESS(5+B48,67)))-SUM(INDIRECT(ADDRESS(5+C48,63)):INDIRECT(ADDRESS(5+C48,67)))</f>
        <v>0</v>
      </c>
      <c r="X64" s="8" t="s">
        <v>25</v>
      </c>
      <c r="Y64" s="8">
        <v>0</v>
      </c>
      <c r="Z64" s="8"/>
      <c r="AA64" s="8"/>
      <c r="AB64" s="8" cm="1">
        <f t="array" aca="1" ref="AB64" ca="1">INDIRECT(ADDRESS(5+$B43,62+COLUMNS($A2:A2)))+INDIRECT(ADDRESS(5+$C43,62+COLUMNS($A2:A2)))</f>
        <v>1</v>
      </c>
      <c r="AC64" s="8" cm="1">
        <f t="array" aca="1" ref="AC64" ca="1">INDIRECT(ADDRESS(5+$B43,62+COLUMNS($A2:B2)))+INDIRECT(ADDRESS(5+$C43,62+COLUMNS($A2:B2)))</f>
        <v>0</v>
      </c>
      <c r="AD64" s="8" cm="1">
        <f t="array" aca="1" ref="AD64" ca="1">INDIRECT(ADDRESS(5+$B43,62+COLUMNS($A2:C2)))+INDIRECT(ADDRESS(5+$C43,62+COLUMNS($A2:C2)))</f>
        <v>1</v>
      </c>
      <c r="AE64" s="8" cm="1">
        <f t="array" aca="1" ref="AE64" ca="1">INDIRECT(ADDRESS(5+$B43,62+COLUMNS($A2:D2)))+INDIRECT(ADDRESS(5+$C43,62+COLUMNS($A2:D2)))</f>
        <v>0</v>
      </c>
      <c r="AF64" s="8" cm="1">
        <f t="array" aca="1" ref="AF64" ca="1">INDIRECT(ADDRESS(5+$B43,62+COLUMNS($A2:E2)))+INDIRECT(ADDRESS(5+$C43,62+COLUMNS($A2:E2)))</f>
        <v>0</v>
      </c>
      <c r="AG64" s="8" t="s">
        <v>21</v>
      </c>
      <c r="AH64" s="8">
        <v>1</v>
      </c>
      <c r="AI64" s="8">
        <v>1</v>
      </c>
      <c r="AJ64" s="8">
        <v>1</v>
      </c>
      <c r="AK64" s="8">
        <v>1</v>
      </c>
      <c r="AL64" s="8">
        <v>1</v>
      </c>
      <c r="AM64" s="9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62" t="s">
        <v>1168</v>
      </c>
      <c r="BK64" s="8">
        <f ca="1">SUM(BK39:BK63)</f>
        <v>175.50066263599186</v>
      </c>
      <c r="BL64" s="8">
        <f t="shared" ref="BL64:BO64" ca="1" si="25">SUM(BL39:BL63)</f>
        <v>1317.3966981156575</v>
      </c>
      <c r="BM64" s="8">
        <f t="shared" ca="1" si="25"/>
        <v>3512.1389595578294</v>
      </c>
      <c r="BN64" s="8">
        <f t="shared" ca="1" si="25"/>
        <v>1588.4964092858727</v>
      </c>
      <c r="BO64" s="8">
        <f t="shared" ca="1" si="25"/>
        <v>352.20078962360418</v>
      </c>
      <c r="BP64" s="59">
        <f t="shared" ca="1" si="23"/>
        <v>6945.7335192189557</v>
      </c>
      <c r="BQ64" s="8" t="s">
        <v>1167</v>
      </c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x14ac:dyDescent="0.3">
      <c r="A65" s="8"/>
      <c r="B65" s="7"/>
      <c r="C65" s="8">
        <f t="shared" si="24"/>
        <v>1</v>
      </c>
      <c r="D65" s="8" t="s">
        <v>21</v>
      </c>
      <c r="E65" s="8">
        <v>1</v>
      </c>
      <c r="F65" s="8"/>
      <c r="G65" s="8"/>
      <c r="H65" s="8" cm="1">
        <f t="array" ref="H65">SUM(AA8:AE8*BR8:BV8-R8*BK8:BO8)</f>
        <v>1</v>
      </c>
      <c r="I65" s="8" t="s">
        <v>24</v>
      </c>
      <c r="J65" s="8">
        <v>0</v>
      </c>
      <c r="K65" s="8"/>
      <c r="L65" s="8"/>
      <c r="M65" s="8" cm="1">
        <f t="array" ref="M65">SUM(AA8:AE8*BR8:BV8-U8*BK8:BO8)</f>
        <v>-21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0</v>
      </c>
      <c r="S65" s="8" t="s">
        <v>21</v>
      </c>
      <c r="T65" s="8">
        <v>0</v>
      </c>
      <c r="U65" s="8"/>
      <c r="V65" s="8"/>
      <c r="W65" s="8">
        <f ca="1">SUM(INDIRECT(ADDRESS(5+B49,63)):INDIRECT(ADDRESS(5+B49,67)))-SUM(INDIRECT(ADDRESS(5+C49,63)):INDIRECT(ADDRESS(5+C49,67)))</f>
        <v>0</v>
      </c>
      <c r="X65" s="8" t="s">
        <v>25</v>
      </c>
      <c r="Y65" s="8">
        <v>0</v>
      </c>
      <c r="Z65" s="8"/>
      <c r="AA65" s="8"/>
      <c r="AB65" s="8" cm="1">
        <f t="array" aca="1" ref="AB65" ca="1">INDIRECT(ADDRESS(5+$B44,62+COLUMNS($A3:A3)))+INDIRECT(ADDRESS(5+$C44,62+COLUMNS($A3:A3)))</f>
        <v>0</v>
      </c>
      <c r="AC65" s="8" cm="1">
        <f t="array" aca="1" ref="AC65" ca="1">INDIRECT(ADDRESS(5+$B44,62+COLUMNS($A3:B3)))+INDIRECT(ADDRESS(5+$C44,62+COLUMNS($A3:B3)))</f>
        <v>0</v>
      </c>
      <c r="AD65" s="8" cm="1">
        <f t="array" aca="1" ref="AD65" ca="1">INDIRECT(ADDRESS(5+$B44,62+COLUMNS($A3:C3)))+INDIRECT(ADDRESS(5+$C44,62+COLUMNS($A3:C3)))</f>
        <v>0</v>
      </c>
      <c r="AE65" s="8" cm="1">
        <f t="array" aca="1" ref="AE65" ca="1">INDIRECT(ADDRESS(5+$B44,62+COLUMNS($A3:D3)))+INDIRECT(ADDRESS(5+$C44,62+COLUMNS($A3:D3)))</f>
        <v>0</v>
      </c>
      <c r="AF65" s="8" cm="1">
        <f t="array" aca="1" ref="AF65" ca="1">INDIRECT(ADDRESS(5+$B44,62+COLUMNS($A3:E3)))+INDIRECT(ADDRESS(5+$C44,62+COLUMNS($A3:E3)))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x14ac:dyDescent="0.3">
      <c r="A66" s="8"/>
      <c r="B66" s="7"/>
      <c r="C66" s="8">
        <f t="shared" si="24"/>
        <v>1</v>
      </c>
      <c r="D66" s="8" t="s">
        <v>21</v>
      </c>
      <c r="E66" s="8">
        <v>1</v>
      </c>
      <c r="F66" s="8"/>
      <c r="G66" s="8"/>
      <c r="H66" s="8" cm="1">
        <f t="array" ref="H66">SUM(AA9:AE9*BR9:BV9-R9*BK9:BO9)</f>
        <v>2</v>
      </c>
      <c r="I66" s="8" t="s">
        <v>24</v>
      </c>
      <c r="J66" s="8">
        <v>0</v>
      </c>
      <c r="K66" s="8"/>
      <c r="L66" s="8"/>
      <c r="M66" s="8" cm="1">
        <f t="array" ref="M66">SUM(AA9:AE9*BR9:BV9-U9*BK9:BO9)</f>
        <v>-6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-2</v>
      </c>
      <c r="S66" s="8" t="s">
        <v>21</v>
      </c>
      <c r="T66" s="8">
        <v>0</v>
      </c>
      <c r="U66" s="8"/>
      <c r="V66" s="8"/>
      <c r="W66" s="8">
        <f ca="1">SUM(INDIRECT(ADDRESS(5+B50,63)):INDIRECT(ADDRESS(5+B50,67)))-SUM(INDIRECT(ADDRESS(5+C50,63)):INDIRECT(ADDRESS(5+C50,67)))</f>
        <v>0</v>
      </c>
      <c r="X66" s="8" t="s">
        <v>25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x14ac:dyDescent="0.3">
      <c r="A67" s="8"/>
      <c r="B67" s="7"/>
      <c r="C67" s="8">
        <f t="shared" si="24"/>
        <v>1</v>
      </c>
      <c r="D67" s="8" t="s">
        <v>21</v>
      </c>
      <c r="E67" s="8">
        <v>1</v>
      </c>
      <c r="F67" s="11"/>
      <c r="G67" s="8"/>
      <c r="H67" s="8" cm="1">
        <f t="array" ref="H67">SUM(AA10:AE10*BR10:BV10-R10*BK10:BO10)</f>
        <v>7</v>
      </c>
      <c r="I67" s="8" t="s">
        <v>24</v>
      </c>
      <c r="J67" s="8">
        <v>0</v>
      </c>
      <c r="K67" s="8"/>
      <c r="L67" s="8"/>
      <c r="M67" s="8" cm="1">
        <f t="array" ref="M67">SUM(AA10:AE10*BR10:BV10-U10*BK10:BO10)</f>
        <v>-8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-2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x14ac:dyDescent="0.3">
      <c r="A68" s="8"/>
      <c r="B68" s="10"/>
      <c r="C68" s="8">
        <f t="shared" si="24"/>
        <v>1</v>
      </c>
      <c r="D68" s="8" t="s">
        <v>21</v>
      </c>
      <c r="E68" s="8">
        <v>1</v>
      </c>
      <c r="F68" s="11"/>
      <c r="G68" s="8"/>
      <c r="H68" s="8" cm="1">
        <f t="array" ref="H68">SUM(AA11:AE11*BR11:BV11-R11*BK11:BO11)</f>
        <v>2</v>
      </c>
      <c r="I68" s="8" t="s">
        <v>24</v>
      </c>
      <c r="J68" s="8">
        <v>0</v>
      </c>
      <c r="K68" s="8"/>
      <c r="L68" s="8"/>
      <c r="M68" s="8" cm="1">
        <f t="array" ref="M68">SUM(AA11:AE11*BR11:BV11-U11*BK11:BO11)</f>
        <v>-18</v>
      </c>
      <c r="N68" s="8" t="s">
        <v>21</v>
      </c>
      <c r="O68" s="8">
        <v>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x14ac:dyDescent="0.3">
      <c r="A69" s="8"/>
      <c r="B69" s="10"/>
      <c r="C69" s="8">
        <f t="shared" si="24"/>
        <v>0</v>
      </c>
      <c r="D69" s="8" t="s">
        <v>21</v>
      </c>
      <c r="E69" s="8">
        <v>1</v>
      </c>
      <c r="F69" s="11"/>
      <c r="G69" s="8"/>
      <c r="H69" s="8" cm="1">
        <f t="array" ref="H69">SUM(AA12:AE12*BR12:BV12-R12*BK12:BO12)</f>
        <v>0</v>
      </c>
      <c r="I69" s="8" t="s">
        <v>24</v>
      </c>
      <c r="J69" s="8">
        <v>0</v>
      </c>
      <c r="K69" s="8"/>
      <c r="L69" s="8"/>
      <c r="M69" s="8" cm="1">
        <f t="array" ref="M69">SUM(AA12:AE12*BR12:BV12-U12*BK12:BO12)</f>
        <v>0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x14ac:dyDescent="0.3">
      <c r="A70" s="8"/>
      <c r="B70" s="10"/>
      <c r="C70" s="8">
        <f t="shared" si="24"/>
        <v>1</v>
      </c>
      <c r="D70" s="8" t="s">
        <v>21</v>
      </c>
      <c r="E70" s="8">
        <v>1</v>
      </c>
      <c r="F70" s="11"/>
      <c r="G70" s="8"/>
      <c r="H70" s="8" cm="1">
        <f t="array" ref="H70">SUM(AA13:AE13*BR13:BV13-R13*BK13:BO13)</f>
        <v>2</v>
      </c>
      <c r="I70" s="8" t="s">
        <v>24</v>
      </c>
      <c r="J70" s="8">
        <v>0</v>
      </c>
      <c r="K70" s="8"/>
      <c r="L70" s="8"/>
      <c r="M70" s="8" cm="1">
        <f t="array" ref="M70">SUM(AA13:AE13*BR13:BV13-U13*BK13:BO13)</f>
        <v>-15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x14ac:dyDescent="0.3">
      <c r="A71" s="8"/>
      <c r="B71" s="10"/>
      <c r="C71" s="8">
        <f t="shared" si="24"/>
        <v>1</v>
      </c>
      <c r="D71" s="8" t="s">
        <v>21</v>
      </c>
      <c r="E71" s="8">
        <v>1</v>
      </c>
      <c r="F71" s="11"/>
      <c r="G71" s="8"/>
      <c r="H71" s="8" cm="1">
        <f t="array" ref="H71">SUM(AA14:AE14*BR14:BV14-R14*BK14:BO14)</f>
        <v>7</v>
      </c>
      <c r="I71" s="8" t="s">
        <v>24</v>
      </c>
      <c r="J71" s="8">
        <v>0</v>
      </c>
      <c r="K71" s="8"/>
      <c r="L71" s="8"/>
      <c r="M71" s="8" cm="1">
        <f t="array" ref="M71">SUM(AA14:AE14*BR14:BV14-U14*BK14:BO14)</f>
        <v>-2</v>
      </c>
      <c r="N71" s="8" t="s">
        <v>21</v>
      </c>
      <c r="O71" s="8">
        <v>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x14ac:dyDescent="0.3">
      <c r="A72" s="8"/>
      <c r="B72" s="10"/>
      <c r="C72" s="8">
        <f t="shared" si="24"/>
        <v>1</v>
      </c>
      <c r="D72" s="8" t="s">
        <v>21</v>
      </c>
      <c r="E72" s="8">
        <v>1</v>
      </c>
      <c r="F72" s="11"/>
      <c r="G72" s="8"/>
      <c r="H72" s="8" cm="1">
        <f t="array" ref="H72">SUM(AA15:AE15*BR15:BV15-R15*BK15:BO15)</f>
        <v>8</v>
      </c>
      <c r="I72" s="8" t="s">
        <v>24</v>
      </c>
      <c r="J72" s="8">
        <v>0</v>
      </c>
      <c r="K72" s="8"/>
      <c r="L72" s="8"/>
      <c r="M72" s="8" cm="1">
        <f t="array" ref="M72">SUM(AA15:AE15*BR15:BV15-U15*BK15:BO15)</f>
        <v>-2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x14ac:dyDescent="0.3">
      <c r="A73" s="8"/>
      <c r="B73" s="10"/>
      <c r="C73" s="8">
        <f t="shared" si="24"/>
        <v>1</v>
      </c>
      <c r="D73" s="8" t="s">
        <v>21</v>
      </c>
      <c r="E73" s="8">
        <v>1</v>
      </c>
      <c r="F73" s="11"/>
      <c r="G73" s="8"/>
      <c r="H73" s="8" cm="1">
        <f t="array" ref="H73">SUM(AA16:AE16*BR16:BV16-R16*BK16:BO16)</f>
        <v>4</v>
      </c>
      <c r="I73" s="8" t="s">
        <v>24</v>
      </c>
      <c r="J73" s="8">
        <v>0</v>
      </c>
      <c r="K73" s="8"/>
      <c r="L73" s="8"/>
      <c r="M73" s="8" cm="1">
        <f t="array" ref="M73">SUM(AA16:AE16*BR16:BV16-U16*BK16:BO16)</f>
        <v>-11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x14ac:dyDescent="0.3">
      <c r="A74" s="8"/>
      <c r="B74" s="10"/>
      <c r="C74" s="8">
        <f t="shared" si="24"/>
        <v>1</v>
      </c>
      <c r="D74" s="8" t="s">
        <v>21</v>
      </c>
      <c r="E74" s="8">
        <v>1</v>
      </c>
      <c r="F74" s="11"/>
      <c r="G74" s="8"/>
      <c r="H74" s="8" cm="1">
        <f t="array" ref="H74">SUM(AA17:AE17*BR17:BV17-R17*BK17:BO17)</f>
        <v>14</v>
      </c>
      <c r="I74" s="8" t="s">
        <v>24</v>
      </c>
      <c r="J74" s="8">
        <v>0</v>
      </c>
      <c r="K74" s="8"/>
      <c r="L74" s="8"/>
      <c r="M74" s="8" cm="1">
        <f t="array" ref="M74">SUM(AA17:AE17*BR17:BV17-U17*BK17:BO17)</f>
        <v>-6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x14ac:dyDescent="0.3">
      <c r="B75" s="10"/>
      <c r="C75" s="8">
        <f t="shared" si="24"/>
        <v>0</v>
      </c>
      <c r="D75" s="8" t="s">
        <v>21</v>
      </c>
      <c r="E75" s="8">
        <v>1</v>
      </c>
      <c r="F75" s="11"/>
      <c r="G75" s="8"/>
      <c r="H75" s="8" cm="1">
        <f t="array" ref="H75">SUM(AA18:AE18*BR18:BV18-R18*BK18:BO18)</f>
        <v>0</v>
      </c>
      <c r="I75" s="8" t="s">
        <v>24</v>
      </c>
      <c r="J75" s="8">
        <v>0</v>
      </c>
      <c r="K75" s="8"/>
      <c r="L75" s="8"/>
      <c r="M75" s="8" cm="1">
        <f t="array" ref="M75">SUM(AA18:AE18*BR18:BV18-U18*BK18:BO18)</f>
        <v>0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x14ac:dyDescent="0.3">
      <c r="B76" s="7"/>
      <c r="C76" s="8">
        <f t="shared" si="24"/>
        <v>1</v>
      </c>
      <c r="D76" s="8" t="s">
        <v>21</v>
      </c>
      <c r="E76" s="8">
        <v>1</v>
      </c>
      <c r="F76" s="8"/>
      <c r="G76" s="8"/>
      <c r="H76" s="8" cm="1">
        <f t="array" ref="H76">SUM(AA19:AE19*BR19:BV19-R19*BK19:BO19)</f>
        <v>5</v>
      </c>
      <c r="I76" s="8" t="s">
        <v>24</v>
      </c>
      <c r="J76" s="8">
        <v>0</v>
      </c>
      <c r="K76" s="8"/>
      <c r="L76" s="8"/>
      <c r="M76" s="8" cm="1">
        <f t="array" ref="M76">SUM(AA19:AE19*BR19:BV19-U19*BK19:BO19)</f>
        <v>-4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x14ac:dyDescent="0.3">
      <c r="B77" s="7"/>
      <c r="C77" s="8">
        <f t="shared" si="24"/>
        <v>1</v>
      </c>
      <c r="D77" s="8" t="s">
        <v>21</v>
      </c>
      <c r="E77" s="8">
        <v>1</v>
      </c>
      <c r="F77" s="8"/>
      <c r="G77" s="8"/>
      <c r="H77" s="8" cm="1">
        <f t="array" ref="H77">SUM(AA20:AE20*BR20:BV20-R20*BK20:BO20)</f>
        <v>9</v>
      </c>
      <c r="I77" s="8" t="s">
        <v>24</v>
      </c>
      <c r="J77" s="8">
        <v>0</v>
      </c>
      <c r="K77" s="8"/>
      <c r="L77" s="8"/>
      <c r="M77" s="8" cm="1">
        <f t="array" ref="M77">SUM(AA20:AE20*BR20:BV20-U20*BK20:BO20)</f>
        <v>-7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24"/>
        <v>0</v>
      </c>
      <c r="D78" s="8" t="s">
        <v>21</v>
      </c>
      <c r="E78" s="8">
        <v>1</v>
      </c>
      <c r="F78" s="8"/>
      <c r="G78" s="8"/>
      <c r="H78" s="8" cm="1">
        <f t="array" ref="H78">SUM(AA21:AE21*BR21:BV21-R21*BK21:BO21)</f>
        <v>0</v>
      </c>
      <c r="I78" s="8" t="s">
        <v>24</v>
      </c>
      <c r="J78" s="8">
        <v>0</v>
      </c>
      <c r="K78" s="8"/>
      <c r="L78" s="8"/>
      <c r="M78" s="8" cm="1">
        <f t="array" ref="M78">SUM(AA21:AE21*BR21:BV21-U21*BK21:BO21)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24"/>
        <v>0</v>
      </c>
      <c r="D79" s="8" t="s">
        <v>21</v>
      </c>
      <c r="E79" s="8">
        <v>1</v>
      </c>
      <c r="F79" s="8"/>
      <c r="G79" s="8"/>
      <c r="H79" s="8" cm="1">
        <f t="array" ref="H79">SUM(AA22:AE22*BR22:BV22-R22*BK22:BO22)</f>
        <v>0</v>
      </c>
      <c r="I79" s="8" t="s">
        <v>24</v>
      </c>
      <c r="J79" s="8">
        <v>0</v>
      </c>
      <c r="K79" s="8"/>
      <c r="L79" s="8"/>
      <c r="M79" s="8" cm="1">
        <f t="array" ref="M79">SUM(AA22:AE22*BR22:BV22-U22*BK22:BO22)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24"/>
        <v>0</v>
      </c>
      <c r="D80" s="8" t="s">
        <v>21</v>
      </c>
      <c r="E80" s="8">
        <v>1</v>
      </c>
      <c r="F80" s="8"/>
      <c r="G80" s="8"/>
      <c r="H80" s="8" cm="1">
        <f t="array" ref="H80">SUM(AA23:AE23*BR23:BV23-R23*BK23:BO23)</f>
        <v>0</v>
      </c>
      <c r="I80" s="8" t="s">
        <v>24</v>
      </c>
      <c r="J80" s="8">
        <v>0</v>
      </c>
      <c r="K80" s="8"/>
      <c r="L80" s="8"/>
      <c r="M80" s="8" cm="1">
        <f t="array" ref="M80">SUM(AA23:AE23*BR23:BV23-U23*BK23:BO23)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24"/>
        <v>0</v>
      </c>
      <c r="D81" s="8" t="s">
        <v>21</v>
      </c>
      <c r="E81" s="8">
        <v>1</v>
      </c>
      <c r="F81" s="8"/>
      <c r="G81" s="8"/>
      <c r="H81" s="8" cm="1">
        <f t="array" ref="H81">SUM(AA24:AE24*BR24:BV24-R24*BK24:BO24)</f>
        <v>0</v>
      </c>
      <c r="I81" s="8" t="s">
        <v>24</v>
      </c>
      <c r="J81" s="8">
        <v>0</v>
      </c>
      <c r="K81" s="8"/>
      <c r="L81" s="8"/>
      <c r="M81" s="8" cm="1">
        <f t="array" ref="M81">SUM(AA24:AE24*BR24:BV24-U24*BK24:BO24)</f>
        <v>0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24"/>
        <v>0</v>
      </c>
      <c r="D82" s="8" t="s">
        <v>21</v>
      </c>
      <c r="E82" s="8">
        <v>1</v>
      </c>
      <c r="F82" s="8"/>
      <c r="G82" s="8"/>
      <c r="H82" s="8" cm="1">
        <f t="array" ref="H82">SUM(AA25:AE25*BR25:BV25-R25*BK25:BO25)</f>
        <v>0</v>
      </c>
      <c r="I82" s="8" t="s">
        <v>24</v>
      </c>
      <c r="J82" s="8">
        <v>0</v>
      </c>
      <c r="K82" s="8"/>
      <c r="L82" s="8"/>
      <c r="M82" s="8" cm="1">
        <f t="array" ref="M82">SUM(AA25:AE25*BR25:BV25-U25*BK25:BO25)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24"/>
        <v>1</v>
      </c>
      <c r="D83" s="8" t="s">
        <v>21</v>
      </c>
      <c r="E83" s="8">
        <v>1</v>
      </c>
      <c r="F83" s="8"/>
      <c r="G83" s="8"/>
      <c r="H83" s="8" cm="1">
        <f t="array" ref="H83">SUM(AA26:AE26*BR26:BV26-R26*BK26:BO26)</f>
        <v>6</v>
      </c>
      <c r="I83" s="8" t="s">
        <v>24</v>
      </c>
      <c r="J83" s="8">
        <v>0</v>
      </c>
      <c r="K83" s="8"/>
      <c r="L83" s="8"/>
      <c r="M83" s="8" cm="1">
        <f t="array" ref="M83">SUM(AA26:AE26*BR26:BV26-U26*BK26:BO26)</f>
        <v>-16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24"/>
        <v>1</v>
      </c>
      <c r="D84" s="8" t="s">
        <v>21</v>
      </c>
      <c r="E84" s="8">
        <v>1</v>
      </c>
      <c r="F84" s="8"/>
      <c r="G84" s="8"/>
      <c r="H84" s="8" cm="1">
        <f t="array" ref="H84">SUM(AA27:AE27*BR27:BV27-R27*BK27:BO27)</f>
        <v>2</v>
      </c>
      <c r="I84" s="8" t="s">
        <v>24</v>
      </c>
      <c r="J84" s="8">
        <v>0</v>
      </c>
      <c r="K84" s="8"/>
      <c r="L84" s="8"/>
      <c r="M84" s="8" cm="1">
        <f t="array" ref="M84">SUM(AA27:AE27*BR27:BV27-U27*BK27:BO27)</f>
        <v>-13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24"/>
        <v>1</v>
      </c>
      <c r="D85" s="8" t="s">
        <v>21</v>
      </c>
      <c r="E85" s="8">
        <v>1</v>
      </c>
      <c r="F85" s="8"/>
      <c r="G85" s="8"/>
      <c r="H85" s="8" cm="1">
        <f t="array" ref="H85">SUM(AA28:AE28*BR28:BV28-R28*BK28:BO28)</f>
        <v>2</v>
      </c>
      <c r="I85" s="8" t="s">
        <v>24</v>
      </c>
      <c r="J85" s="8">
        <v>0</v>
      </c>
      <c r="K85" s="8"/>
      <c r="L85" s="8"/>
      <c r="M85" s="8" cm="1">
        <f t="array" ref="M85">SUM(AA28:AE28*BR28:BV28-U28*BK28:BO28)</f>
        <v>-9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24"/>
        <v>1</v>
      </c>
      <c r="D86" s="8" t="s">
        <v>21</v>
      </c>
      <c r="E86" s="8">
        <v>1</v>
      </c>
      <c r="F86" s="8"/>
      <c r="G86" s="8"/>
      <c r="H86" s="8" cm="1">
        <f t="array" ref="H86">SUM(AA29:AE29*BR29:BV29-R29*BK29:BO29)</f>
        <v>9</v>
      </c>
      <c r="I86" s="8" t="s">
        <v>24</v>
      </c>
      <c r="J86" s="8">
        <v>0</v>
      </c>
      <c r="K86" s="8"/>
      <c r="L86" s="8"/>
      <c r="M86" s="8" cm="1">
        <f t="array" ref="M86">SUM(AA29:AE29*BR29:BV29-U29*BK29:BO29)</f>
        <v>-6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4"/>
      <c r="B87" s="7"/>
      <c r="C87" s="8">
        <f>SUM(AI30:AM30,AP30:AT30,AW30:BA30,BD30:BH30)</f>
        <v>1</v>
      </c>
      <c r="D87" s="8" t="s">
        <v>21</v>
      </c>
      <c r="E87" s="8">
        <v>1</v>
      </c>
      <c r="F87" s="8"/>
      <c r="G87" s="8"/>
      <c r="H87" s="8" cm="1">
        <f t="array" ref="H87">SUM(AA30:AE30*BR30:BV30-R30*BK30:BO30)</f>
        <v>10</v>
      </c>
      <c r="I87" s="8" t="s">
        <v>24</v>
      </c>
      <c r="J87" s="8">
        <v>0</v>
      </c>
      <c r="K87" s="8"/>
      <c r="L87" s="8"/>
      <c r="M87" s="8" cm="1">
        <f t="array" ref="M87">SUM(AA30:AE30*BR30:BV30-U30*BK30:BO30)</f>
        <v>-2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2" thickBot="1" x14ac:dyDescent="0.35">
      <c r="A90" s="44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4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4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7635-F614-4DF6-8E32-66721DB7E6FB}">
  <dimension ref="A1:CD120"/>
  <sheetViews>
    <sheetView tabSelected="1" topLeftCell="A55" zoomScale="70" zoomScaleNormal="70" workbookViewId="0">
      <selection activeCell="R71" sqref="R71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2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2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2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2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2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>
        <v>6</v>
      </c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16">
        <v>6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16">
        <v>6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16">
        <v>6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I5" s="16">
        <v>6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16">
        <v>6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16">
        <v>6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  <c r="CD5" s="19">
        <v>6</v>
      </c>
    </row>
    <row r="6" spans="2:82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>
        <f t="shared" ref="AF6:AF30" si="0">$F$38/$I6-MOD($F$38/$I6,1)</f>
        <v>3</v>
      </c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I6" s="16">
        <v>0</v>
      </c>
      <c r="BJ6" s="22">
        <v>1</v>
      </c>
      <c r="BK6" s="16">
        <f>AI6+AP6+AW6+BD6</f>
        <v>0</v>
      </c>
      <c r="BL6" s="16">
        <f t="shared" ref="BL6:BP21" si="1">AJ6+AQ6+AX6+BE6</f>
        <v>0</v>
      </c>
      <c r="BM6" s="16">
        <f t="shared" si="1"/>
        <v>0</v>
      </c>
      <c r="BN6" s="16">
        <f t="shared" si="1"/>
        <v>1</v>
      </c>
      <c r="BO6" s="16">
        <f>AM6+AT6+BA6+BH6</f>
        <v>0</v>
      </c>
      <c r="BP6" s="16">
        <f>AN6+AU6+BB6+BI6</f>
        <v>0</v>
      </c>
      <c r="BQ6" s="23">
        <v>1</v>
      </c>
      <c r="BR6" s="16">
        <f>AI6+AP6*2+AW6*3+BD6*4</f>
        <v>0</v>
      </c>
      <c r="BS6" s="16">
        <f t="shared" ref="BS6:BW21" si="2">AJ6+AQ6*2+AX6*3+BE6*4</f>
        <v>0</v>
      </c>
      <c r="BT6" s="16">
        <f t="shared" si="2"/>
        <v>0</v>
      </c>
      <c r="BU6" s="16">
        <f t="shared" si="2"/>
        <v>1</v>
      </c>
      <c r="BV6" s="16">
        <f>AM6+AT6*2+BA6*3+BH6*4</f>
        <v>0</v>
      </c>
      <c r="BW6" s="16">
        <f>AN6+AU6*2+BB6*3+BI6*4</f>
        <v>0</v>
      </c>
      <c r="BX6" s="23">
        <v>1</v>
      </c>
      <c r="BY6" s="16">
        <f>AI6+AP6*POWER(2,$O6)+AW6*POWER(3,$O6)+BD6*POWER(4,$O6)</f>
        <v>0</v>
      </c>
      <c r="BZ6" s="16">
        <f t="shared" ref="BZ6:CD21" si="3">AJ6+AQ6*POWER(2,$O6)+AX6*POWER(3,$O6)+BE6*POWER(4,$O6)</f>
        <v>0</v>
      </c>
      <c r="CA6" s="16">
        <f t="shared" si="3"/>
        <v>0</v>
      </c>
      <c r="CB6" s="16">
        <f t="shared" si="3"/>
        <v>1</v>
      </c>
      <c r="CC6" s="19">
        <f t="shared" si="3"/>
        <v>0</v>
      </c>
      <c r="CD6" s="19">
        <f t="shared" si="3"/>
        <v>0</v>
      </c>
    </row>
    <row r="7" spans="2:82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4">$F$33/$I7-MOD($F$33/$I7,1)</f>
        <v>5</v>
      </c>
      <c r="AB7" s="16">
        <f t="shared" ref="AB7:AB30" si="5">$F$34/$I7-MOD($F$34/$I7,1)</f>
        <v>5</v>
      </c>
      <c r="AC7" s="16">
        <f t="shared" ref="AC7:AC30" si="6">$F$35/$I7-MOD($F$35/$I7,1)</f>
        <v>4</v>
      </c>
      <c r="AD7" s="16">
        <f t="shared" ref="AD7:AD29" si="7">$F$36/$I7-MOD($F$36/$I7,1)</f>
        <v>4</v>
      </c>
      <c r="AE7" s="16">
        <f t="shared" ref="AE7:AE30" si="8">$F$37/$I7-MOD($F$37/$I7,1)</f>
        <v>4</v>
      </c>
      <c r="AF7" s="9">
        <f t="shared" si="0"/>
        <v>4</v>
      </c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N7" s="16">
        <v>0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I7" s="16">
        <v>0</v>
      </c>
      <c r="BJ7" s="22">
        <v>2</v>
      </c>
      <c r="BK7" s="16">
        <f t="shared" ref="BK7:BP30" si="9">AI7+AP7+AW7+BD7</f>
        <v>0</v>
      </c>
      <c r="BL7" s="16">
        <f t="shared" si="1"/>
        <v>0</v>
      </c>
      <c r="BM7" s="16">
        <f t="shared" si="1"/>
        <v>0</v>
      </c>
      <c r="BN7" s="16">
        <f t="shared" si="1"/>
        <v>0</v>
      </c>
      <c r="BO7" s="16">
        <f t="shared" si="1"/>
        <v>1</v>
      </c>
      <c r="BP7" s="16">
        <f t="shared" si="1"/>
        <v>0</v>
      </c>
      <c r="BQ7" s="23">
        <v>2</v>
      </c>
      <c r="BR7" s="16">
        <f t="shared" ref="BR7:BW30" si="10">AI7+AP7*2+AW7*3+BD7*4</f>
        <v>0</v>
      </c>
      <c r="BS7" s="16">
        <f t="shared" si="2"/>
        <v>0</v>
      </c>
      <c r="BT7" s="16">
        <f t="shared" si="2"/>
        <v>0</v>
      </c>
      <c r="BU7" s="16">
        <f t="shared" si="2"/>
        <v>0</v>
      </c>
      <c r="BV7" s="16">
        <f t="shared" si="2"/>
        <v>1</v>
      </c>
      <c r="BW7" s="16">
        <f t="shared" si="2"/>
        <v>0</v>
      </c>
      <c r="BX7" s="23">
        <v>2</v>
      </c>
      <c r="BY7" s="16">
        <f t="shared" ref="BY7:CD30" si="11">AI7+AP7*POWER(2,$O7)+AW7*POWER(3,$O7)+BD7*POWER(4,$O7)</f>
        <v>0</v>
      </c>
      <c r="BZ7" s="16">
        <f t="shared" si="3"/>
        <v>0</v>
      </c>
      <c r="CA7" s="16">
        <f>AK7+AR7*POWER(2,$O7)+AY7*POWER(3,$O7)+BF7*POWER(4,$O7)</f>
        <v>0</v>
      </c>
      <c r="CB7" s="16">
        <f t="shared" si="3"/>
        <v>0</v>
      </c>
      <c r="CC7" s="19">
        <f t="shared" si="3"/>
        <v>1</v>
      </c>
      <c r="CD7" s="19">
        <f t="shared" si="3"/>
        <v>0</v>
      </c>
    </row>
    <row r="8" spans="2:82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4"/>
        <v>3</v>
      </c>
      <c r="AB8" s="16">
        <f t="shared" si="5"/>
        <v>3</v>
      </c>
      <c r="AC8" s="16">
        <f t="shared" si="6"/>
        <v>2</v>
      </c>
      <c r="AD8" s="16">
        <f t="shared" si="7"/>
        <v>2</v>
      </c>
      <c r="AE8" s="16">
        <f t="shared" si="8"/>
        <v>2</v>
      </c>
      <c r="AF8" s="9">
        <f t="shared" si="0"/>
        <v>2</v>
      </c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I8" s="16">
        <v>0</v>
      </c>
      <c r="BJ8" s="22">
        <v>3</v>
      </c>
      <c r="BK8" s="16">
        <f>AI8+AP8+AW8+BD8</f>
        <v>0</v>
      </c>
      <c r="BL8" s="16">
        <f t="shared" si="1"/>
        <v>0</v>
      </c>
      <c r="BM8" s="16">
        <f t="shared" si="1"/>
        <v>1</v>
      </c>
      <c r="BN8" s="16">
        <f t="shared" si="1"/>
        <v>0</v>
      </c>
      <c r="BO8" s="16">
        <f t="shared" si="1"/>
        <v>0</v>
      </c>
      <c r="BP8" s="16">
        <f t="shared" si="1"/>
        <v>0</v>
      </c>
      <c r="BQ8" s="23">
        <v>3</v>
      </c>
      <c r="BR8" s="16">
        <f t="shared" si="10"/>
        <v>0</v>
      </c>
      <c r="BS8" s="16">
        <f t="shared" si="2"/>
        <v>0</v>
      </c>
      <c r="BT8" s="16">
        <f t="shared" si="2"/>
        <v>1</v>
      </c>
      <c r="BU8" s="16">
        <f t="shared" si="2"/>
        <v>0</v>
      </c>
      <c r="BV8" s="16">
        <f t="shared" si="2"/>
        <v>0</v>
      </c>
      <c r="BW8" s="16">
        <f t="shared" si="2"/>
        <v>0</v>
      </c>
      <c r="BX8" s="23">
        <v>3</v>
      </c>
      <c r="BY8" s="16">
        <f t="shared" si="11"/>
        <v>0</v>
      </c>
      <c r="BZ8" s="16">
        <f t="shared" si="3"/>
        <v>0</v>
      </c>
      <c r="CA8" s="16">
        <f t="shared" si="3"/>
        <v>1</v>
      </c>
      <c r="CB8" s="16">
        <f t="shared" si="3"/>
        <v>0</v>
      </c>
      <c r="CC8" s="19">
        <f t="shared" si="3"/>
        <v>0</v>
      </c>
      <c r="CD8" s="19">
        <f>AN8+AU8*POWER(2,$O8)+BB8*POWER(3,$O8)+BI8*POWER(4,$O8)</f>
        <v>0</v>
      </c>
    </row>
    <row r="9" spans="2:82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4"/>
        <v>4</v>
      </c>
      <c r="AB9" s="16">
        <f t="shared" si="5"/>
        <v>4</v>
      </c>
      <c r="AC9" s="16">
        <f t="shared" si="6"/>
        <v>3</v>
      </c>
      <c r="AD9" s="16">
        <f t="shared" si="7"/>
        <v>3</v>
      </c>
      <c r="AE9" s="16">
        <f t="shared" si="8"/>
        <v>4</v>
      </c>
      <c r="AF9" s="9">
        <f t="shared" si="0"/>
        <v>3</v>
      </c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16">
        <v>0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I9" s="16">
        <v>0</v>
      </c>
      <c r="BJ9" s="22">
        <v>4</v>
      </c>
      <c r="BK9" s="16">
        <f t="shared" si="9"/>
        <v>0</v>
      </c>
      <c r="BL9" s="16">
        <f t="shared" si="1"/>
        <v>0</v>
      </c>
      <c r="BM9" s="16">
        <f t="shared" si="1"/>
        <v>1</v>
      </c>
      <c r="BN9" s="16">
        <f t="shared" si="1"/>
        <v>0</v>
      </c>
      <c r="BO9" s="16">
        <f t="shared" si="1"/>
        <v>0</v>
      </c>
      <c r="BP9" s="16">
        <f t="shared" si="1"/>
        <v>0</v>
      </c>
      <c r="BQ9" s="23">
        <v>4</v>
      </c>
      <c r="BR9" s="16">
        <f t="shared" si="10"/>
        <v>0</v>
      </c>
      <c r="BS9" s="16">
        <f t="shared" si="2"/>
        <v>0</v>
      </c>
      <c r="BT9" s="16">
        <f t="shared" si="2"/>
        <v>1</v>
      </c>
      <c r="BU9" s="16">
        <f t="shared" si="2"/>
        <v>0</v>
      </c>
      <c r="BV9" s="16">
        <f t="shared" si="2"/>
        <v>0</v>
      </c>
      <c r="BW9" s="16">
        <f t="shared" si="2"/>
        <v>0</v>
      </c>
      <c r="BX9" s="23">
        <v>4</v>
      </c>
      <c r="BY9" s="16">
        <f t="shared" si="11"/>
        <v>0</v>
      </c>
      <c r="BZ9" s="16">
        <f t="shared" si="3"/>
        <v>0</v>
      </c>
      <c r="CA9" s="16">
        <f t="shared" si="3"/>
        <v>1</v>
      </c>
      <c r="CB9" s="16">
        <f t="shared" si="3"/>
        <v>0</v>
      </c>
      <c r="CC9" s="19">
        <f t="shared" si="3"/>
        <v>0</v>
      </c>
      <c r="CD9" s="19">
        <f t="shared" si="3"/>
        <v>0</v>
      </c>
    </row>
    <row r="10" spans="2:82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4"/>
        <v>3</v>
      </c>
      <c r="AB10" s="16">
        <f t="shared" si="5"/>
        <v>3</v>
      </c>
      <c r="AC10" s="16">
        <f t="shared" si="6"/>
        <v>2</v>
      </c>
      <c r="AD10" s="16">
        <f t="shared" si="7"/>
        <v>3</v>
      </c>
      <c r="AE10" s="16">
        <f t="shared" si="8"/>
        <v>3</v>
      </c>
      <c r="AF10" s="9">
        <f t="shared" si="0"/>
        <v>2</v>
      </c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I10" s="16">
        <v>0</v>
      </c>
      <c r="BJ10" s="22">
        <v>5</v>
      </c>
      <c r="BK10" s="16">
        <f t="shared" si="9"/>
        <v>0</v>
      </c>
      <c r="BL10" s="16">
        <f t="shared" si="1"/>
        <v>0</v>
      </c>
      <c r="BM10" s="16">
        <f t="shared" si="1"/>
        <v>1</v>
      </c>
      <c r="BN10" s="16">
        <f t="shared" si="1"/>
        <v>0</v>
      </c>
      <c r="BO10" s="16">
        <f t="shared" si="1"/>
        <v>0</v>
      </c>
      <c r="BP10" s="16">
        <f t="shared" si="1"/>
        <v>0</v>
      </c>
      <c r="BQ10" s="23">
        <v>5</v>
      </c>
      <c r="BR10" s="16">
        <f t="shared" si="10"/>
        <v>0</v>
      </c>
      <c r="BS10" s="16">
        <f t="shared" si="2"/>
        <v>0</v>
      </c>
      <c r="BT10" s="16">
        <f t="shared" si="2"/>
        <v>4</v>
      </c>
      <c r="BU10" s="16">
        <f t="shared" si="2"/>
        <v>0</v>
      </c>
      <c r="BV10" s="16">
        <f t="shared" si="2"/>
        <v>0</v>
      </c>
      <c r="BW10" s="16">
        <f t="shared" si="2"/>
        <v>0</v>
      </c>
      <c r="BX10" s="23">
        <v>5</v>
      </c>
      <c r="BY10" s="16">
        <f t="shared" si="11"/>
        <v>0</v>
      </c>
      <c r="BZ10" s="16">
        <f t="shared" si="3"/>
        <v>0</v>
      </c>
      <c r="CA10" s="16">
        <f t="shared" si="3"/>
        <v>3.4822022531844965</v>
      </c>
      <c r="CB10" s="16">
        <f t="shared" si="3"/>
        <v>0</v>
      </c>
      <c r="CC10" s="19">
        <f t="shared" si="3"/>
        <v>0</v>
      </c>
      <c r="CD10" s="19">
        <f t="shared" si="3"/>
        <v>0</v>
      </c>
    </row>
    <row r="11" spans="2:82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4"/>
        <v>4</v>
      </c>
      <c r="AB11" s="16">
        <f t="shared" si="5"/>
        <v>3</v>
      </c>
      <c r="AC11" s="16">
        <f t="shared" si="6"/>
        <v>3</v>
      </c>
      <c r="AD11" s="16">
        <f t="shared" si="7"/>
        <v>3</v>
      </c>
      <c r="AE11" s="16">
        <f t="shared" si="8"/>
        <v>3</v>
      </c>
      <c r="AF11" s="9">
        <f t="shared" si="0"/>
        <v>3</v>
      </c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1</v>
      </c>
      <c r="AN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I11" s="16">
        <v>0</v>
      </c>
      <c r="BJ11" s="22">
        <v>6</v>
      </c>
      <c r="BK11" s="16">
        <f t="shared" si="9"/>
        <v>0</v>
      </c>
      <c r="BL11" s="16">
        <f t="shared" si="1"/>
        <v>0</v>
      </c>
      <c r="BM11" s="16">
        <f t="shared" si="1"/>
        <v>0</v>
      </c>
      <c r="BN11" s="16">
        <f t="shared" si="1"/>
        <v>0</v>
      </c>
      <c r="BO11" s="16">
        <f t="shared" si="1"/>
        <v>1</v>
      </c>
      <c r="BP11" s="16">
        <f t="shared" si="1"/>
        <v>0</v>
      </c>
      <c r="BQ11" s="23">
        <v>6</v>
      </c>
      <c r="BR11" s="16">
        <f t="shared" si="10"/>
        <v>0</v>
      </c>
      <c r="BS11" s="16">
        <f t="shared" si="2"/>
        <v>0</v>
      </c>
      <c r="BT11" s="16">
        <f t="shared" si="2"/>
        <v>0</v>
      </c>
      <c r="BU11" s="16">
        <f t="shared" si="2"/>
        <v>0</v>
      </c>
      <c r="BV11" s="16">
        <f t="shared" si="2"/>
        <v>1</v>
      </c>
      <c r="BW11" s="16">
        <f t="shared" si="2"/>
        <v>0</v>
      </c>
      <c r="BX11" s="23">
        <v>6</v>
      </c>
      <c r="BY11" s="16">
        <f t="shared" si="11"/>
        <v>0</v>
      </c>
      <c r="BZ11" s="16">
        <f t="shared" si="3"/>
        <v>0</v>
      </c>
      <c r="CA11" s="16">
        <f t="shared" si="3"/>
        <v>0</v>
      </c>
      <c r="CB11" s="16">
        <f t="shared" si="3"/>
        <v>0</v>
      </c>
      <c r="CC11" s="19">
        <f t="shared" si="3"/>
        <v>1</v>
      </c>
      <c r="CD11" s="19">
        <f t="shared" si="3"/>
        <v>0</v>
      </c>
    </row>
    <row r="12" spans="2:82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4"/>
        <v>5</v>
      </c>
      <c r="AB12" s="16">
        <f t="shared" si="5"/>
        <v>5</v>
      </c>
      <c r="AC12" s="16">
        <f t="shared" si="6"/>
        <v>4</v>
      </c>
      <c r="AD12" s="16">
        <f t="shared" si="7"/>
        <v>4</v>
      </c>
      <c r="AE12" s="16">
        <f t="shared" si="8"/>
        <v>4</v>
      </c>
      <c r="AF12" s="9">
        <f t="shared" si="0"/>
        <v>4</v>
      </c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I12" s="16">
        <v>0</v>
      </c>
      <c r="BJ12" s="22">
        <v>7</v>
      </c>
      <c r="BK12" s="16">
        <f t="shared" si="9"/>
        <v>0</v>
      </c>
      <c r="BL12" s="16">
        <f t="shared" si="1"/>
        <v>0</v>
      </c>
      <c r="BM12" s="16">
        <f t="shared" si="1"/>
        <v>0</v>
      </c>
      <c r="BN12" s="16">
        <f t="shared" si="1"/>
        <v>0</v>
      </c>
      <c r="BO12" s="16">
        <f t="shared" si="1"/>
        <v>0</v>
      </c>
      <c r="BP12" s="16">
        <f t="shared" si="1"/>
        <v>0</v>
      </c>
      <c r="BQ12" s="23">
        <v>7</v>
      </c>
      <c r="BR12" s="16">
        <f t="shared" si="10"/>
        <v>0</v>
      </c>
      <c r="BS12" s="16">
        <f t="shared" si="2"/>
        <v>0</v>
      </c>
      <c r="BT12" s="16">
        <f t="shared" si="2"/>
        <v>0</v>
      </c>
      <c r="BU12" s="16">
        <f t="shared" si="2"/>
        <v>0</v>
      </c>
      <c r="BV12" s="16">
        <f t="shared" si="2"/>
        <v>0</v>
      </c>
      <c r="BW12" s="16">
        <f t="shared" si="2"/>
        <v>0</v>
      </c>
      <c r="BX12" s="23">
        <v>7</v>
      </c>
      <c r="BY12" s="16">
        <f t="shared" si="11"/>
        <v>0</v>
      </c>
      <c r="BZ12" s="16">
        <f t="shared" si="3"/>
        <v>0</v>
      </c>
      <c r="CA12" s="16">
        <f t="shared" si="3"/>
        <v>0</v>
      </c>
      <c r="CB12" s="16">
        <f t="shared" si="3"/>
        <v>0</v>
      </c>
      <c r="CC12" s="19">
        <f t="shared" si="3"/>
        <v>0</v>
      </c>
      <c r="CD12" s="19">
        <f t="shared" si="3"/>
        <v>0</v>
      </c>
    </row>
    <row r="13" spans="2:82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4"/>
        <v>3</v>
      </c>
      <c r="AB13" s="16">
        <f t="shared" si="5"/>
        <v>3</v>
      </c>
      <c r="AC13" s="16">
        <f t="shared" si="6"/>
        <v>2</v>
      </c>
      <c r="AD13" s="16">
        <f t="shared" si="7"/>
        <v>3</v>
      </c>
      <c r="AE13" s="16">
        <f t="shared" si="8"/>
        <v>3</v>
      </c>
      <c r="AF13" s="9">
        <f t="shared" si="0"/>
        <v>2</v>
      </c>
      <c r="AH13" s="22">
        <v>8</v>
      </c>
      <c r="AI13" s="16">
        <v>1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I13" s="16">
        <v>0</v>
      </c>
      <c r="BJ13" s="22">
        <v>8</v>
      </c>
      <c r="BK13" s="16">
        <f t="shared" si="9"/>
        <v>1</v>
      </c>
      <c r="BL13" s="16">
        <f t="shared" si="1"/>
        <v>0</v>
      </c>
      <c r="BM13" s="16">
        <f t="shared" si="1"/>
        <v>0</v>
      </c>
      <c r="BN13" s="16">
        <f t="shared" si="1"/>
        <v>0</v>
      </c>
      <c r="BO13" s="16">
        <f t="shared" si="1"/>
        <v>0</v>
      </c>
      <c r="BP13" s="16">
        <f t="shared" si="1"/>
        <v>0</v>
      </c>
      <c r="BQ13" s="23">
        <v>8</v>
      </c>
      <c r="BR13" s="16">
        <f t="shared" si="10"/>
        <v>1</v>
      </c>
      <c r="BS13" s="16">
        <f t="shared" si="2"/>
        <v>0</v>
      </c>
      <c r="BT13" s="16">
        <f t="shared" si="2"/>
        <v>0</v>
      </c>
      <c r="BU13" s="16">
        <f t="shared" si="2"/>
        <v>0</v>
      </c>
      <c r="BV13" s="16">
        <f t="shared" si="2"/>
        <v>0</v>
      </c>
      <c r="BW13" s="16">
        <f t="shared" si="2"/>
        <v>0</v>
      </c>
      <c r="BX13" s="23">
        <v>8</v>
      </c>
      <c r="BY13" s="16">
        <f t="shared" si="11"/>
        <v>1</v>
      </c>
      <c r="BZ13" s="16">
        <f t="shared" si="3"/>
        <v>0</v>
      </c>
      <c r="CA13" s="16">
        <f t="shared" si="3"/>
        <v>0</v>
      </c>
      <c r="CB13" s="16">
        <f t="shared" si="3"/>
        <v>0</v>
      </c>
      <c r="CC13" s="19">
        <f t="shared" si="3"/>
        <v>0</v>
      </c>
      <c r="CD13" s="19">
        <f t="shared" si="3"/>
        <v>0</v>
      </c>
    </row>
    <row r="14" spans="2:82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4"/>
        <v>3</v>
      </c>
      <c r="AB14" s="16">
        <f t="shared" si="5"/>
        <v>3</v>
      </c>
      <c r="AC14" s="16">
        <f t="shared" si="6"/>
        <v>2</v>
      </c>
      <c r="AD14" s="16">
        <f t="shared" si="7"/>
        <v>3</v>
      </c>
      <c r="AE14" s="16">
        <f t="shared" si="8"/>
        <v>3</v>
      </c>
      <c r="AF14" s="9">
        <f t="shared" si="0"/>
        <v>2</v>
      </c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B14" s="16">
        <v>0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I14" s="16">
        <v>0</v>
      </c>
      <c r="BJ14" s="22">
        <v>9</v>
      </c>
      <c r="BK14" s="16">
        <f t="shared" si="9"/>
        <v>0</v>
      </c>
      <c r="BL14" s="16">
        <f t="shared" si="1"/>
        <v>0</v>
      </c>
      <c r="BM14" s="16">
        <f t="shared" si="1"/>
        <v>0</v>
      </c>
      <c r="BN14" s="16">
        <f t="shared" si="1"/>
        <v>1</v>
      </c>
      <c r="BO14" s="16">
        <f t="shared" si="1"/>
        <v>0</v>
      </c>
      <c r="BP14" s="16">
        <f t="shared" si="1"/>
        <v>0</v>
      </c>
      <c r="BQ14" s="23">
        <v>9</v>
      </c>
      <c r="BR14" s="16">
        <f t="shared" si="10"/>
        <v>0</v>
      </c>
      <c r="BS14" s="16">
        <f t="shared" si="2"/>
        <v>0</v>
      </c>
      <c r="BT14" s="16">
        <f t="shared" si="2"/>
        <v>0</v>
      </c>
      <c r="BU14" s="16">
        <f t="shared" si="2"/>
        <v>3</v>
      </c>
      <c r="BV14" s="16">
        <f t="shared" si="2"/>
        <v>0</v>
      </c>
      <c r="BW14" s="16">
        <f t="shared" si="2"/>
        <v>0</v>
      </c>
      <c r="BX14" s="23">
        <v>9</v>
      </c>
      <c r="BY14" s="16">
        <f t="shared" si="11"/>
        <v>0</v>
      </c>
      <c r="BZ14" s="16">
        <f t="shared" si="3"/>
        <v>0</v>
      </c>
      <c r="CA14" s="16">
        <f t="shared" si="3"/>
        <v>0</v>
      </c>
      <c r="CB14" s="16">
        <f t="shared" si="3"/>
        <v>2.4082246852806923</v>
      </c>
      <c r="CC14" s="19">
        <f t="shared" si="3"/>
        <v>0</v>
      </c>
      <c r="CD14" s="19">
        <f t="shared" si="3"/>
        <v>0</v>
      </c>
    </row>
    <row r="15" spans="2:82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4"/>
        <v>3</v>
      </c>
      <c r="AB15" s="16">
        <f t="shared" si="5"/>
        <v>3</v>
      </c>
      <c r="AC15" s="16">
        <f t="shared" si="6"/>
        <v>2</v>
      </c>
      <c r="AD15" s="16">
        <f t="shared" si="7"/>
        <v>3</v>
      </c>
      <c r="AE15" s="16">
        <f t="shared" si="8"/>
        <v>3</v>
      </c>
      <c r="AF15" s="9">
        <f t="shared" si="0"/>
        <v>2</v>
      </c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I15" s="16">
        <v>1</v>
      </c>
      <c r="BJ15" s="22">
        <v>10</v>
      </c>
      <c r="BK15" s="16">
        <f t="shared" si="9"/>
        <v>0</v>
      </c>
      <c r="BL15" s="16">
        <f t="shared" si="1"/>
        <v>0</v>
      </c>
      <c r="BM15" s="16">
        <f t="shared" si="1"/>
        <v>0</v>
      </c>
      <c r="BN15" s="16">
        <f t="shared" si="1"/>
        <v>0</v>
      </c>
      <c r="BO15" s="16">
        <f t="shared" si="1"/>
        <v>0</v>
      </c>
      <c r="BP15" s="16">
        <f t="shared" si="1"/>
        <v>1</v>
      </c>
      <c r="BQ15" s="23">
        <v>10</v>
      </c>
      <c r="BR15" s="16">
        <f t="shared" si="10"/>
        <v>0</v>
      </c>
      <c r="BS15" s="16">
        <f t="shared" si="2"/>
        <v>0</v>
      </c>
      <c r="BT15" s="16">
        <f t="shared" si="2"/>
        <v>0</v>
      </c>
      <c r="BU15" s="16">
        <f t="shared" si="2"/>
        <v>0</v>
      </c>
      <c r="BV15" s="16">
        <f t="shared" si="2"/>
        <v>0</v>
      </c>
      <c r="BW15" s="16">
        <f t="shared" si="2"/>
        <v>4</v>
      </c>
      <c r="BX15" s="23">
        <v>10</v>
      </c>
      <c r="BY15" s="16">
        <f t="shared" si="11"/>
        <v>0</v>
      </c>
      <c r="BZ15" s="16">
        <f t="shared" si="3"/>
        <v>0</v>
      </c>
      <c r="CA15" s="16">
        <f t="shared" si="3"/>
        <v>0</v>
      </c>
      <c r="CB15" s="16">
        <f t="shared" si="3"/>
        <v>0</v>
      </c>
      <c r="CC15" s="19">
        <f t="shared" si="3"/>
        <v>0</v>
      </c>
      <c r="CD15" s="19">
        <f t="shared" si="3"/>
        <v>3.031433133020796</v>
      </c>
    </row>
    <row r="16" spans="2:82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4"/>
        <v>6</v>
      </c>
      <c r="AB16" s="16">
        <f t="shared" si="5"/>
        <v>6</v>
      </c>
      <c r="AC16" s="16">
        <f t="shared" si="6"/>
        <v>5</v>
      </c>
      <c r="AD16" s="16">
        <f t="shared" si="7"/>
        <v>5</v>
      </c>
      <c r="AE16" s="16">
        <f t="shared" si="8"/>
        <v>5</v>
      </c>
      <c r="AF16" s="9">
        <f t="shared" si="0"/>
        <v>5</v>
      </c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I16" s="16">
        <v>0</v>
      </c>
      <c r="BJ16" s="22">
        <v>11</v>
      </c>
      <c r="BK16" s="16">
        <f t="shared" si="9"/>
        <v>0</v>
      </c>
      <c r="BL16" s="16">
        <f t="shared" si="1"/>
        <v>0</v>
      </c>
      <c r="BM16" s="16">
        <f t="shared" si="1"/>
        <v>0</v>
      </c>
      <c r="BN16" s="16">
        <f t="shared" si="1"/>
        <v>0</v>
      </c>
      <c r="BO16" s="16">
        <f t="shared" si="1"/>
        <v>0</v>
      </c>
      <c r="BP16" s="16">
        <f t="shared" si="1"/>
        <v>0</v>
      </c>
      <c r="BQ16" s="23">
        <v>11</v>
      </c>
      <c r="BR16" s="16">
        <f t="shared" si="10"/>
        <v>0</v>
      </c>
      <c r="BS16" s="16">
        <f t="shared" si="2"/>
        <v>0</v>
      </c>
      <c r="BT16" s="16">
        <f t="shared" si="2"/>
        <v>0</v>
      </c>
      <c r="BU16" s="16">
        <f t="shared" si="2"/>
        <v>0</v>
      </c>
      <c r="BV16" s="16">
        <f t="shared" si="2"/>
        <v>0</v>
      </c>
      <c r="BW16" s="16">
        <f t="shared" si="2"/>
        <v>0</v>
      </c>
      <c r="BX16" s="23">
        <v>11</v>
      </c>
      <c r="BY16" s="16">
        <f t="shared" si="11"/>
        <v>0</v>
      </c>
      <c r="BZ16" s="16">
        <f t="shared" si="3"/>
        <v>0</v>
      </c>
      <c r="CA16" s="16">
        <f t="shared" si="3"/>
        <v>0</v>
      </c>
      <c r="CB16" s="16">
        <f t="shared" si="3"/>
        <v>0</v>
      </c>
      <c r="CC16" s="19">
        <f t="shared" si="3"/>
        <v>0</v>
      </c>
      <c r="CD16" s="19">
        <f t="shared" si="3"/>
        <v>0</v>
      </c>
    </row>
    <row r="17" spans="2:82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4"/>
        <v>5</v>
      </c>
      <c r="AB17" s="16">
        <f t="shared" si="5"/>
        <v>5</v>
      </c>
      <c r="AC17" s="16">
        <f t="shared" si="6"/>
        <v>4</v>
      </c>
      <c r="AD17" s="16">
        <f t="shared" si="7"/>
        <v>4</v>
      </c>
      <c r="AE17" s="16">
        <f t="shared" si="8"/>
        <v>4</v>
      </c>
      <c r="AF17" s="9">
        <f t="shared" si="0"/>
        <v>4</v>
      </c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I17" s="16">
        <v>0</v>
      </c>
      <c r="BJ17" s="22">
        <v>12</v>
      </c>
      <c r="BK17" s="16">
        <f t="shared" si="9"/>
        <v>0</v>
      </c>
      <c r="BL17" s="16">
        <f t="shared" si="1"/>
        <v>0</v>
      </c>
      <c r="BM17" s="16">
        <f t="shared" si="1"/>
        <v>0</v>
      </c>
      <c r="BN17" s="16">
        <f t="shared" si="1"/>
        <v>1</v>
      </c>
      <c r="BO17" s="16">
        <f t="shared" si="1"/>
        <v>0</v>
      </c>
      <c r="BP17" s="16">
        <f t="shared" si="1"/>
        <v>0</v>
      </c>
      <c r="BQ17" s="23">
        <v>12</v>
      </c>
      <c r="BR17" s="16">
        <f t="shared" si="10"/>
        <v>0</v>
      </c>
      <c r="BS17" s="16">
        <f t="shared" si="2"/>
        <v>0</v>
      </c>
      <c r="BT17" s="16">
        <f t="shared" si="2"/>
        <v>0</v>
      </c>
      <c r="BU17" s="16">
        <f t="shared" si="2"/>
        <v>4</v>
      </c>
      <c r="BV17" s="16">
        <f t="shared" si="2"/>
        <v>0</v>
      </c>
      <c r="BW17" s="16">
        <f t="shared" si="2"/>
        <v>0</v>
      </c>
      <c r="BX17" s="23">
        <v>12</v>
      </c>
      <c r="BY17" s="16">
        <f t="shared" si="11"/>
        <v>0</v>
      </c>
      <c r="BZ17" s="16">
        <f t="shared" si="3"/>
        <v>0</v>
      </c>
      <c r="CA17" s="16">
        <f t="shared" si="3"/>
        <v>0</v>
      </c>
      <c r="CB17" s="16">
        <f t="shared" si="3"/>
        <v>3.031433133020796</v>
      </c>
      <c r="CC17" s="19">
        <f t="shared" si="3"/>
        <v>0</v>
      </c>
      <c r="CD17" s="19">
        <f t="shared" si="3"/>
        <v>0</v>
      </c>
    </row>
    <row r="18" spans="2:82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4"/>
        <v>5</v>
      </c>
      <c r="AB18" s="16">
        <f t="shared" si="5"/>
        <v>5</v>
      </c>
      <c r="AC18" s="16">
        <f t="shared" si="6"/>
        <v>4</v>
      </c>
      <c r="AD18" s="16">
        <f t="shared" si="7"/>
        <v>4</v>
      </c>
      <c r="AE18" s="16">
        <f t="shared" si="8"/>
        <v>4</v>
      </c>
      <c r="AF18" s="9">
        <f t="shared" si="0"/>
        <v>4</v>
      </c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I18" s="16">
        <v>0</v>
      </c>
      <c r="BJ18" s="22">
        <v>13</v>
      </c>
      <c r="BK18" s="16">
        <f t="shared" si="9"/>
        <v>0</v>
      </c>
      <c r="BL18" s="16">
        <f t="shared" si="1"/>
        <v>0</v>
      </c>
      <c r="BM18" s="16">
        <f t="shared" si="1"/>
        <v>0</v>
      </c>
      <c r="BN18" s="16">
        <f t="shared" si="1"/>
        <v>0</v>
      </c>
      <c r="BO18" s="16">
        <f t="shared" si="1"/>
        <v>0</v>
      </c>
      <c r="BP18" s="16">
        <f t="shared" si="1"/>
        <v>0</v>
      </c>
      <c r="BQ18" s="23">
        <v>13</v>
      </c>
      <c r="BR18" s="16">
        <f t="shared" si="10"/>
        <v>0</v>
      </c>
      <c r="BS18" s="16">
        <f t="shared" si="2"/>
        <v>0</v>
      </c>
      <c r="BT18" s="16">
        <f t="shared" si="2"/>
        <v>0</v>
      </c>
      <c r="BU18" s="16">
        <f t="shared" si="2"/>
        <v>0</v>
      </c>
      <c r="BV18" s="16">
        <f t="shared" si="2"/>
        <v>0</v>
      </c>
      <c r="BW18" s="16">
        <f t="shared" si="2"/>
        <v>0</v>
      </c>
      <c r="BX18" s="23">
        <v>13</v>
      </c>
      <c r="BY18" s="16">
        <f t="shared" si="11"/>
        <v>0</v>
      </c>
      <c r="BZ18" s="16">
        <f t="shared" si="3"/>
        <v>0</v>
      </c>
      <c r="CA18" s="16">
        <f t="shared" si="3"/>
        <v>0</v>
      </c>
      <c r="CB18" s="16">
        <f t="shared" si="3"/>
        <v>0</v>
      </c>
      <c r="CC18" s="19">
        <f t="shared" si="3"/>
        <v>0</v>
      </c>
      <c r="CD18" s="19">
        <f t="shared" si="3"/>
        <v>0</v>
      </c>
    </row>
    <row r="19" spans="2:82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4"/>
        <v>3</v>
      </c>
      <c r="AB19" s="16">
        <f t="shared" si="5"/>
        <v>3</v>
      </c>
      <c r="AC19" s="16">
        <f t="shared" si="6"/>
        <v>2</v>
      </c>
      <c r="AD19" s="16">
        <f t="shared" si="7"/>
        <v>3</v>
      </c>
      <c r="AE19" s="16">
        <f t="shared" si="8"/>
        <v>3</v>
      </c>
      <c r="AF19" s="9">
        <f t="shared" si="0"/>
        <v>2</v>
      </c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I19" s="16">
        <v>0</v>
      </c>
      <c r="BJ19" s="22">
        <v>14</v>
      </c>
      <c r="BK19" s="16">
        <f t="shared" si="9"/>
        <v>0</v>
      </c>
      <c r="BL19" s="16">
        <f t="shared" si="1"/>
        <v>0</v>
      </c>
      <c r="BM19" s="16">
        <f t="shared" si="1"/>
        <v>1</v>
      </c>
      <c r="BN19" s="16">
        <f t="shared" si="1"/>
        <v>0</v>
      </c>
      <c r="BO19" s="16">
        <f t="shared" si="1"/>
        <v>0</v>
      </c>
      <c r="BP19" s="16">
        <f t="shared" si="1"/>
        <v>0</v>
      </c>
      <c r="BQ19" s="23">
        <v>14</v>
      </c>
      <c r="BR19" s="16">
        <f t="shared" si="10"/>
        <v>0</v>
      </c>
      <c r="BS19" s="16">
        <f t="shared" si="2"/>
        <v>0</v>
      </c>
      <c r="BT19" s="16">
        <f t="shared" si="2"/>
        <v>4</v>
      </c>
      <c r="BU19" s="16">
        <f t="shared" si="2"/>
        <v>0</v>
      </c>
      <c r="BV19" s="16">
        <f t="shared" si="2"/>
        <v>0</v>
      </c>
      <c r="BW19" s="16">
        <f t="shared" si="2"/>
        <v>0</v>
      </c>
      <c r="BX19" s="23">
        <v>14</v>
      </c>
      <c r="BY19" s="16">
        <f t="shared" si="11"/>
        <v>0</v>
      </c>
      <c r="BZ19" s="16">
        <f t="shared" si="3"/>
        <v>0</v>
      </c>
      <c r="CA19" s="16">
        <f t="shared" si="3"/>
        <v>3.031433133020796</v>
      </c>
      <c r="CB19" s="16">
        <f t="shared" si="3"/>
        <v>0</v>
      </c>
      <c r="CC19" s="19">
        <f t="shared" si="3"/>
        <v>0</v>
      </c>
      <c r="CD19" s="19">
        <f t="shared" si="3"/>
        <v>0</v>
      </c>
    </row>
    <row r="20" spans="2:82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4"/>
        <v>4</v>
      </c>
      <c r="AB20" s="16">
        <f t="shared" si="5"/>
        <v>3</v>
      </c>
      <c r="AC20" s="16">
        <f t="shared" si="6"/>
        <v>3</v>
      </c>
      <c r="AD20" s="16">
        <f t="shared" si="7"/>
        <v>3</v>
      </c>
      <c r="AE20" s="16">
        <f t="shared" si="8"/>
        <v>3</v>
      </c>
      <c r="AF20" s="9">
        <f t="shared" si="0"/>
        <v>3</v>
      </c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I20" s="16">
        <v>0</v>
      </c>
      <c r="BJ20" s="22">
        <v>15</v>
      </c>
      <c r="BK20" s="16">
        <f t="shared" si="9"/>
        <v>0</v>
      </c>
      <c r="BL20" s="16">
        <f t="shared" si="1"/>
        <v>0</v>
      </c>
      <c r="BM20" s="16">
        <f t="shared" si="1"/>
        <v>0</v>
      </c>
      <c r="BN20" s="16">
        <f t="shared" si="1"/>
        <v>1</v>
      </c>
      <c r="BO20" s="16">
        <f t="shared" si="1"/>
        <v>0</v>
      </c>
      <c r="BP20" s="16">
        <f t="shared" si="1"/>
        <v>0</v>
      </c>
      <c r="BQ20" s="23">
        <v>15</v>
      </c>
      <c r="BR20" s="16">
        <f t="shared" si="10"/>
        <v>0</v>
      </c>
      <c r="BS20" s="16">
        <f t="shared" si="2"/>
        <v>0</v>
      </c>
      <c r="BT20" s="16">
        <f t="shared" si="2"/>
        <v>0</v>
      </c>
      <c r="BU20" s="16">
        <f t="shared" si="2"/>
        <v>4</v>
      </c>
      <c r="BV20" s="16">
        <f t="shared" si="2"/>
        <v>0</v>
      </c>
      <c r="BW20" s="16">
        <f t="shared" si="2"/>
        <v>0</v>
      </c>
      <c r="BX20" s="23">
        <v>15</v>
      </c>
      <c r="BY20" s="16">
        <f t="shared" si="11"/>
        <v>0</v>
      </c>
      <c r="BZ20" s="16">
        <f t="shared" si="3"/>
        <v>0</v>
      </c>
      <c r="CA20" s="16">
        <f t="shared" si="3"/>
        <v>0</v>
      </c>
      <c r="CB20" s="16">
        <f t="shared" si="3"/>
        <v>3.031433133020796</v>
      </c>
      <c r="CC20" s="19">
        <f t="shared" si="3"/>
        <v>0</v>
      </c>
      <c r="CD20" s="19">
        <f t="shared" si="3"/>
        <v>0</v>
      </c>
    </row>
    <row r="21" spans="2:82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4"/>
        <v>6</v>
      </c>
      <c r="AB21" s="16">
        <f t="shared" si="5"/>
        <v>6</v>
      </c>
      <c r="AC21" s="16">
        <f t="shared" si="6"/>
        <v>5</v>
      </c>
      <c r="AD21" s="16">
        <f t="shared" si="7"/>
        <v>5</v>
      </c>
      <c r="AE21" s="16">
        <f t="shared" si="8"/>
        <v>5</v>
      </c>
      <c r="AF21" s="9">
        <f t="shared" si="0"/>
        <v>5</v>
      </c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I21" s="16">
        <v>0</v>
      </c>
      <c r="BJ21" s="22">
        <v>16</v>
      </c>
      <c r="BK21" s="16">
        <f t="shared" si="9"/>
        <v>0</v>
      </c>
      <c r="BL21" s="16">
        <f t="shared" si="1"/>
        <v>0</v>
      </c>
      <c r="BM21" s="16">
        <f t="shared" si="1"/>
        <v>0</v>
      </c>
      <c r="BN21" s="16">
        <f t="shared" si="1"/>
        <v>0</v>
      </c>
      <c r="BO21" s="16">
        <f t="shared" si="1"/>
        <v>0</v>
      </c>
      <c r="BP21" s="16">
        <f t="shared" si="1"/>
        <v>0</v>
      </c>
      <c r="BQ21" s="23">
        <v>16</v>
      </c>
      <c r="BR21" s="16">
        <f t="shared" si="10"/>
        <v>0</v>
      </c>
      <c r="BS21" s="16">
        <f t="shared" si="2"/>
        <v>0</v>
      </c>
      <c r="BT21" s="16">
        <f t="shared" si="2"/>
        <v>0</v>
      </c>
      <c r="BU21" s="16">
        <f t="shared" si="2"/>
        <v>0</v>
      </c>
      <c r="BV21" s="16">
        <f t="shared" si="2"/>
        <v>0</v>
      </c>
      <c r="BW21" s="16">
        <f t="shared" si="2"/>
        <v>0</v>
      </c>
      <c r="BX21" s="23">
        <v>16</v>
      </c>
      <c r="BY21" s="16">
        <f t="shared" si="11"/>
        <v>0</v>
      </c>
      <c r="BZ21" s="16">
        <f t="shared" si="3"/>
        <v>0</v>
      </c>
      <c r="CA21" s="16">
        <f t="shared" si="3"/>
        <v>0</v>
      </c>
      <c r="CB21" s="16">
        <f t="shared" si="3"/>
        <v>0</v>
      </c>
      <c r="CC21" s="19">
        <f t="shared" si="3"/>
        <v>0</v>
      </c>
      <c r="CD21" s="19">
        <f t="shared" si="3"/>
        <v>0</v>
      </c>
    </row>
    <row r="22" spans="2:82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4"/>
        <v>5</v>
      </c>
      <c r="AB22" s="16">
        <f t="shared" si="5"/>
        <v>5</v>
      </c>
      <c r="AC22" s="16">
        <f t="shared" si="6"/>
        <v>4</v>
      </c>
      <c r="AD22" s="16">
        <f t="shared" si="7"/>
        <v>4</v>
      </c>
      <c r="AE22" s="16">
        <f t="shared" si="8"/>
        <v>4</v>
      </c>
      <c r="AF22" s="9">
        <f t="shared" si="0"/>
        <v>4</v>
      </c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I22" s="16">
        <v>0</v>
      </c>
      <c r="BJ22" s="22">
        <v>17</v>
      </c>
      <c r="BK22" s="16">
        <f t="shared" si="9"/>
        <v>0</v>
      </c>
      <c r="BL22" s="16">
        <f t="shared" si="9"/>
        <v>0</v>
      </c>
      <c r="BM22" s="16">
        <f t="shared" si="9"/>
        <v>0</v>
      </c>
      <c r="BN22" s="16">
        <f t="shared" si="9"/>
        <v>0</v>
      </c>
      <c r="BO22" s="16">
        <f t="shared" si="9"/>
        <v>0</v>
      </c>
      <c r="BP22" s="16">
        <f t="shared" si="9"/>
        <v>0</v>
      </c>
      <c r="BQ22" s="23">
        <v>17</v>
      </c>
      <c r="BR22" s="16">
        <f t="shared" si="10"/>
        <v>0</v>
      </c>
      <c r="BS22" s="16">
        <f t="shared" si="10"/>
        <v>0</v>
      </c>
      <c r="BT22" s="16">
        <f t="shared" si="10"/>
        <v>0</v>
      </c>
      <c r="BU22" s="16">
        <f t="shared" si="10"/>
        <v>0</v>
      </c>
      <c r="BV22" s="16">
        <f t="shared" si="10"/>
        <v>0</v>
      </c>
      <c r="BW22" s="16">
        <f t="shared" si="10"/>
        <v>0</v>
      </c>
      <c r="BX22" s="23">
        <v>17</v>
      </c>
      <c r="BY22" s="16">
        <f t="shared" si="11"/>
        <v>0</v>
      </c>
      <c r="BZ22" s="16">
        <f t="shared" si="11"/>
        <v>0</v>
      </c>
      <c r="CA22" s="16">
        <f t="shared" si="11"/>
        <v>0</v>
      </c>
      <c r="CB22" s="16">
        <f t="shared" si="11"/>
        <v>0</v>
      </c>
      <c r="CC22" s="19">
        <f t="shared" si="11"/>
        <v>0</v>
      </c>
      <c r="CD22" s="19">
        <f t="shared" si="11"/>
        <v>0</v>
      </c>
    </row>
    <row r="23" spans="2:82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4"/>
        <v>4</v>
      </c>
      <c r="AB23" s="16">
        <f t="shared" si="5"/>
        <v>3</v>
      </c>
      <c r="AC23" s="16">
        <f t="shared" si="6"/>
        <v>3</v>
      </c>
      <c r="AD23" s="16">
        <f t="shared" si="7"/>
        <v>3</v>
      </c>
      <c r="AE23" s="16">
        <f t="shared" si="8"/>
        <v>3</v>
      </c>
      <c r="AF23" s="9">
        <f t="shared" si="0"/>
        <v>3</v>
      </c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I23" s="16">
        <v>0</v>
      </c>
      <c r="BJ23" s="22">
        <v>18</v>
      </c>
      <c r="BK23" s="16">
        <f t="shared" si="9"/>
        <v>0</v>
      </c>
      <c r="BL23" s="16">
        <f t="shared" si="9"/>
        <v>0</v>
      </c>
      <c r="BM23" s="16">
        <f t="shared" si="9"/>
        <v>0</v>
      </c>
      <c r="BN23" s="16">
        <f t="shared" si="9"/>
        <v>0</v>
      </c>
      <c r="BO23" s="16">
        <f t="shared" si="9"/>
        <v>0</v>
      </c>
      <c r="BP23" s="16">
        <f t="shared" si="9"/>
        <v>0</v>
      </c>
      <c r="BQ23" s="23">
        <v>18</v>
      </c>
      <c r="BR23" s="16">
        <f t="shared" si="10"/>
        <v>0</v>
      </c>
      <c r="BS23" s="16">
        <f t="shared" si="10"/>
        <v>0</v>
      </c>
      <c r="BT23" s="16">
        <f t="shared" si="10"/>
        <v>0</v>
      </c>
      <c r="BU23" s="16">
        <f t="shared" si="10"/>
        <v>0</v>
      </c>
      <c r="BV23" s="16">
        <f t="shared" si="10"/>
        <v>0</v>
      </c>
      <c r="BW23" s="16">
        <f t="shared" si="10"/>
        <v>0</v>
      </c>
      <c r="BX23" s="23">
        <v>18</v>
      </c>
      <c r="BY23" s="16">
        <f t="shared" si="11"/>
        <v>0</v>
      </c>
      <c r="BZ23" s="16">
        <f t="shared" si="11"/>
        <v>0</v>
      </c>
      <c r="CA23" s="16">
        <f t="shared" si="11"/>
        <v>0</v>
      </c>
      <c r="CB23" s="16">
        <f t="shared" si="11"/>
        <v>0</v>
      </c>
      <c r="CC23" s="19">
        <f t="shared" si="11"/>
        <v>0</v>
      </c>
      <c r="CD23" s="19">
        <f t="shared" si="11"/>
        <v>0</v>
      </c>
    </row>
    <row r="24" spans="2:82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4"/>
        <v>3</v>
      </c>
      <c r="AB24" s="16">
        <f t="shared" si="5"/>
        <v>3</v>
      </c>
      <c r="AC24" s="16">
        <f t="shared" si="6"/>
        <v>2</v>
      </c>
      <c r="AD24" s="16">
        <f t="shared" si="7"/>
        <v>3</v>
      </c>
      <c r="AE24" s="16">
        <f t="shared" si="8"/>
        <v>3</v>
      </c>
      <c r="AF24" s="9">
        <f t="shared" si="0"/>
        <v>2</v>
      </c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I24" s="16">
        <v>0</v>
      </c>
      <c r="BJ24" s="22">
        <v>19</v>
      </c>
      <c r="BK24" s="16">
        <f t="shared" si="9"/>
        <v>0</v>
      </c>
      <c r="BL24" s="16">
        <f t="shared" si="9"/>
        <v>0</v>
      </c>
      <c r="BM24" s="16">
        <f t="shared" si="9"/>
        <v>0</v>
      </c>
      <c r="BN24" s="16">
        <f t="shared" si="9"/>
        <v>0</v>
      </c>
      <c r="BO24" s="16">
        <f t="shared" si="9"/>
        <v>0</v>
      </c>
      <c r="BP24" s="16">
        <f t="shared" si="9"/>
        <v>0</v>
      </c>
      <c r="BQ24" s="23">
        <v>19</v>
      </c>
      <c r="BR24" s="16">
        <f t="shared" si="10"/>
        <v>0</v>
      </c>
      <c r="BS24" s="16">
        <f t="shared" si="10"/>
        <v>0</v>
      </c>
      <c r="BT24" s="16">
        <f t="shared" si="10"/>
        <v>0</v>
      </c>
      <c r="BU24" s="16">
        <f t="shared" si="10"/>
        <v>0</v>
      </c>
      <c r="BV24" s="16">
        <f t="shared" si="10"/>
        <v>0</v>
      </c>
      <c r="BW24" s="16">
        <f t="shared" si="10"/>
        <v>0</v>
      </c>
      <c r="BX24" s="23">
        <v>19</v>
      </c>
      <c r="BY24" s="16">
        <f t="shared" si="11"/>
        <v>0</v>
      </c>
      <c r="BZ24" s="16">
        <f t="shared" si="11"/>
        <v>0</v>
      </c>
      <c r="CA24" s="16">
        <f t="shared" si="11"/>
        <v>0</v>
      </c>
      <c r="CB24" s="16">
        <f t="shared" si="11"/>
        <v>0</v>
      </c>
      <c r="CC24" s="19">
        <f t="shared" si="11"/>
        <v>0</v>
      </c>
      <c r="CD24" s="19">
        <f t="shared" si="11"/>
        <v>0</v>
      </c>
    </row>
    <row r="25" spans="2:82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4"/>
        <v>5</v>
      </c>
      <c r="AB25" s="16">
        <f t="shared" si="5"/>
        <v>5</v>
      </c>
      <c r="AC25" s="16">
        <f t="shared" si="6"/>
        <v>4</v>
      </c>
      <c r="AD25" s="16">
        <f t="shared" si="7"/>
        <v>4</v>
      </c>
      <c r="AE25" s="16">
        <f t="shared" si="8"/>
        <v>4</v>
      </c>
      <c r="AF25" s="9">
        <f t="shared" si="0"/>
        <v>4</v>
      </c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I25" s="16">
        <v>0</v>
      </c>
      <c r="BJ25" s="22">
        <v>20</v>
      </c>
      <c r="BK25" s="16">
        <f t="shared" si="9"/>
        <v>0</v>
      </c>
      <c r="BL25" s="16">
        <f t="shared" si="9"/>
        <v>0</v>
      </c>
      <c r="BM25" s="16">
        <f t="shared" si="9"/>
        <v>0</v>
      </c>
      <c r="BN25" s="16">
        <f t="shared" si="9"/>
        <v>0</v>
      </c>
      <c r="BO25" s="16">
        <f t="shared" si="9"/>
        <v>0</v>
      </c>
      <c r="BP25" s="16">
        <f t="shared" si="9"/>
        <v>0</v>
      </c>
      <c r="BQ25" s="23">
        <v>20</v>
      </c>
      <c r="BR25" s="16">
        <f t="shared" si="10"/>
        <v>0</v>
      </c>
      <c r="BS25" s="16">
        <f t="shared" si="10"/>
        <v>0</v>
      </c>
      <c r="BT25" s="16">
        <f t="shared" si="10"/>
        <v>0</v>
      </c>
      <c r="BU25" s="16">
        <f t="shared" si="10"/>
        <v>0</v>
      </c>
      <c r="BV25" s="16">
        <f t="shared" si="10"/>
        <v>0</v>
      </c>
      <c r="BW25" s="16">
        <f t="shared" si="10"/>
        <v>0</v>
      </c>
      <c r="BX25" s="23">
        <v>20</v>
      </c>
      <c r="BY25" s="16">
        <f t="shared" si="11"/>
        <v>0</v>
      </c>
      <c r="BZ25" s="16">
        <f t="shared" si="11"/>
        <v>0</v>
      </c>
      <c r="CA25" s="16">
        <f t="shared" si="11"/>
        <v>0</v>
      </c>
      <c r="CB25" s="16">
        <f t="shared" si="11"/>
        <v>0</v>
      </c>
      <c r="CC25" s="19">
        <f t="shared" si="11"/>
        <v>0</v>
      </c>
      <c r="CD25" s="19">
        <f t="shared" si="11"/>
        <v>0</v>
      </c>
    </row>
    <row r="26" spans="2:82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4"/>
        <v>4</v>
      </c>
      <c r="AB26" s="16">
        <f t="shared" si="5"/>
        <v>3</v>
      </c>
      <c r="AC26" s="16">
        <f t="shared" si="6"/>
        <v>3</v>
      </c>
      <c r="AD26" s="16">
        <f t="shared" si="7"/>
        <v>3</v>
      </c>
      <c r="AE26" s="16">
        <f t="shared" si="8"/>
        <v>3</v>
      </c>
      <c r="AF26" s="9">
        <f t="shared" si="0"/>
        <v>3</v>
      </c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1</v>
      </c>
      <c r="BI26" s="16">
        <v>0</v>
      </c>
      <c r="BJ26" s="22">
        <v>21</v>
      </c>
      <c r="BK26" s="16">
        <f t="shared" si="9"/>
        <v>0</v>
      </c>
      <c r="BL26" s="16">
        <f t="shared" si="9"/>
        <v>0</v>
      </c>
      <c r="BM26" s="16">
        <f t="shared" si="9"/>
        <v>0</v>
      </c>
      <c r="BN26" s="16">
        <f t="shared" si="9"/>
        <v>0</v>
      </c>
      <c r="BO26" s="16">
        <f t="shared" si="9"/>
        <v>1</v>
      </c>
      <c r="BP26" s="16">
        <f t="shared" si="9"/>
        <v>0</v>
      </c>
      <c r="BQ26" s="23">
        <v>21</v>
      </c>
      <c r="BR26" s="16">
        <f t="shared" si="10"/>
        <v>0</v>
      </c>
      <c r="BS26" s="16">
        <f t="shared" si="10"/>
        <v>0</v>
      </c>
      <c r="BT26" s="16">
        <f t="shared" si="10"/>
        <v>0</v>
      </c>
      <c r="BU26" s="16">
        <f t="shared" si="10"/>
        <v>0</v>
      </c>
      <c r="BV26" s="16">
        <f t="shared" si="10"/>
        <v>4</v>
      </c>
      <c r="BW26" s="16">
        <f t="shared" si="10"/>
        <v>0</v>
      </c>
      <c r="BX26" s="23">
        <v>21</v>
      </c>
      <c r="BY26" s="16">
        <f t="shared" si="11"/>
        <v>0</v>
      </c>
      <c r="BZ26" s="16">
        <f t="shared" si="11"/>
        <v>0</v>
      </c>
      <c r="CA26" s="16">
        <f t="shared" si="11"/>
        <v>0</v>
      </c>
      <c r="CB26" s="16">
        <f t="shared" si="11"/>
        <v>0</v>
      </c>
      <c r="CC26" s="19">
        <f t="shared" si="11"/>
        <v>2.2973967099940702</v>
      </c>
      <c r="CD26" s="19">
        <f t="shared" si="11"/>
        <v>0</v>
      </c>
    </row>
    <row r="27" spans="2:82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4"/>
        <v>3</v>
      </c>
      <c r="AB27" s="16">
        <f t="shared" si="5"/>
        <v>3</v>
      </c>
      <c r="AC27" s="16">
        <f t="shared" si="6"/>
        <v>2</v>
      </c>
      <c r="AD27" s="16">
        <f t="shared" si="7"/>
        <v>3</v>
      </c>
      <c r="AE27" s="16">
        <f t="shared" si="8"/>
        <v>3</v>
      </c>
      <c r="AF27" s="9">
        <f t="shared" si="0"/>
        <v>2</v>
      </c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16">
        <v>0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I27" s="16">
        <v>0</v>
      </c>
      <c r="BJ27" s="22">
        <v>22</v>
      </c>
      <c r="BK27" s="16">
        <f t="shared" si="9"/>
        <v>0</v>
      </c>
      <c r="BL27" s="16">
        <f t="shared" si="9"/>
        <v>0</v>
      </c>
      <c r="BM27" s="16">
        <f t="shared" si="9"/>
        <v>0</v>
      </c>
      <c r="BN27" s="16">
        <f t="shared" si="9"/>
        <v>0</v>
      </c>
      <c r="BO27" s="16">
        <f t="shared" si="9"/>
        <v>1</v>
      </c>
      <c r="BP27" s="16">
        <f t="shared" si="9"/>
        <v>0</v>
      </c>
      <c r="BQ27" s="23">
        <v>22</v>
      </c>
      <c r="BR27" s="16">
        <f t="shared" si="10"/>
        <v>0</v>
      </c>
      <c r="BS27" s="16">
        <f t="shared" si="10"/>
        <v>0</v>
      </c>
      <c r="BT27" s="16">
        <f t="shared" si="10"/>
        <v>0</v>
      </c>
      <c r="BU27" s="16">
        <f t="shared" si="10"/>
        <v>0</v>
      </c>
      <c r="BV27" s="16">
        <f t="shared" si="10"/>
        <v>1</v>
      </c>
      <c r="BW27" s="16">
        <f t="shared" si="10"/>
        <v>0</v>
      </c>
      <c r="BX27" s="23">
        <v>22</v>
      </c>
      <c r="BY27" s="16">
        <f t="shared" si="11"/>
        <v>0</v>
      </c>
      <c r="BZ27" s="16">
        <f t="shared" si="11"/>
        <v>0</v>
      </c>
      <c r="CA27" s="16">
        <f t="shared" si="11"/>
        <v>0</v>
      </c>
      <c r="CB27" s="16">
        <f t="shared" si="11"/>
        <v>0</v>
      </c>
      <c r="CC27" s="19">
        <f t="shared" si="11"/>
        <v>1</v>
      </c>
      <c r="CD27" s="19">
        <f t="shared" si="11"/>
        <v>0</v>
      </c>
    </row>
    <row r="28" spans="2:82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4"/>
        <v>4</v>
      </c>
      <c r="AB28" s="16">
        <f t="shared" si="5"/>
        <v>4</v>
      </c>
      <c r="AC28" s="16">
        <f t="shared" si="6"/>
        <v>3</v>
      </c>
      <c r="AD28" s="16">
        <f t="shared" si="7"/>
        <v>3</v>
      </c>
      <c r="AE28" s="16">
        <f t="shared" si="8"/>
        <v>4</v>
      </c>
      <c r="AF28" s="9">
        <f t="shared" si="0"/>
        <v>3</v>
      </c>
      <c r="AH28" s="22">
        <v>23</v>
      </c>
      <c r="AI28" s="16">
        <v>1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I28" s="16">
        <v>0</v>
      </c>
      <c r="BJ28" s="22">
        <v>23</v>
      </c>
      <c r="BK28" s="16">
        <f t="shared" si="9"/>
        <v>1</v>
      </c>
      <c r="BL28" s="16">
        <f t="shared" si="9"/>
        <v>0</v>
      </c>
      <c r="BM28" s="16">
        <f t="shared" si="9"/>
        <v>0</v>
      </c>
      <c r="BN28" s="16">
        <f t="shared" si="9"/>
        <v>0</v>
      </c>
      <c r="BO28" s="16">
        <f t="shared" si="9"/>
        <v>0</v>
      </c>
      <c r="BP28" s="16">
        <f t="shared" si="9"/>
        <v>0</v>
      </c>
      <c r="BQ28" s="23">
        <v>23</v>
      </c>
      <c r="BR28" s="16">
        <f t="shared" si="10"/>
        <v>1</v>
      </c>
      <c r="BS28" s="16">
        <f t="shared" si="10"/>
        <v>0</v>
      </c>
      <c r="BT28" s="16">
        <f t="shared" si="10"/>
        <v>0</v>
      </c>
      <c r="BU28" s="16">
        <f t="shared" si="10"/>
        <v>0</v>
      </c>
      <c r="BV28" s="16">
        <f t="shared" si="10"/>
        <v>0</v>
      </c>
      <c r="BW28" s="16">
        <f t="shared" si="10"/>
        <v>0</v>
      </c>
      <c r="BX28" s="23">
        <v>23</v>
      </c>
      <c r="BY28" s="16">
        <f t="shared" si="11"/>
        <v>1</v>
      </c>
      <c r="BZ28" s="16">
        <f t="shared" si="11"/>
        <v>0</v>
      </c>
      <c r="CA28" s="16">
        <f t="shared" si="11"/>
        <v>0</v>
      </c>
      <c r="CB28" s="16">
        <f t="shared" si="11"/>
        <v>0</v>
      </c>
      <c r="CC28" s="19">
        <f t="shared" si="11"/>
        <v>0</v>
      </c>
      <c r="CD28" s="19">
        <f t="shared" si="11"/>
        <v>0</v>
      </c>
    </row>
    <row r="29" spans="2:82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4"/>
        <v>6</v>
      </c>
      <c r="AB29" s="16">
        <f t="shared" si="5"/>
        <v>6</v>
      </c>
      <c r="AC29" s="16">
        <f t="shared" si="6"/>
        <v>5</v>
      </c>
      <c r="AD29" s="16">
        <f t="shared" si="7"/>
        <v>5</v>
      </c>
      <c r="AE29" s="16">
        <f t="shared" si="8"/>
        <v>5</v>
      </c>
      <c r="AF29" s="9">
        <f t="shared" si="0"/>
        <v>5</v>
      </c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23">
        <v>24</v>
      </c>
      <c r="AP29" s="16">
        <v>1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I29" s="16">
        <v>0</v>
      </c>
      <c r="BJ29" s="22">
        <v>24</v>
      </c>
      <c r="BK29" s="16">
        <f t="shared" si="9"/>
        <v>1</v>
      </c>
      <c r="BL29" s="16">
        <f t="shared" si="9"/>
        <v>0</v>
      </c>
      <c r="BM29" s="16">
        <f t="shared" si="9"/>
        <v>0</v>
      </c>
      <c r="BN29" s="16">
        <f t="shared" si="9"/>
        <v>0</v>
      </c>
      <c r="BO29" s="16">
        <f t="shared" si="9"/>
        <v>0</v>
      </c>
      <c r="BP29" s="16">
        <f t="shared" si="9"/>
        <v>0</v>
      </c>
      <c r="BQ29" s="23">
        <v>24</v>
      </c>
      <c r="BR29" s="16">
        <f t="shared" si="10"/>
        <v>2</v>
      </c>
      <c r="BS29" s="16">
        <f t="shared" si="10"/>
        <v>0</v>
      </c>
      <c r="BT29" s="16">
        <f t="shared" si="10"/>
        <v>0</v>
      </c>
      <c r="BU29" s="16">
        <f t="shared" si="10"/>
        <v>0</v>
      </c>
      <c r="BV29" s="16">
        <f t="shared" si="10"/>
        <v>0</v>
      </c>
      <c r="BW29" s="16">
        <f t="shared" si="10"/>
        <v>0</v>
      </c>
      <c r="BX29" s="23">
        <v>24</v>
      </c>
      <c r="BY29" s="16">
        <f t="shared" si="11"/>
        <v>1.7411011265922482</v>
      </c>
      <c r="BZ29" s="16">
        <f t="shared" si="11"/>
        <v>0</v>
      </c>
      <c r="CA29" s="16">
        <f t="shared" si="11"/>
        <v>0</v>
      </c>
      <c r="CB29" s="16">
        <f t="shared" si="11"/>
        <v>0</v>
      </c>
      <c r="CC29" s="19">
        <f t="shared" si="11"/>
        <v>0</v>
      </c>
      <c r="CD29" s="19">
        <f t="shared" si="11"/>
        <v>0</v>
      </c>
    </row>
    <row r="30" spans="2:82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4"/>
        <v>3</v>
      </c>
      <c r="AB30" s="16">
        <f t="shared" si="5"/>
        <v>3</v>
      </c>
      <c r="AC30" s="16">
        <f t="shared" si="6"/>
        <v>2</v>
      </c>
      <c r="AD30" s="16">
        <f>$F$36/$I30-MOD($F$36/$I30,1)</f>
        <v>2</v>
      </c>
      <c r="AE30" s="16">
        <f t="shared" si="8"/>
        <v>2</v>
      </c>
      <c r="AF30" s="9">
        <f t="shared" si="0"/>
        <v>2</v>
      </c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I30" s="16">
        <v>0</v>
      </c>
      <c r="BJ30" s="22">
        <v>25</v>
      </c>
      <c r="BK30" s="16">
        <f t="shared" si="9"/>
        <v>0</v>
      </c>
      <c r="BL30" s="16">
        <f t="shared" si="9"/>
        <v>1</v>
      </c>
      <c r="BM30" s="16">
        <f t="shared" si="9"/>
        <v>0</v>
      </c>
      <c r="BN30" s="16">
        <f t="shared" si="9"/>
        <v>0</v>
      </c>
      <c r="BO30" s="16">
        <f t="shared" si="9"/>
        <v>0</v>
      </c>
      <c r="BP30" s="16">
        <f t="shared" si="9"/>
        <v>0</v>
      </c>
      <c r="BQ30" s="23">
        <v>25</v>
      </c>
      <c r="BR30" s="16">
        <f t="shared" si="10"/>
        <v>0</v>
      </c>
      <c r="BS30" s="16">
        <f t="shared" si="10"/>
        <v>4</v>
      </c>
      <c r="BT30" s="16">
        <f t="shared" si="10"/>
        <v>0</v>
      </c>
      <c r="BU30" s="16">
        <f t="shared" si="10"/>
        <v>0</v>
      </c>
      <c r="BV30" s="16">
        <f t="shared" si="10"/>
        <v>0</v>
      </c>
      <c r="BW30" s="16">
        <f t="shared" si="10"/>
        <v>0</v>
      </c>
      <c r="BX30" s="23">
        <v>25</v>
      </c>
      <c r="BY30" s="16">
        <f t="shared" si="11"/>
        <v>0</v>
      </c>
      <c r="BZ30" s="16">
        <f t="shared" si="11"/>
        <v>3.4822022531844965</v>
      </c>
      <c r="CA30" s="16">
        <f t="shared" si="11"/>
        <v>0</v>
      </c>
      <c r="CB30" s="16">
        <f t="shared" si="11"/>
        <v>0</v>
      </c>
      <c r="CC30" s="19">
        <f t="shared" si="11"/>
        <v>0</v>
      </c>
      <c r="CD30" s="19">
        <f t="shared" si="11"/>
        <v>0</v>
      </c>
    </row>
    <row r="31" spans="2:82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2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</row>
    <row r="38" spans="2:81" x14ac:dyDescent="0.3">
      <c r="B38" s="32">
        <v>6</v>
      </c>
      <c r="C38" s="68">
        <v>40</v>
      </c>
      <c r="E38" s="1">
        <v>6</v>
      </c>
      <c r="F38" s="1">
        <v>25</v>
      </c>
      <c r="H38" s="1">
        <v>6</v>
      </c>
      <c r="I38" s="1">
        <v>0.45</v>
      </c>
      <c r="AF38" s="9"/>
    </row>
    <row r="39" spans="2:81" x14ac:dyDescent="0.3">
      <c r="B39" s="7"/>
      <c r="AF39" s="9"/>
    </row>
    <row r="40" spans="2:81" x14ac:dyDescent="0.3">
      <c r="B40" s="7"/>
      <c r="AF40" s="9"/>
    </row>
    <row r="41" spans="2:81" x14ac:dyDescent="0.3">
      <c r="B41" s="10" t="s">
        <v>19</v>
      </c>
      <c r="AF41" s="9"/>
    </row>
    <row r="42" spans="2:81" x14ac:dyDescent="0.3">
      <c r="B42" s="7">
        <v>2</v>
      </c>
      <c r="C42" s="1">
        <v>5</v>
      </c>
      <c r="AF42" s="9"/>
    </row>
    <row r="43" spans="2:81" x14ac:dyDescent="0.3">
      <c r="B43" s="7">
        <v>3</v>
      </c>
      <c r="C43" s="1">
        <v>8</v>
      </c>
      <c r="AF43" s="9"/>
    </row>
    <row r="44" spans="2:81" x14ac:dyDescent="0.3">
      <c r="B44" s="7">
        <v>16</v>
      </c>
      <c r="C44" s="1">
        <v>20</v>
      </c>
      <c r="AF44" s="9"/>
    </row>
    <row r="45" spans="2:81" x14ac:dyDescent="0.3">
      <c r="B45" s="7"/>
      <c r="AF45" s="9"/>
    </row>
    <row r="46" spans="2:81" x14ac:dyDescent="0.3">
      <c r="B46" s="10" t="s">
        <v>20</v>
      </c>
      <c r="AF46" s="9"/>
    </row>
    <row r="47" spans="2:81" x14ac:dyDescent="0.3">
      <c r="B47" s="7">
        <v>1</v>
      </c>
      <c r="C47" s="1">
        <v>12</v>
      </c>
      <c r="AF47" s="9"/>
    </row>
    <row r="48" spans="2:81" x14ac:dyDescent="0.3">
      <c r="B48" s="7">
        <v>3</v>
      </c>
      <c r="C48" s="1">
        <v>8</v>
      </c>
      <c r="AF48" s="9"/>
    </row>
    <row r="49" spans="2:39" x14ac:dyDescent="0.3">
      <c r="B49" s="7">
        <v>9</v>
      </c>
      <c r="C49" s="1">
        <v>15</v>
      </c>
      <c r="AF49" s="9"/>
    </row>
    <row r="50" spans="2:39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</row>
    <row r="51" spans="2:39" ht="16.2" thickBot="1" x14ac:dyDescent="0.35"/>
    <row r="52" spans="2:39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</row>
    <row r="53" spans="2:39" x14ac:dyDescent="0.3">
      <c r="B53" s="7"/>
      <c r="F53" s="9"/>
      <c r="H53" s="10" t="s">
        <v>2</v>
      </c>
      <c r="I53" s="38"/>
      <c r="J53" s="34"/>
    </row>
    <row r="54" spans="2:39" x14ac:dyDescent="0.3">
      <c r="B54" s="7"/>
      <c r="F54" s="9"/>
      <c r="H54" s="10" t="s">
        <v>1</v>
      </c>
      <c r="I54" s="38"/>
      <c r="J54" s="34"/>
    </row>
    <row r="55" spans="2:39" ht="16.2" thickBot="1" x14ac:dyDescent="0.35">
      <c r="B55" s="25" cm="1">
        <f t="array" ref="B55">SUMPRODUCT(MMULT(BY6:CD30*C6:C30*L6:L30*POWER(F6:F30,O6:O30),I33:I38))</f>
        <v>7165.3031686325785</v>
      </c>
      <c r="C55" s="26"/>
      <c r="D55" s="26"/>
      <c r="E55" s="26"/>
      <c r="F55" s="27"/>
      <c r="H55" s="25" t="s">
        <v>1160</v>
      </c>
      <c r="I55" s="26"/>
      <c r="J55" s="27"/>
    </row>
    <row r="56" spans="2:39" ht="16.2" thickBot="1" x14ac:dyDescent="0.35"/>
    <row r="57" spans="2:39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</row>
    <row r="58" spans="2:39" x14ac:dyDescent="0.3">
      <c r="B58" s="7"/>
      <c r="AM58" s="9"/>
    </row>
    <row r="59" spans="2:39" x14ac:dyDescent="0.3">
      <c r="B59" s="7"/>
      <c r="AM59" s="9"/>
    </row>
    <row r="60" spans="2:39" x14ac:dyDescent="0.3">
      <c r="B60" s="7"/>
      <c r="AM60" s="9"/>
    </row>
    <row r="61" spans="2:39" x14ac:dyDescent="0.3">
      <c r="B61" s="7"/>
      <c r="AM61" s="9"/>
    </row>
    <row r="62" spans="2:39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</row>
    <row r="63" spans="2:39" x14ac:dyDescent="0.3">
      <c r="B63" s="7"/>
      <c r="C63" s="1">
        <f>SUM(AI6:AN6,AP6:AT6,AW6:BB6,BD6:BI6)</f>
        <v>1</v>
      </c>
      <c r="D63" s="1" t="s">
        <v>21</v>
      </c>
      <c r="E63" s="1">
        <v>1</v>
      </c>
      <c r="H63" s="1" cm="1">
        <f t="array" ref="H63">SUM(AA6:AF6*BR6:BW6-R6*BK6:BP6)</f>
        <v>1</v>
      </c>
      <c r="I63" s="1" t="s">
        <v>24</v>
      </c>
      <c r="J63" s="1">
        <v>0</v>
      </c>
      <c r="M63" s="1" cm="1">
        <f t="array" ref="M63">SUM(AA6:AF6*BR6:BW6-U6*BK6:BP6)</f>
        <v>-12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-1</v>
      </c>
      <c r="S63" s="1" t="s">
        <v>21</v>
      </c>
      <c r="T63" s="1">
        <v>0</v>
      </c>
      <c r="W63" s="1">
        <f ca="1">SUM(INDIRECT(ADDRESS(5+B47,63)):INDIRECT(ADDRESS(5+B47,68)))-SUM(INDIRECT(ADDRESS(5+C47,63)):INDIRECT(ADDRESS(5+C47,68)))</f>
        <v>0</v>
      </c>
      <c r="X63" s="1" t="s">
        <v>25</v>
      </c>
      <c r="Y63" s="1">
        <v>0</v>
      </c>
      <c r="AA63" s="1" cm="1">
        <f t="array" aca="1" ref="AA63" ca="1">INDIRECT(ADDRESS(5+$B42,62+COLUMNS($A1:F1)))+INDIRECT(ADDRESS(5+$C42,62+COLUMNS($A1:F1)))</f>
        <v>0</v>
      </c>
      <c r="AB63" s="1" cm="1">
        <f t="array" aca="1" ref="AB63" ca="1">INDIRECT(ADDRESS(5+$B42,62+COLUMNS($A1:A1)))+INDIRECT(ADDRESS(5+$C42,62+COLUMNS($A1:A1)))</f>
        <v>0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1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>
        <v>1</v>
      </c>
    </row>
    <row r="64" spans="2:39" x14ac:dyDescent="0.3">
      <c r="B64" s="7"/>
      <c r="C64" s="1">
        <f t="shared" ref="C64:C87" si="12">SUM(AI7:AN7,AP7:AU7,AW7:BB7,BD7:BI7)</f>
        <v>1</v>
      </c>
      <c r="D64" s="1" t="s">
        <v>21</v>
      </c>
      <c r="E64" s="1">
        <v>1</v>
      </c>
      <c r="H64" s="1" cm="1">
        <f t="array" ref="H64">SUM(AA7:AF7*BR7:BW7-R7*BK7:BP7)</f>
        <v>3</v>
      </c>
      <c r="I64" s="1" t="s">
        <v>24</v>
      </c>
      <c r="J64" s="1">
        <v>0</v>
      </c>
      <c r="M64" s="1" cm="1">
        <f t="array" ref="M64">SUM(AA7:AF7*BR7:BW7-U7*BK7:BP7)</f>
        <v>-15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SUM(INDIRECT(ADDRESS(5+B48,63)):INDIRECT(ADDRESS(5+B48,68)))-SUM(INDIRECT(ADDRESS(5+C48,63)):INDIRECT(ADDRESS(5+C48,68)))</f>
        <v>0</v>
      </c>
      <c r="X64" s="1" t="s">
        <v>25</v>
      </c>
      <c r="Y64" s="1">
        <v>0</v>
      </c>
      <c r="AA64" s="1" cm="1">
        <f t="array" aca="1" ref="AA64" ca="1">INDIRECT(ADDRESS(5+$B43,62+COLUMNS($A2:F2)))+INDIRECT(ADDRESS(5+$C43,62+COLUMNS($A2:F2)))</f>
        <v>0</v>
      </c>
      <c r="AB64" s="1" cm="1">
        <f t="array" aca="1" ref="AB64" ca="1">INDIRECT(ADDRESS(5+$B43,62+COLUMNS($A2:A2)))+INDIRECT(ADDRESS(5+$C43,62+COLUMNS($A2:A2)))</f>
        <v>1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0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>
        <v>1</v>
      </c>
    </row>
    <row r="65" spans="2:39" x14ac:dyDescent="0.3">
      <c r="B65" s="7"/>
      <c r="C65" s="1">
        <f t="shared" si="12"/>
        <v>1</v>
      </c>
      <c r="D65" s="1" t="s">
        <v>21</v>
      </c>
      <c r="E65" s="1">
        <v>1</v>
      </c>
      <c r="H65" s="1" cm="1">
        <f t="array" ref="H65">SUM(AA8:AF8*BR8:BW8-R8*BK8:BP8)</f>
        <v>1</v>
      </c>
      <c r="I65" s="1" t="s">
        <v>24</v>
      </c>
      <c r="J65" s="1">
        <v>0</v>
      </c>
      <c r="M65" s="1" cm="1">
        <f t="array" ref="M65">SUM(AA8:AF8*BR8:BW8-U8*BK8:BP8)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W65" s="1">
        <f ca="1">SUM(INDIRECT(ADDRESS(5+B49,63)):INDIRECT(ADDRESS(5+B49,68)))-SUM(INDIRECT(ADDRESS(5+C49,63)):INDIRECT(ADDRESS(5+C49,68)))</f>
        <v>0</v>
      </c>
      <c r="X65" s="1" t="s">
        <v>25</v>
      </c>
      <c r="Y65" s="1">
        <v>0</v>
      </c>
      <c r="AA65" s="1" cm="1">
        <f t="array" aca="1" ref="AA65" ca="1">INDIRECT(ADDRESS(5+$B44,62+COLUMNS($A3:F3)))+INDIRECT(ADDRESS(5+$C44,62+COLUMNS($A3:F3)))</f>
        <v>0</v>
      </c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>
        <v>1</v>
      </c>
    </row>
    <row r="66" spans="2:39" x14ac:dyDescent="0.3">
      <c r="B66" s="7"/>
      <c r="C66" s="1">
        <f t="shared" si="12"/>
        <v>1</v>
      </c>
      <c r="D66" s="1" t="s">
        <v>21</v>
      </c>
      <c r="E66" s="1">
        <v>1</v>
      </c>
      <c r="H66" s="1" cm="1">
        <f t="array" ref="H66">SUM(AA9:AF9*BR9:BW9-R9*BK9:BP9)</f>
        <v>2</v>
      </c>
      <c r="I66" s="1" t="s">
        <v>24</v>
      </c>
      <c r="J66" s="1">
        <v>0</v>
      </c>
      <c r="M66" s="1" cm="1">
        <f t="array" ref="M66">SUM(AA9:AF9*BR9:BW9-U9*BK9:BP9)</f>
        <v>-6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W66" s="1">
        <f ca="1">SUM(INDIRECT(ADDRESS(5+B50,63)):INDIRECT(ADDRESS(5+B50,68)))-SUM(INDIRECT(ADDRESS(5+C50,63)):INDIRECT(ADDRESS(5+C50,68)))</f>
        <v>0</v>
      </c>
      <c r="X66" s="1" t="s">
        <v>25</v>
      </c>
      <c r="Y66" s="1">
        <v>0</v>
      </c>
      <c r="AM66" s="9"/>
    </row>
    <row r="67" spans="2:39" x14ac:dyDescent="0.3">
      <c r="B67" s="7"/>
      <c r="C67" s="1">
        <f t="shared" si="12"/>
        <v>1</v>
      </c>
      <c r="D67" s="1" t="s">
        <v>21</v>
      </c>
      <c r="E67" s="1">
        <v>1</v>
      </c>
      <c r="F67" s="38"/>
      <c r="H67" s="1" cm="1">
        <f t="array" ref="H67">SUM(AA10:AF10*BR10:BW10-R10*BK10:BP10)</f>
        <v>7</v>
      </c>
      <c r="I67" s="1" t="s">
        <v>24</v>
      </c>
      <c r="J67" s="1">
        <v>0</v>
      </c>
      <c r="M67" s="1" cm="1">
        <f t="array" ref="M67">SUM(AA10:AF10*BR10:BW10-U10*BK10:BP10)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39" x14ac:dyDescent="0.3">
      <c r="B68" s="10"/>
      <c r="C68" s="1">
        <f t="shared" si="12"/>
        <v>1</v>
      </c>
      <c r="D68" s="1" t="s">
        <v>21</v>
      </c>
      <c r="E68" s="1">
        <v>1</v>
      </c>
      <c r="F68" s="38"/>
      <c r="H68" s="1" cm="1">
        <f t="array" ref="H68">SUM(AA11:AF11*BR11:BW11-R11*BK11:BP11)</f>
        <v>2</v>
      </c>
      <c r="I68" s="1" t="s">
        <v>24</v>
      </c>
      <c r="J68" s="1">
        <v>0</v>
      </c>
      <c r="M68" s="1" cm="1">
        <f t="array" ref="M68">SUM(AA11:AF11*BR11:BW11-U11*BK11:BP11)</f>
        <v>-18</v>
      </c>
      <c r="N68" s="1" t="s">
        <v>21</v>
      </c>
      <c r="O68" s="1">
        <v>0</v>
      </c>
      <c r="R68" s="1" cm="1">
        <f t="array" aca="1" ref="R68" ca="1">-C38+SUM(INDIRECT(ADDRESS(6,69+ROWS($A$1:A6))):INDIRECT(ADDRESS(30,69+ROWS($A$1:A6)))*$F$6:$F$30)</f>
        <v>0</v>
      </c>
      <c r="S68" s="1" t="s">
        <v>21</v>
      </c>
      <c r="T68" s="1">
        <v>0</v>
      </c>
      <c r="AM68" s="9"/>
    </row>
    <row r="69" spans="2:39" x14ac:dyDescent="0.3">
      <c r="B69" s="10"/>
      <c r="C69" s="1">
        <f t="shared" si="12"/>
        <v>0</v>
      </c>
      <c r="D69" s="1" t="s">
        <v>21</v>
      </c>
      <c r="E69" s="1">
        <v>1</v>
      </c>
      <c r="F69" s="38"/>
      <c r="H69" s="1" cm="1">
        <f t="array" ref="H69">SUM(AA12:AF12*BR12:BW12-R12*BK12:BP12)</f>
        <v>0</v>
      </c>
      <c r="I69" s="1" t="s">
        <v>24</v>
      </c>
      <c r="J69" s="1">
        <v>0</v>
      </c>
      <c r="M69" s="1" cm="1">
        <f t="array" ref="M69">SUM(AA12:AF12*BR12:BW12-U12*BK12:BP12)</f>
        <v>0</v>
      </c>
      <c r="N69" s="1" t="s">
        <v>21</v>
      </c>
      <c r="O69" s="1">
        <v>0</v>
      </c>
      <c r="W69" s="1" t="s">
        <v>1169</v>
      </c>
      <c r="AE69" s="1" t="s">
        <v>1170</v>
      </c>
      <c r="AM69" s="9"/>
    </row>
    <row r="70" spans="2:39" x14ac:dyDescent="0.3">
      <c r="B70" s="10"/>
      <c r="C70" s="1">
        <f t="shared" si="12"/>
        <v>1</v>
      </c>
      <c r="D70" s="1" t="s">
        <v>21</v>
      </c>
      <c r="E70" s="1">
        <v>1</v>
      </c>
      <c r="F70" s="38"/>
      <c r="H70" s="1" cm="1">
        <f t="array" ref="H70">SUM(AA13:AF13*BR13:BW13-R13*BK13:BP13)</f>
        <v>2</v>
      </c>
      <c r="I70" s="1" t="s">
        <v>24</v>
      </c>
      <c r="J70" s="1">
        <v>0</v>
      </c>
      <c r="M70" s="1" cm="1">
        <f t="array" ref="M70">SUM(AA13:AF13*BR13:BW13-U13*BK13:BP13)</f>
        <v>-15</v>
      </c>
      <c r="N70" s="1" t="s">
        <v>21</v>
      </c>
      <c r="O70" s="1">
        <v>0</v>
      </c>
      <c r="AM70" s="9"/>
    </row>
    <row r="71" spans="2:39" x14ac:dyDescent="0.3">
      <c r="B71" s="10"/>
      <c r="C71" s="1">
        <f t="shared" si="12"/>
        <v>1</v>
      </c>
      <c r="D71" s="1" t="s">
        <v>21</v>
      </c>
      <c r="E71" s="1">
        <v>1</v>
      </c>
      <c r="F71" s="38"/>
      <c r="H71" s="1" cm="1">
        <f t="array" ref="H71">SUM(AA14:AF14*BR14:BW14-R14*BK14:BP14)</f>
        <v>7</v>
      </c>
      <c r="I71" s="1" t="s">
        <v>24</v>
      </c>
      <c r="J71" s="1">
        <v>0</v>
      </c>
      <c r="M71" s="1" cm="1">
        <f t="array" ref="M71">SUM(AA14:AF14*BR14:BW14-U14*BK14:BP14)</f>
        <v>-2</v>
      </c>
      <c r="N71" s="1" t="s">
        <v>21</v>
      </c>
      <c r="O71" s="1">
        <v>0</v>
      </c>
      <c r="R71" s="1" t="s">
        <v>1171</v>
      </c>
      <c r="AM71" s="9"/>
    </row>
    <row r="72" spans="2:39" x14ac:dyDescent="0.3">
      <c r="B72" s="10"/>
      <c r="C72" s="1">
        <f t="shared" si="12"/>
        <v>1</v>
      </c>
      <c r="D72" s="1" t="s">
        <v>21</v>
      </c>
      <c r="E72" s="1">
        <v>1</v>
      </c>
      <c r="F72" s="38"/>
      <c r="H72" s="1" cm="1">
        <f t="array" ref="H72">SUM(AA15:AF15*BR15:BW15-R15*BK15:BP15)</f>
        <v>7</v>
      </c>
      <c r="I72" s="1" t="s">
        <v>24</v>
      </c>
      <c r="J72" s="1">
        <v>0</v>
      </c>
      <c r="M72" s="1" cm="1">
        <f t="array" ref="M72">SUM(AA15:AF15*BR15:BW15-U15*BK15:BP15)</f>
        <v>-3</v>
      </c>
      <c r="N72" s="1" t="s">
        <v>21</v>
      </c>
      <c r="O72" s="1">
        <v>0</v>
      </c>
      <c r="AM72" s="9"/>
    </row>
    <row r="73" spans="2:39" x14ac:dyDescent="0.3">
      <c r="B73" s="10"/>
      <c r="C73" s="1">
        <f t="shared" si="12"/>
        <v>0</v>
      </c>
      <c r="D73" s="1" t="s">
        <v>21</v>
      </c>
      <c r="E73" s="1">
        <v>1</v>
      </c>
      <c r="F73" s="38"/>
      <c r="H73" s="1" cm="1">
        <f t="array" ref="H73">SUM(AA16:AF16*BR16:BW16-R16*BK16:BP16)</f>
        <v>0</v>
      </c>
      <c r="I73" s="1" t="s">
        <v>24</v>
      </c>
      <c r="J73" s="1">
        <v>0</v>
      </c>
      <c r="M73" s="1" cm="1">
        <f t="array" ref="M73">SUM(AA16:AF16*BR16:BW16-U16*BK16:BP16)</f>
        <v>0</v>
      </c>
      <c r="N73" s="1" t="s">
        <v>21</v>
      </c>
      <c r="O73" s="1">
        <v>0</v>
      </c>
      <c r="AM73" s="9"/>
    </row>
    <row r="74" spans="2:39" x14ac:dyDescent="0.3">
      <c r="B74" s="10"/>
      <c r="C74" s="1">
        <f t="shared" si="12"/>
        <v>1</v>
      </c>
      <c r="D74" s="1" t="s">
        <v>21</v>
      </c>
      <c r="E74" s="1">
        <v>1</v>
      </c>
      <c r="F74" s="38"/>
      <c r="H74" s="1" cm="1">
        <f t="array" ref="H74">SUM(AA17:AF17*BR17:BW17-R17*BK17:BP17)</f>
        <v>14</v>
      </c>
      <c r="I74" s="1" t="s">
        <v>24</v>
      </c>
      <c r="J74" s="1">
        <v>0</v>
      </c>
      <c r="M74" s="1" cm="1">
        <f t="array" ref="M74">SUM(AA17:AF17*BR17:BW17-U17*BK17:BP17)</f>
        <v>-6</v>
      </c>
      <c r="N74" s="1" t="s">
        <v>21</v>
      </c>
      <c r="O74" s="1">
        <v>0</v>
      </c>
      <c r="AM74" s="9"/>
    </row>
    <row r="75" spans="2:39" x14ac:dyDescent="0.3">
      <c r="B75" s="10"/>
      <c r="C75" s="1">
        <f t="shared" si="12"/>
        <v>0</v>
      </c>
      <c r="D75" s="1" t="s">
        <v>21</v>
      </c>
      <c r="E75" s="1">
        <v>1</v>
      </c>
      <c r="F75" s="38"/>
      <c r="H75" s="1" cm="1">
        <f t="array" ref="H75">SUM(AA18:AF18*BR18:BW18-R18*BK18:BP18)</f>
        <v>0</v>
      </c>
      <c r="I75" s="1" t="s">
        <v>24</v>
      </c>
      <c r="J75" s="1">
        <v>0</v>
      </c>
      <c r="M75" s="1" cm="1">
        <f t="array" ref="M75">SUM(AA18:AF18*BR18:BW18-U18*BK18:BP18)</f>
        <v>0</v>
      </c>
      <c r="N75" s="1" t="s">
        <v>21</v>
      </c>
      <c r="O75" s="1">
        <v>0</v>
      </c>
      <c r="AM75" s="9"/>
    </row>
    <row r="76" spans="2:39" x14ac:dyDescent="0.3">
      <c r="B76" s="7"/>
      <c r="C76" s="1">
        <f t="shared" si="12"/>
        <v>1</v>
      </c>
      <c r="D76" s="1" t="s">
        <v>21</v>
      </c>
      <c r="E76" s="1">
        <v>1</v>
      </c>
      <c r="H76" s="1" cm="1">
        <f t="array" ref="H76">SUM(AA19:AF19*BR19:BW19-R19*BK19:BP19)</f>
        <v>5</v>
      </c>
      <c r="I76" s="1" t="s">
        <v>24</v>
      </c>
      <c r="J76" s="1">
        <v>0</v>
      </c>
      <c r="M76" s="1" cm="1">
        <f t="array" ref="M76">SUM(AA19:AF19*BR19:BW19-U19*BK19:BP19)</f>
        <v>-4</v>
      </c>
      <c r="N76" s="1" t="s">
        <v>21</v>
      </c>
      <c r="O76" s="1">
        <v>0</v>
      </c>
      <c r="AM76" s="9"/>
    </row>
    <row r="77" spans="2:39" x14ac:dyDescent="0.3">
      <c r="B77" s="7"/>
      <c r="C77" s="1">
        <f t="shared" si="12"/>
        <v>1</v>
      </c>
      <c r="D77" s="1" t="s">
        <v>21</v>
      </c>
      <c r="E77" s="1">
        <v>1</v>
      </c>
      <c r="H77" s="1" cm="1">
        <f t="array" ref="H77">SUM(AA20:AF20*BR20:BW20-R20*BK20:BP20)</f>
        <v>9</v>
      </c>
      <c r="I77" s="1" t="s">
        <v>24</v>
      </c>
      <c r="J77" s="1">
        <v>0</v>
      </c>
      <c r="M77" s="1" cm="1">
        <f t="array" ref="M77">SUM(AA20:AF20*BR20:BW20-U20*BK20:BP20)</f>
        <v>-7</v>
      </c>
      <c r="N77" s="1" t="s">
        <v>21</v>
      </c>
      <c r="O77" s="1">
        <v>0</v>
      </c>
      <c r="AM77" s="9"/>
    </row>
    <row r="78" spans="2:39" x14ac:dyDescent="0.3">
      <c r="B78" s="7"/>
      <c r="C78" s="1">
        <f t="shared" si="12"/>
        <v>0</v>
      </c>
      <c r="D78" s="1" t="s">
        <v>21</v>
      </c>
      <c r="E78" s="1">
        <v>1</v>
      </c>
      <c r="H78" s="1" cm="1">
        <f t="array" ref="H78">SUM(AA21:AF21*BR21:BW21-R21*BK21:BP21)</f>
        <v>0</v>
      </c>
      <c r="I78" s="1" t="s">
        <v>24</v>
      </c>
      <c r="J78" s="1">
        <v>0</v>
      </c>
      <c r="M78" s="1" cm="1">
        <f t="array" ref="M78">SUM(AA21:AF21*BR21:BW21-U21*BK21:BP21)</f>
        <v>0</v>
      </c>
      <c r="N78" s="1" t="s">
        <v>21</v>
      </c>
      <c r="O78" s="1">
        <v>0</v>
      </c>
      <c r="AM78" s="9"/>
    </row>
    <row r="79" spans="2:39" x14ac:dyDescent="0.3">
      <c r="B79" s="7"/>
      <c r="C79" s="1">
        <f t="shared" si="12"/>
        <v>0</v>
      </c>
      <c r="D79" s="1" t="s">
        <v>21</v>
      </c>
      <c r="E79" s="1">
        <v>1</v>
      </c>
      <c r="H79" s="1" cm="1">
        <f t="array" ref="H79">SUM(AA22:AF22*BR22:BW22-R22*BK22:BP22)</f>
        <v>0</v>
      </c>
      <c r="I79" s="1" t="s">
        <v>24</v>
      </c>
      <c r="J79" s="1">
        <v>0</v>
      </c>
      <c r="M79" s="1" cm="1">
        <f t="array" ref="M79">SUM(AA22:AF22*BR22:BW22-U22*BK22:BP22)</f>
        <v>0</v>
      </c>
      <c r="N79" s="1" t="s">
        <v>21</v>
      </c>
      <c r="O79" s="1">
        <v>0</v>
      </c>
      <c r="AM79" s="9"/>
    </row>
    <row r="80" spans="2:39" x14ac:dyDescent="0.3">
      <c r="B80" s="7"/>
      <c r="C80" s="1">
        <f t="shared" si="12"/>
        <v>0</v>
      </c>
      <c r="D80" s="1" t="s">
        <v>21</v>
      </c>
      <c r="E80" s="1">
        <v>1</v>
      </c>
      <c r="H80" s="1" cm="1">
        <f t="array" ref="H80">SUM(AA23:AF23*BR23:BW23-R23*BK23:BP23)</f>
        <v>0</v>
      </c>
      <c r="I80" s="1" t="s">
        <v>24</v>
      </c>
      <c r="J80" s="1">
        <v>0</v>
      </c>
      <c r="M80" s="1" cm="1">
        <f t="array" ref="M80">SUM(AA23:AF23*BR23:BW23-U23*BK23:BP23)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2"/>
        <v>0</v>
      </c>
      <c r="D81" s="1" t="s">
        <v>21</v>
      </c>
      <c r="E81" s="1">
        <v>1</v>
      </c>
      <c r="H81" s="1" cm="1">
        <f t="array" ref="H81">SUM(AA24:AF24*BR24:BW24-R24*BK24:BP24)</f>
        <v>0</v>
      </c>
      <c r="I81" s="1" t="s">
        <v>24</v>
      </c>
      <c r="J81" s="1">
        <v>0</v>
      </c>
      <c r="M81" s="1" cm="1">
        <f t="array" ref="M81">SUM(AA24:AF24*BR24:BW24-U24*BK24:BP24)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2"/>
        <v>0</v>
      </c>
      <c r="D82" s="1" t="s">
        <v>21</v>
      </c>
      <c r="E82" s="1">
        <v>1</v>
      </c>
      <c r="H82" s="1" cm="1">
        <f t="array" ref="H82">SUM(AA25:AF25*BR25:BW25-R25*BK25:BP25)</f>
        <v>0</v>
      </c>
      <c r="I82" s="1" t="s">
        <v>24</v>
      </c>
      <c r="J82" s="1">
        <v>0</v>
      </c>
      <c r="M82" s="1" cm="1">
        <f t="array" ref="M82">SUM(AA25:AF25*BR25:BW25-U25*BK25:BP25)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2"/>
        <v>1</v>
      </c>
      <c r="D83" s="1" t="s">
        <v>21</v>
      </c>
      <c r="E83" s="1">
        <v>1</v>
      </c>
      <c r="H83" s="1" cm="1">
        <f t="array" ref="H83">SUM(AA26:AF26*BR26:BW26-R26*BK26:BP26)</f>
        <v>10</v>
      </c>
      <c r="I83" s="1" t="s">
        <v>24</v>
      </c>
      <c r="J83" s="1">
        <v>0</v>
      </c>
      <c r="M83" s="1" cm="1">
        <f t="array" ref="M83">SUM(AA26:AF26*BR26:BW26-U26*BK26:BP26)</f>
        <v>-12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2"/>
        <v>1</v>
      </c>
      <c r="D84" s="1" t="s">
        <v>21</v>
      </c>
      <c r="E84" s="1">
        <v>1</v>
      </c>
      <c r="H84" s="1" cm="1">
        <f t="array" ref="H84">SUM(AA27:AF27*BR27:BW27-R27*BK27:BP27)</f>
        <v>2</v>
      </c>
      <c r="I84" s="1" t="s">
        <v>24</v>
      </c>
      <c r="J84" s="1">
        <v>0</v>
      </c>
      <c r="M84" s="1" cm="1">
        <f t="array" ref="M84">SUM(AA27:AF27*BR27:BW27-U27*BK27:BP27)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2"/>
        <v>1</v>
      </c>
      <c r="D85" s="1" t="s">
        <v>21</v>
      </c>
      <c r="E85" s="1">
        <v>1</v>
      </c>
      <c r="H85" s="1" cm="1">
        <f t="array" ref="H85">SUM(AA28:AF28*BR28:BW28-R28*BK28:BP28)</f>
        <v>2</v>
      </c>
      <c r="I85" s="1" t="s">
        <v>24</v>
      </c>
      <c r="J85" s="1">
        <v>0</v>
      </c>
      <c r="M85" s="1" cm="1">
        <f t="array" ref="M85">SUM(AA28:AF28*BR28:BW28-U28*BK28:BP28)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2"/>
        <v>1</v>
      </c>
      <c r="D86" s="1" t="s">
        <v>21</v>
      </c>
      <c r="E86" s="1">
        <v>1</v>
      </c>
      <c r="H86" s="1" cm="1">
        <f t="array" ref="H86">SUM(AA29:AF29*BR29:BW29-R29*BK29:BP29)</f>
        <v>11</v>
      </c>
      <c r="I86" s="1" t="s">
        <v>24</v>
      </c>
      <c r="J86" s="1">
        <v>0</v>
      </c>
      <c r="M86" s="1" cm="1">
        <f t="array" ref="M86">SUM(AA29:AF29*BR29:BW29-U29*BK29:BP29)</f>
        <v>-4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 t="shared" si="12"/>
        <v>1</v>
      </c>
      <c r="D87" s="1" t="s">
        <v>21</v>
      </c>
      <c r="E87" s="1">
        <v>1</v>
      </c>
      <c r="H87" s="1" cm="1">
        <f t="array" ref="H87">SUM(AA30:AF30*BR30:BW30-R30*BK30:BP30)</f>
        <v>10</v>
      </c>
      <c r="I87" s="1" t="s">
        <v>24</v>
      </c>
      <c r="J87" s="1">
        <v>0</v>
      </c>
      <c r="M87" s="1" cm="1">
        <f t="array" ref="M87">SUM(AA30:AF30*BR30:BW30-U30*BK30:BP30)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C89" s="1" t="s">
        <v>1172</v>
      </c>
      <c r="H89" s="1" t="s">
        <v>1172</v>
      </c>
      <c r="M89" s="1" t="s">
        <v>1172</v>
      </c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2EC6-D452-4344-8EAD-E3372129990D}">
  <dimension ref="A1:CC120"/>
  <sheetViews>
    <sheetView topLeftCell="A19" zoomScale="55" zoomScaleNormal="55" workbookViewId="0">
      <selection activeCell="AH48" sqref="AH48:AH54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1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1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1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0</v>
      </c>
      <c r="BO6" s="16">
        <f t="shared" si="0"/>
        <v>1</v>
      </c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0</v>
      </c>
      <c r="BV6" s="16">
        <f t="shared" si="1"/>
        <v>2</v>
      </c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0</v>
      </c>
      <c r="CC6" s="19">
        <f t="shared" si="2"/>
        <v>1.4142135623730951</v>
      </c>
    </row>
    <row r="7" spans="2:81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0</v>
      </c>
      <c r="AJ7" s="16">
        <v>0</v>
      </c>
      <c r="AK7" s="16">
        <v>0</v>
      </c>
      <c r="AL7" s="16">
        <v>0</v>
      </c>
      <c r="AM7" s="16">
        <v>1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O30" si="8">AI7+AP7+AW7+BD7</f>
        <v>0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1</v>
      </c>
      <c r="BQ7" s="23">
        <v>2</v>
      </c>
      <c r="BR7" s="16">
        <f t="shared" ref="BR7:BV30" si="9">AI7+AP7*2+AW7*3+BD7*4</f>
        <v>0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1</v>
      </c>
      <c r="BX7" s="23">
        <v>2</v>
      </c>
      <c r="BY7" s="16">
        <f t="shared" ref="BY7:CC30" si="10">AI7+AP7*POWER(2,$O7)+AW7*POWER(3,$O7)+BD7*POWER(4,$O7)</f>
        <v>0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1</v>
      </c>
    </row>
    <row r="8" spans="2:81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</row>
    <row r="9" spans="2:81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1</v>
      </c>
      <c r="BN9" s="16">
        <f t="shared" si="0"/>
        <v>0</v>
      </c>
      <c r="BO9" s="16">
        <f t="shared" si="0"/>
        <v>0</v>
      </c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1</v>
      </c>
      <c r="BU9" s="16">
        <f t="shared" si="1"/>
        <v>0</v>
      </c>
      <c r="BV9" s="16">
        <f t="shared" si="1"/>
        <v>0</v>
      </c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1</v>
      </c>
      <c r="CB9" s="16">
        <f t="shared" si="2"/>
        <v>0</v>
      </c>
      <c r="CC9" s="19">
        <f t="shared" si="2"/>
        <v>0</v>
      </c>
    </row>
    <row r="10" spans="2:81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</row>
    <row r="11" spans="2:81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0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Q11" s="23">
        <v>6</v>
      </c>
      <c r="BR11" s="16">
        <f t="shared" si="9"/>
        <v>0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X11" s="23">
        <v>6</v>
      </c>
      <c r="BY11" s="16">
        <f t="shared" si="10"/>
        <v>0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</row>
    <row r="12" spans="2:81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</row>
    <row r="13" spans="2:81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0"/>
        <v>0</v>
      </c>
      <c r="BM13" s="16">
        <f t="shared" si="0"/>
        <v>0</v>
      </c>
      <c r="BN13" s="16">
        <f t="shared" si="0"/>
        <v>0</v>
      </c>
      <c r="BO13" s="16">
        <f t="shared" si="0"/>
        <v>1</v>
      </c>
      <c r="BQ13" s="23">
        <v>8</v>
      </c>
      <c r="BR13" s="16">
        <f t="shared" si="9"/>
        <v>0</v>
      </c>
      <c r="BS13" s="16">
        <f t="shared" si="1"/>
        <v>0</v>
      </c>
      <c r="BT13" s="16">
        <f t="shared" si="1"/>
        <v>0</v>
      </c>
      <c r="BU13" s="16">
        <f t="shared" si="1"/>
        <v>0</v>
      </c>
      <c r="BV13" s="16">
        <f t="shared" si="1"/>
        <v>1</v>
      </c>
      <c r="BX13" s="23">
        <v>8</v>
      </c>
      <c r="BY13" s="16">
        <f t="shared" si="10"/>
        <v>0</v>
      </c>
      <c r="BZ13" s="16">
        <f t="shared" si="2"/>
        <v>0</v>
      </c>
      <c r="CA13" s="16">
        <f t="shared" si="2"/>
        <v>0</v>
      </c>
      <c r="CB13" s="16">
        <f t="shared" si="2"/>
        <v>0</v>
      </c>
      <c r="CC13" s="19">
        <f t="shared" si="2"/>
        <v>1</v>
      </c>
    </row>
    <row r="14" spans="2:81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0</v>
      </c>
      <c r="BA14" s="16">
        <v>1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0</v>
      </c>
      <c r="BO14" s="16">
        <f t="shared" si="0"/>
        <v>1</v>
      </c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0</v>
      </c>
      <c r="BV14" s="16">
        <f t="shared" si="1"/>
        <v>3</v>
      </c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0</v>
      </c>
      <c r="CC14" s="19">
        <f t="shared" si="2"/>
        <v>2.4082246852806923</v>
      </c>
    </row>
    <row r="15" spans="2:81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1</v>
      </c>
      <c r="AT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0"/>
        <v>0</v>
      </c>
      <c r="BM15" s="16">
        <f t="shared" si="0"/>
        <v>0</v>
      </c>
      <c r="BN15" s="16">
        <f t="shared" si="0"/>
        <v>1</v>
      </c>
      <c r="BO15" s="16">
        <f t="shared" si="0"/>
        <v>0</v>
      </c>
      <c r="BQ15" s="23">
        <v>10</v>
      </c>
      <c r="BR15" s="16">
        <f t="shared" si="9"/>
        <v>0</v>
      </c>
      <c r="BS15" s="16">
        <f t="shared" si="1"/>
        <v>0</v>
      </c>
      <c r="BT15" s="16">
        <f t="shared" si="1"/>
        <v>0</v>
      </c>
      <c r="BU15" s="16">
        <f t="shared" si="1"/>
        <v>2</v>
      </c>
      <c r="BV15" s="16">
        <f t="shared" si="1"/>
        <v>0</v>
      </c>
      <c r="BX15" s="23">
        <v>10</v>
      </c>
      <c r="BY15" s="16">
        <f t="shared" si="10"/>
        <v>0</v>
      </c>
      <c r="BZ15" s="16">
        <f t="shared" si="2"/>
        <v>0</v>
      </c>
      <c r="CA15" s="16">
        <f t="shared" si="2"/>
        <v>0</v>
      </c>
      <c r="CB15" s="16">
        <f t="shared" si="2"/>
        <v>1.7411011265922482</v>
      </c>
      <c r="CC15" s="19">
        <f t="shared" si="2"/>
        <v>0</v>
      </c>
    </row>
    <row r="16" spans="2:81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Q16" s="23">
        <v>11</v>
      </c>
      <c r="BR16" s="16">
        <f t="shared" si="9"/>
        <v>0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X16" s="23">
        <v>11</v>
      </c>
      <c r="BY16" s="16">
        <f t="shared" si="10"/>
        <v>0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</row>
    <row r="17" spans="2:81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</row>
    <row r="18" spans="2:81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</row>
    <row r="19" spans="2:81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</row>
    <row r="20" spans="2:81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</row>
    <row r="21" spans="2:81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</row>
    <row r="22" spans="2:81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</row>
    <row r="23" spans="2:81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</row>
    <row r="24" spans="2:81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</row>
    <row r="25" spans="2:81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</row>
    <row r="26" spans="2:81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1</v>
      </c>
      <c r="BO26" s="16">
        <f t="shared" si="8"/>
        <v>0</v>
      </c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1</v>
      </c>
      <c r="BV26" s="16">
        <f t="shared" si="9"/>
        <v>0</v>
      </c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1</v>
      </c>
      <c r="CC26" s="19">
        <f t="shared" si="10"/>
        <v>0</v>
      </c>
    </row>
    <row r="27" spans="2:81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1</v>
      </c>
      <c r="BQ27" s="23">
        <v>22</v>
      </c>
      <c r="BR27" s="16">
        <f t="shared" si="9"/>
        <v>0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1</v>
      </c>
      <c r="BX27" s="23">
        <v>22</v>
      </c>
      <c r="BY27" s="16">
        <f t="shared" si="10"/>
        <v>0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1</v>
      </c>
    </row>
    <row r="28" spans="2:81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1</v>
      </c>
      <c r="BQ28" s="23">
        <v>23</v>
      </c>
      <c r="BR28" s="16">
        <f t="shared" si="9"/>
        <v>0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1</v>
      </c>
      <c r="BX28" s="23">
        <v>23</v>
      </c>
      <c r="BY28" s="16">
        <f t="shared" si="10"/>
        <v>0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1</v>
      </c>
    </row>
    <row r="29" spans="2:81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1</v>
      </c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1</v>
      </c>
      <c r="BQ29" s="23">
        <v>24</v>
      </c>
      <c r="BR29" s="16">
        <f t="shared" si="9"/>
        <v>0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1</v>
      </c>
      <c r="BX29" s="23">
        <v>24</v>
      </c>
      <c r="BY29" s="16">
        <f t="shared" si="10"/>
        <v>0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1</v>
      </c>
    </row>
    <row r="30" spans="2:81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</row>
    <row r="31" spans="2:81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1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</row>
    <row r="38" spans="2:81" x14ac:dyDescent="0.3">
      <c r="B38" s="32"/>
      <c r="C38" s="68"/>
      <c r="AF38" s="9"/>
    </row>
    <row r="39" spans="2:81" x14ac:dyDescent="0.3">
      <c r="B39" s="7"/>
      <c r="AF39" s="9"/>
    </row>
    <row r="40" spans="2:81" x14ac:dyDescent="0.3">
      <c r="B40" s="7"/>
      <c r="AF40" s="9"/>
    </row>
    <row r="41" spans="2:81" x14ac:dyDescent="0.3">
      <c r="B41" s="10" t="s">
        <v>19</v>
      </c>
      <c r="AF41" s="9"/>
    </row>
    <row r="42" spans="2:81" x14ac:dyDescent="0.3">
      <c r="B42" s="7">
        <v>2</v>
      </c>
      <c r="C42" s="1">
        <v>5</v>
      </c>
      <c r="AF42" s="9"/>
    </row>
    <row r="43" spans="2:81" x14ac:dyDescent="0.3">
      <c r="B43" s="7">
        <v>3</v>
      </c>
      <c r="C43" s="1">
        <v>8</v>
      </c>
      <c r="AF43" s="9"/>
    </row>
    <row r="44" spans="2:81" x14ac:dyDescent="0.3">
      <c r="B44" s="7">
        <v>16</v>
      </c>
      <c r="C44" s="1">
        <v>20</v>
      </c>
      <c r="AF44" s="9"/>
    </row>
    <row r="45" spans="2:81" x14ac:dyDescent="0.3">
      <c r="B45" s="7"/>
      <c r="AF45" s="9"/>
    </row>
    <row r="46" spans="2:81" x14ac:dyDescent="0.3">
      <c r="B46" s="10" t="s">
        <v>20</v>
      </c>
      <c r="AF46" s="9"/>
    </row>
    <row r="47" spans="2:81" x14ac:dyDescent="0.3">
      <c r="B47" s="7">
        <v>1</v>
      </c>
      <c r="C47" s="1">
        <v>12</v>
      </c>
      <c r="AF47" s="9"/>
    </row>
    <row r="48" spans="2:81" x14ac:dyDescent="0.3">
      <c r="B48" s="7">
        <v>3</v>
      </c>
      <c r="C48" s="1">
        <v>8</v>
      </c>
      <c r="AF48" s="9"/>
    </row>
    <row r="49" spans="2:44" x14ac:dyDescent="0.3">
      <c r="B49" s="7">
        <v>9</v>
      </c>
      <c r="C49" s="1">
        <v>15</v>
      </c>
      <c r="AF49" s="9"/>
    </row>
    <row r="50" spans="2:44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</row>
    <row r="51" spans="2:44" ht="16.2" thickBot="1" x14ac:dyDescent="0.35"/>
    <row r="52" spans="2:44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</row>
    <row r="53" spans="2:44" x14ac:dyDescent="0.3">
      <c r="B53" s="7"/>
      <c r="F53" s="9"/>
      <c r="H53" s="10" t="s">
        <v>2</v>
      </c>
      <c r="I53" s="38"/>
      <c r="J53" s="34"/>
    </row>
    <row r="54" spans="2:44" x14ac:dyDescent="0.3">
      <c r="B54" s="7"/>
      <c r="F54" s="9"/>
      <c r="H54" s="10" t="s">
        <v>1</v>
      </c>
      <c r="I54" s="38"/>
      <c r="J54" s="34"/>
    </row>
    <row r="55" spans="2:44" ht="16.2" thickBot="1" x14ac:dyDescent="0.35">
      <c r="B55" s="25" cm="1">
        <f t="array" ref="B55">SUMPRODUCT(MMULT(BY6:CC30*C6:C30*L6:L30*POWER(F6:F30,O6:O30),I33:I37))</f>
        <v>6845.9007972353684</v>
      </c>
      <c r="C55" s="26"/>
      <c r="D55" s="26"/>
      <c r="E55" s="26"/>
      <c r="F55" s="27"/>
      <c r="H55" s="25" t="s">
        <v>1160</v>
      </c>
      <c r="I55" s="26"/>
      <c r="J55" s="27"/>
    </row>
    <row r="56" spans="2:44" ht="16.2" thickBot="1" x14ac:dyDescent="0.35"/>
    <row r="57" spans="2:44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</row>
    <row r="58" spans="2:44" x14ac:dyDescent="0.3">
      <c r="B58" s="7"/>
      <c r="AM58" s="9"/>
    </row>
    <row r="59" spans="2:44" x14ac:dyDescent="0.3">
      <c r="B59" s="7"/>
      <c r="AM59" s="9"/>
    </row>
    <row r="60" spans="2:44" x14ac:dyDescent="0.3">
      <c r="B60" s="7"/>
      <c r="AM60" s="9"/>
    </row>
    <row r="61" spans="2:44" x14ac:dyDescent="0.3">
      <c r="B61" s="7"/>
      <c r="AM61" s="9"/>
    </row>
    <row r="62" spans="2:44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  <c r="AO62" s="1" t="s">
        <v>37</v>
      </c>
    </row>
    <row r="63" spans="2:44" x14ac:dyDescent="0.3">
      <c r="B63" s="7"/>
      <c r="C63" s="1">
        <f>SUM(AI6:AM6,AP6:AT6,AW6:BA6,BD6:BH6)</f>
        <v>1</v>
      </c>
      <c r="D63" s="1" t="s">
        <v>21</v>
      </c>
      <c r="E63" s="1">
        <v>1</v>
      </c>
      <c r="H63" s="1" cm="1">
        <f t="array" ref="H63">SUM(AA6:AE6*BR6:BV6-R6*BK6:BO6)</f>
        <v>6</v>
      </c>
      <c r="I63" s="1" t="s">
        <v>24</v>
      </c>
      <c r="J63" s="1">
        <v>0</v>
      </c>
      <c r="M63" s="1" cm="1">
        <f t="array" ref="M63">SUM(AA6:AE6*BR6:BV6-U6*BK6:BO6)</f>
        <v>-7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-50</v>
      </c>
      <c r="S63" s="1" t="s">
        <v>21</v>
      </c>
      <c r="T63" s="1">
        <v>0</v>
      </c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AB63" s="1" cm="1">
        <f t="array" aca="1" ref="AB63" ca="1">INDIRECT(ADDRESS(5+$B42,62+COLUMNS($A1:A1)))+INDIRECT(ADDRESS(5+$C42,62+COLUMNS($A1:A1)))</f>
        <v>0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1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  <c r="AP63" s="1">
        <f>SUM(AI6:AI30)</f>
        <v>0</v>
      </c>
      <c r="AQ63" s="1" t="s">
        <v>25</v>
      </c>
      <c r="AR63" s="1">
        <v>0</v>
      </c>
    </row>
    <row r="64" spans="2:44" x14ac:dyDescent="0.3">
      <c r="B64" s="7"/>
      <c r="C64" s="1">
        <f t="shared" ref="C64:C86" si="11">SUM(AI7:AM7,AP7:AT7,AW7:BA7,BD7:BH7)</f>
        <v>1</v>
      </c>
      <c r="D64" s="1" t="s">
        <v>21</v>
      </c>
      <c r="E64" s="1">
        <v>1</v>
      </c>
      <c r="H64" s="1" cm="1">
        <f t="array" ref="H64">SUM(AA7:AE7*BR7:BV7-R7*BK7:BO7)</f>
        <v>3</v>
      </c>
      <c r="I64" s="1" t="s">
        <v>24</v>
      </c>
      <c r="J64" s="1">
        <v>0</v>
      </c>
      <c r="M64" s="1" cm="1">
        <f t="array" ref="M64">SUM(AA7:AE7*BR7:BV7-U7*BK7:BO7)</f>
        <v>-15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AB64" s="1" cm="1">
        <f t="array" aca="1" ref="AB64" ca="1">INDIRECT(ADDRESS(5+$B43,62+COLUMNS($A2:A2)))+INDIRECT(ADDRESS(5+$C43,62+COLUMNS($A2:A2)))</f>
        <v>0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1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/>
      <c r="AP64" s="1">
        <f>SUM(AP6:AP30)</f>
        <v>0</v>
      </c>
      <c r="AQ64" s="1" t="s">
        <v>25</v>
      </c>
      <c r="AR64" s="1">
        <v>0</v>
      </c>
    </row>
    <row r="65" spans="2:44" x14ac:dyDescent="0.3">
      <c r="B65" s="7"/>
      <c r="C65" s="1">
        <f t="shared" si="11"/>
        <v>1</v>
      </c>
      <c r="D65" s="1" t="s">
        <v>21</v>
      </c>
      <c r="E65" s="1">
        <v>1</v>
      </c>
      <c r="H65" s="1" cm="1">
        <f t="array" ref="H65">SUM(AA8:AE8*BR8:BV8-R8*BK8:BO8)</f>
        <v>1</v>
      </c>
      <c r="I65" s="1" t="s">
        <v>24</v>
      </c>
      <c r="J65" s="1">
        <v>0</v>
      </c>
      <c r="M65" s="1" cm="1">
        <f t="array" ref="M65">SUM(AA8:AE8*BR8:BV8-U8*BK8:BO8)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  <c r="AP65" s="1">
        <f>SUM(AW6:AW30)</f>
        <v>0</v>
      </c>
      <c r="AQ65" s="1" t="s">
        <v>25</v>
      </c>
      <c r="AR65" s="1">
        <v>0</v>
      </c>
    </row>
    <row r="66" spans="2:44" x14ac:dyDescent="0.3">
      <c r="B66" s="7"/>
      <c r="C66" s="1">
        <f t="shared" si="11"/>
        <v>1</v>
      </c>
      <c r="D66" s="1" t="s">
        <v>21</v>
      </c>
      <c r="E66" s="1">
        <v>1</v>
      </c>
      <c r="H66" s="1" cm="1">
        <f t="array" ref="H66">SUM(AA9:AE9*BR9:BV9-R9*BK9:BO9)</f>
        <v>2</v>
      </c>
      <c r="I66" s="1" t="s">
        <v>24</v>
      </c>
      <c r="J66" s="1">
        <v>0</v>
      </c>
      <c r="M66" s="1" cm="1">
        <f t="array" ref="M66">SUM(AA9:AE9*BR9:BV9-U9*BK9:BO9)</f>
        <v>-6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0</v>
      </c>
      <c r="S66" s="1" t="s">
        <v>21</v>
      </c>
      <c r="T66" s="1">
        <v>0</v>
      </c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AM66" s="9"/>
      <c r="AP66" s="1">
        <f>SUM(BD6:BD30)</f>
        <v>0</v>
      </c>
      <c r="AQ66" s="1" t="s">
        <v>25</v>
      </c>
      <c r="AR66" s="1">
        <v>0</v>
      </c>
    </row>
    <row r="67" spans="2:44" x14ac:dyDescent="0.3">
      <c r="B67" s="7"/>
      <c r="C67" s="1">
        <f t="shared" si="11"/>
        <v>1</v>
      </c>
      <c r="D67" s="1" t="s">
        <v>21</v>
      </c>
      <c r="E67" s="1">
        <v>1</v>
      </c>
      <c r="F67" s="38"/>
      <c r="H67" s="1" cm="1">
        <f t="array" ref="H67">SUM(AA10:AE10*BR10:BV10-R10*BK10:BO10)</f>
        <v>7</v>
      </c>
      <c r="I67" s="1" t="s">
        <v>24</v>
      </c>
      <c r="J67" s="1">
        <v>0</v>
      </c>
      <c r="M67" s="1" cm="1">
        <f t="array" ref="M67">SUM(AA10:AE10*BR10:BV10-U10*BK10:BO10)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44" x14ac:dyDescent="0.3">
      <c r="B68" s="10"/>
      <c r="C68" s="1">
        <f t="shared" si="11"/>
        <v>0</v>
      </c>
      <c r="D68" s="1" t="s">
        <v>21</v>
      </c>
      <c r="E68" s="1">
        <v>1</v>
      </c>
      <c r="F68" s="38"/>
      <c r="H68" s="1" cm="1">
        <f t="array" ref="H68">SUM(AA11:AE11*BR11:BV11-R11*BK11:BO11)</f>
        <v>0</v>
      </c>
      <c r="I68" s="1" t="s">
        <v>24</v>
      </c>
      <c r="J68" s="1">
        <v>0</v>
      </c>
      <c r="M68" s="1" cm="1">
        <f t="array" ref="M68">SUM(AA11:AE11*BR11:BV11-U11*BK11:BO11)</f>
        <v>0</v>
      </c>
      <c r="N68" s="1" t="s">
        <v>21</v>
      </c>
      <c r="O68" s="1">
        <v>0</v>
      </c>
      <c r="AM68" s="9"/>
    </row>
    <row r="69" spans="2:44" x14ac:dyDescent="0.3">
      <c r="B69" s="10"/>
      <c r="C69" s="1">
        <f t="shared" si="11"/>
        <v>0</v>
      </c>
      <c r="D69" s="1" t="s">
        <v>21</v>
      </c>
      <c r="E69" s="1">
        <v>1</v>
      </c>
      <c r="F69" s="38"/>
      <c r="H69" s="1" cm="1">
        <f t="array" ref="H69">SUM(AA12:AE12*BR12:BV12-R12*BK12:BO12)</f>
        <v>0</v>
      </c>
      <c r="I69" s="1" t="s">
        <v>24</v>
      </c>
      <c r="J69" s="1">
        <v>0</v>
      </c>
      <c r="M69" s="1" cm="1">
        <f t="array" ref="M69">SUM(AA12:AE12*BR12:BV12-U12*BK12:BO12)</f>
        <v>0</v>
      </c>
      <c r="N69" s="1" t="s">
        <v>21</v>
      </c>
      <c r="O69" s="1">
        <v>0</v>
      </c>
      <c r="AM69" s="9"/>
    </row>
    <row r="70" spans="2:44" x14ac:dyDescent="0.3">
      <c r="B70" s="10"/>
      <c r="C70" s="1">
        <f t="shared" si="11"/>
        <v>1</v>
      </c>
      <c r="D70" s="1" t="s">
        <v>21</v>
      </c>
      <c r="E70" s="1">
        <v>1</v>
      </c>
      <c r="F70" s="38"/>
      <c r="H70" s="1" cm="1">
        <f t="array" ref="H70">SUM(AA13:AE13*BR13:BV13-R13*BK13:BO13)</f>
        <v>2</v>
      </c>
      <c r="I70" s="1" t="s">
        <v>24</v>
      </c>
      <c r="J70" s="1">
        <v>0</v>
      </c>
      <c r="M70" s="1" cm="1">
        <f t="array" ref="M70">SUM(AA13:AE13*BR13:BV13-U13*BK13:BO13)</f>
        <v>-15</v>
      </c>
      <c r="N70" s="1" t="s">
        <v>21</v>
      </c>
      <c r="O70" s="1">
        <v>0</v>
      </c>
      <c r="AM70" s="9"/>
    </row>
    <row r="71" spans="2:44" x14ac:dyDescent="0.3">
      <c r="B71" s="10"/>
      <c r="C71" s="1">
        <f t="shared" si="11"/>
        <v>1</v>
      </c>
      <c r="D71" s="1" t="s">
        <v>21</v>
      </c>
      <c r="E71" s="1">
        <v>1</v>
      </c>
      <c r="F71" s="38"/>
      <c r="H71" s="1" cm="1">
        <f t="array" ref="H71">SUM(AA14:AE14*BR14:BV14-R14*BK14:BO14)</f>
        <v>7</v>
      </c>
      <c r="I71" s="1" t="s">
        <v>24</v>
      </c>
      <c r="J71" s="1">
        <v>0</v>
      </c>
      <c r="M71" s="1" cm="1">
        <f t="array" ref="M71">SUM(AA14:AE14*BR14:BV14-U14*BK14:BO14)</f>
        <v>-2</v>
      </c>
      <c r="N71" s="1" t="s">
        <v>21</v>
      </c>
      <c r="O71" s="1">
        <v>0</v>
      </c>
      <c r="AM71" s="9"/>
    </row>
    <row r="72" spans="2:44" x14ac:dyDescent="0.3">
      <c r="B72" s="10"/>
      <c r="C72" s="1">
        <f t="shared" si="11"/>
        <v>1</v>
      </c>
      <c r="D72" s="1" t="s">
        <v>21</v>
      </c>
      <c r="E72" s="1">
        <v>1</v>
      </c>
      <c r="F72" s="38"/>
      <c r="H72" s="1" cm="1">
        <f t="array" ref="H72">SUM(AA15:AE15*BR15:BV15-R15*BK15:BO15)</f>
        <v>5</v>
      </c>
      <c r="I72" s="1" t="s">
        <v>24</v>
      </c>
      <c r="J72" s="1">
        <v>0</v>
      </c>
      <c r="M72" s="1" cm="1">
        <f t="array" ref="M72">SUM(AA15:AE15*BR15:BV15-U15*BK15:BO15)</f>
        <v>-5</v>
      </c>
      <c r="N72" s="1" t="s">
        <v>21</v>
      </c>
      <c r="O72" s="1">
        <v>0</v>
      </c>
      <c r="AM72" s="9"/>
    </row>
    <row r="73" spans="2:44" x14ac:dyDescent="0.3">
      <c r="B73" s="10"/>
      <c r="C73" s="1">
        <f t="shared" si="11"/>
        <v>0</v>
      </c>
      <c r="D73" s="1" t="s">
        <v>21</v>
      </c>
      <c r="E73" s="1">
        <v>1</v>
      </c>
      <c r="F73" s="38"/>
      <c r="H73" s="1" cm="1">
        <f t="array" ref="H73">SUM(AA16:AE16*BR16:BV16-R16*BK16:BO16)</f>
        <v>0</v>
      </c>
      <c r="I73" s="1" t="s">
        <v>24</v>
      </c>
      <c r="J73" s="1">
        <v>0</v>
      </c>
      <c r="M73" s="1" cm="1">
        <f t="array" ref="M73">SUM(AA16:AE16*BR16:BV16-U16*BK16:BO16)</f>
        <v>0</v>
      </c>
      <c r="N73" s="1" t="s">
        <v>21</v>
      </c>
      <c r="O73" s="1">
        <v>0</v>
      </c>
      <c r="AM73" s="9"/>
    </row>
    <row r="74" spans="2:44" x14ac:dyDescent="0.3">
      <c r="B74" s="10"/>
      <c r="C74" s="1">
        <f t="shared" si="11"/>
        <v>1</v>
      </c>
      <c r="D74" s="1" t="s">
        <v>21</v>
      </c>
      <c r="E74" s="1">
        <v>1</v>
      </c>
      <c r="F74" s="38"/>
      <c r="H74" s="1" cm="1">
        <f t="array" ref="H74">SUM(AA17:AE17*BR17:BV17-R17*BK17:BO17)</f>
        <v>14</v>
      </c>
      <c r="I74" s="1" t="s">
        <v>24</v>
      </c>
      <c r="J74" s="1">
        <v>0</v>
      </c>
      <c r="M74" s="1" cm="1">
        <f t="array" ref="M74">SUM(AA17:AE17*BR17:BV17-U17*BK17:BO17)</f>
        <v>-6</v>
      </c>
      <c r="N74" s="1" t="s">
        <v>21</v>
      </c>
      <c r="O74" s="1">
        <v>0</v>
      </c>
      <c r="AM74" s="9"/>
    </row>
    <row r="75" spans="2:44" x14ac:dyDescent="0.3">
      <c r="B75" s="10"/>
      <c r="C75" s="1">
        <f t="shared" si="11"/>
        <v>0</v>
      </c>
      <c r="D75" s="1" t="s">
        <v>21</v>
      </c>
      <c r="E75" s="1">
        <v>1</v>
      </c>
      <c r="F75" s="38"/>
      <c r="H75" s="1" cm="1">
        <f t="array" ref="H75">SUM(AA18:AE18*BR18:BV18-R18*BK18:BO18)</f>
        <v>0</v>
      </c>
      <c r="I75" s="1" t="s">
        <v>24</v>
      </c>
      <c r="J75" s="1">
        <v>0</v>
      </c>
      <c r="M75" s="1" cm="1">
        <f t="array" ref="M75">SUM(AA18:AE18*BR18:BV18-U18*BK18:BO18)</f>
        <v>0</v>
      </c>
      <c r="N75" s="1" t="s">
        <v>21</v>
      </c>
      <c r="O75" s="1">
        <v>0</v>
      </c>
      <c r="AM75" s="9"/>
    </row>
    <row r="76" spans="2:44" x14ac:dyDescent="0.3">
      <c r="B76" s="7"/>
      <c r="C76" s="1">
        <f t="shared" si="11"/>
        <v>1</v>
      </c>
      <c r="D76" s="1" t="s">
        <v>21</v>
      </c>
      <c r="E76" s="1">
        <v>1</v>
      </c>
      <c r="H76" s="1" cm="1">
        <f t="array" ref="H76">SUM(AA19:AE19*BR19:BV19-R19*BK19:BO19)</f>
        <v>5</v>
      </c>
      <c r="I76" s="1" t="s">
        <v>24</v>
      </c>
      <c r="J76" s="1">
        <v>0</v>
      </c>
      <c r="M76" s="1" cm="1">
        <f t="array" ref="M76">SUM(AA19:AE19*BR19:BV19-U19*BK19:BO19)</f>
        <v>-4</v>
      </c>
      <c r="N76" s="1" t="s">
        <v>21</v>
      </c>
      <c r="O76" s="1">
        <v>0</v>
      </c>
      <c r="AM76" s="9"/>
    </row>
    <row r="77" spans="2:44" x14ac:dyDescent="0.3">
      <c r="B77" s="7"/>
      <c r="C77" s="1">
        <f t="shared" si="11"/>
        <v>1</v>
      </c>
      <c r="D77" s="1" t="s">
        <v>21</v>
      </c>
      <c r="E77" s="1">
        <v>1</v>
      </c>
      <c r="H77" s="1" cm="1">
        <f t="array" ref="H77">SUM(AA20:AE20*BR20:BV20-R20*BK20:BO20)</f>
        <v>9</v>
      </c>
      <c r="I77" s="1" t="s">
        <v>24</v>
      </c>
      <c r="J77" s="1">
        <v>0</v>
      </c>
      <c r="M77" s="1" cm="1">
        <f t="array" ref="M77">SUM(AA20:AE20*BR20:BV20-U20*BK20:BO20)</f>
        <v>-7</v>
      </c>
      <c r="N77" s="1" t="s">
        <v>21</v>
      </c>
      <c r="O77" s="1">
        <v>0</v>
      </c>
      <c r="AM77" s="9"/>
    </row>
    <row r="78" spans="2:44" x14ac:dyDescent="0.3">
      <c r="B78" s="7"/>
      <c r="C78" s="1">
        <f t="shared" si="11"/>
        <v>0</v>
      </c>
      <c r="D78" s="1" t="s">
        <v>21</v>
      </c>
      <c r="E78" s="1">
        <v>1</v>
      </c>
      <c r="H78" s="1" cm="1">
        <f t="array" ref="H78">SUM(AA21:AE21*BR21:BV21-R21*BK21:BO21)</f>
        <v>0</v>
      </c>
      <c r="I78" s="1" t="s">
        <v>24</v>
      </c>
      <c r="J78" s="1">
        <v>0</v>
      </c>
      <c r="M78" s="1" cm="1">
        <f t="array" ref="M78">SUM(AA21:AE21*BR21:BV21-U21*BK21:BO21)</f>
        <v>0</v>
      </c>
      <c r="N78" s="1" t="s">
        <v>21</v>
      </c>
      <c r="O78" s="1">
        <v>0</v>
      </c>
      <c r="AM78" s="9"/>
    </row>
    <row r="79" spans="2:44" x14ac:dyDescent="0.3">
      <c r="B79" s="7"/>
      <c r="C79" s="1">
        <f t="shared" si="11"/>
        <v>0</v>
      </c>
      <c r="D79" s="1" t="s">
        <v>21</v>
      </c>
      <c r="E79" s="1">
        <v>1</v>
      </c>
      <c r="H79" s="1" cm="1">
        <f t="array" ref="H79">SUM(AA22:AE22*BR22:BV22-R22*BK22:BO22)</f>
        <v>0</v>
      </c>
      <c r="I79" s="1" t="s">
        <v>24</v>
      </c>
      <c r="J79" s="1">
        <v>0</v>
      </c>
      <c r="M79" s="1" cm="1">
        <f t="array" ref="M79">SUM(AA22:AE22*BR22:BV22-U22*BK22:BO22)</f>
        <v>0</v>
      </c>
      <c r="N79" s="1" t="s">
        <v>21</v>
      </c>
      <c r="O79" s="1">
        <v>0</v>
      </c>
      <c r="AM79" s="9"/>
    </row>
    <row r="80" spans="2:44" x14ac:dyDescent="0.3">
      <c r="B80" s="7"/>
      <c r="C80" s="1">
        <f t="shared" si="11"/>
        <v>0</v>
      </c>
      <c r="D80" s="1" t="s">
        <v>21</v>
      </c>
      <c r="E80" s="1">
        <v>1</v>
      </c>
      <c r="H80" s="1" cm="1">
        <f t="array" ref="H80">SUM(AA23:AE23*BR23:BV23-R23*BK23:BO23)</f>
        <v>0</v>
      </c>
      <c r="I80" s="1" t="s">
        <v>24</v>
      </c>
      <c r="J80" s="1">
        <v>0</v>
      </c>
      <c r="M80" s="1" cm="1">
        <f t="array" ref="M80">SUM(AA23:AE23*BR23:BV23-U23*BK23:BO23)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1"/>
        <v>0</v>
      </c>
      <c r="D81" s="1" t="s">
        <v>21</v>
      </c>
      <c r="E81" s="1">
        <v>1</v>
      </c>
      <c r="H81" s="1" cm="1">
        <f t="array" ref="H81">SUM(AA24:AE24*BR24:BV24-R24*BK24:BO24)</f>
        <v>0</v>
      </c>
      <c r="I81" s="1" t="s">
        <v>24</v>
      </c>
      <c r="J81" s="1">
        <v>0</v>
      </c>
      <c r="M81" s="1" cm="1">
        <f t="array" ref="M81">SUM(AA24:AE24*BR24:BV24-U24*BK24:BO24)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1"/>
        <v>0</v>
      </c>
      <c r="D82" s="1" t="s">
        <v>21</v>
      </c>
      <c r="E82" s="1">
        <v>1</v>
      </c>
      <c r="H82" s="1" cm="1">
        <f t="array" ref="H82">SUM(AA25:AE25*BR25:BV25-R25*BK25:BO25)</f>
        <v>0</v>
      </c>
      <c r="I82" s="1" t="s">
        <v>24</v>
      </c>
      <c r="J82" s="1">
        <v>0</v>
      </c>
      <c r="M82" s="1" cm="1">
        <f t="array" ref="M82">SUM(AA25:AE25*BR25:BV25-U25*BK25:BO25)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1"/>
        <v>1</v>
      </c>
      <c r="D83" s="1" t="s">
        <v>21</v>
      </c>
      <c r="E83" s="1">
        <v>1</v>
      </c>
      <c r="H83" s="1" cm="1">
        <f t="array" ref="H83">SUM(AA26:AE26*BR26:BV26-R26*BK26:BO26)</f>
        <v>1</v>
      </c>
      <c r="I83" s="1" t="s">
        <v>24</v>
      </c>
      <c r="J83" s="1">
        <v>0</v>
      </c>
      <c r="M83" s="1" cm="1">
        <f t="array" ref="M83">SUM(AA26:AE26*BR26:BV26-U26*BK26:BO26)</f>
        <v>-21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1"/>
        <v>1</v>
      </c>
      <c r="D84" s="1" t="s">
        <v>21</v>
      </c>
      <c r="E84" s="1">
        <v>1</v>
      </c>
      <c r="H84" s="1" cm="1">
        <f t="array" ref="H84">SUM(AA27:AE27*BR27:BV27-R27*BK27:BO27)</f>
        <v>2</v>
      </c>
      <c r="I84" s="1" t="s">
        <v>24</v>
      </c>
      <c r="J84" s="1">
        <v>0</v>
      </c>
      <c r="M84" s="1" cm="1">
        <f t="array" ref="M84">SUM(AA27:AE27*BR27:BV27-U27*BK27:BO27)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1"/>
        <v>1</v>
      </c>
      <c r="D85" s="1" t="s">
        <v>21</v>
      </c>
      <c r="E85" s="1">
        <v>1</v>
      </c>
      <c r="H85" s="1" cm="1">
        <f t="array" ref="H85">SUM(AA28:AE28*BR28:BV28-R28*BK28:BO28)</f>
        <v>2</v>
      </c>
      <c r="I85" s="1" t="s">
        <v>24</v>
      </c>
      <c r="J85" s="1">
        <v>0</v>
      </c>
      <c r="M85" s="1" cm="1">
        <f t="array" ref="M85">SUM(AA28:AE28*BR28:BV28-U28*BK28:BO28)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1"/>
        <v>1</v>
      </c>
      <c r="D86" s="1" t="s">
        <v>21</v>
      </c>
      <c r="E86" s="1">
        <v>1</v>
      </c>
      <c r="H86" s="1" cm="1">
        <f t="array" ref="H86">SUM(AA29:AE29*BR29:BV29-R29*BK29:BO29)</f>
        <v>4</v>
      </c>
      <c r="I86" s="1" t="s">
        <v>24</v>
      </c>
      <c r="J86" s="1">
        <v>0</v>
      </c>
      <c r="M86" s="1" cm="1">
        <f t="array" ref="M86">SUM(AA29:AE29*BR29:BV29-U29*BK29:BO29)</f>
        <v>-11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H87" s="1" cm="1">
        <f t="array" ref="H87">SUM(AA30:AE30*BR30:BV30-R30*BK30:BO30)</f>
        <v>10</v>
      </c>
      <c r="I87" s="1" t="s">
        <v>24</v>
      </c>
      <c r="J87" s="1">
        <v>0</v>
      </c>
      <c r="M87" s="1" cm="1">
        <f t="array" ref="M87">SUM(AA30:AE30*BR30:BV30-U30*BK30:BO30)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C301-4E90-497D-9182-8BC3D95936BB}">
  <dimension ref="A1:CC120"/>
  <sheetViews>
    <sheetView topLeftCell="A27" zoomScale="55" zoomScaleNormal="55" workbookViewId="0">
      <selection activeCell="AH53" sqref="AH48:AH53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7.88671875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31.6640625" style="1" bestFit="1" customWidth="1"/>
    <col min="63" max="67" width="8.88671875" style="1"/>
    <col min="68" max="68" width="26.5546875" style="1" bestFit="1" customWidth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1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1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O30" si="8">AI7+AP7+AW7+BD7</f>
        <v>1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0</v>
      </c>
      <c r="BQ7" s="23">
        <v>2</v>
      </c>
      <c r="BR7" s="16">
        <f t="shared" ref="BR7:BV30" si="9">AI7+AP7*2+AW7*3+BD7*4</f>
        <v>1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0</v>
      </c>
      <c r="BX7" s="23">
        <v>2</v>
      </c>
      <c r="BY7" s="16">
        <f t="shared" ref="BY7:CC30" si="10">AI7+AP7*POWER(2,$O7)+AW7*POWER(3,$O7)+BD7*POWER(4,$O7)</f>
        <v>1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0</v>
      </c>
    </row>
    <row r="8" spans="2:81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</row>
    <row r="9" spans="2:81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1</v>
      </c>
      <c r="BN9" s="16">
        <f t="shared" si="0"/>
        <v>0</v>
      </c>
      <c r="BO9" s="16">
        <f t="shared" si="0"/>
        <v>0</v>
      </c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1</v>
      </c>
      <c r="BU9" s="16">
        <f t="shared" si="1"/>
        <v>0</v>
      </c>
      <c r="BV9" s="16">
        <f t="shared" si="1"/>
        <v>0</v>
      </c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1</v>
      </c>
      <c r="CB9" s="16">
        <f t="shared" si="2"/>
        <v>0</v>
      </c>
      <c r="CC9" s="19">
        <f t="shared" si="2"/>
        <v>0</v>
      </c>
    </row>
    <row r="10" spans="2:81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</row>
    <row r="11" spans="2:81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1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Q11" s="23">
        <v>6</v>
      </c>
      <c r="BR11" s="16">
        <f t="shared" si="9"/>
        <v>1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X11" s="23">
        <v>6</v>
      </c>
      <c r="BY11" s="16">
        <f t="shared" si="10"/>
        <v>1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</row>
    <row r="12" spans="2:81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</row>
    <row r="13" spans="2:81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0"/>
        <v>0</v>
      </c>
      <c r="BM13" s="16">
        <f t="shared" si="0"/>
        <v>0</v>
      </c>
      <c r="BN13" s="16">
        <f t="shared" si="0"/>
        <v>0</v>
      </c>
      <c r="BO13" s="16">
        <f t="shared" si="0"/>
        <v>1</v>
      </c>
      <c r="BQ13" s="23">
        <v>8</v>
      </c>
      <c r="BR13" s="16">
        <f t="shared" si="9"/>
        <v>0</v>
      </c>
      <c r="BS13" s="16">
        <f t="shared" si="1"/>
        <v>0</v>
      </c>
      <c r="BT13" s="16">
        <f t="shared" si="1"/>
        <v>0</v>
      </c>
      <c r="BU13" s="16">
        <f t="shared" si="1"/>
        <v>0</v>
      </c>
      <c r="BV13" s="16">
        <f t="shared" si="1"/>
        <v>1</v>
      </c>
      <c r="BX13" s="23">
        <v>8</v>
      </c>
      <c r="BY13" s="16">
        <f t="shared" si="10"/>
        <v>0</v>
      </c>
      <c r="BZ13" s="16">
        <f t="shared" si="2"/>
        <v>0</v>
      </c>
      <c r="CA13" s="16">
        <f t="shared" si="2"/>
        <v>0</v>
      </c>
      <c r="CB13" s="16">
        <f t="shared" si="2"/>
        <v>0</v>
      </c>
      <c r="CC13" s="19">
        <f t="shared" si="2"/>
        <v>1</v>
      </c>
    </row>
    <row r="14" spans="2:81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1</v>
      </c>
      <c r="BO14" s="16">
        <f t="shared" si="0"/>
        <v>0</v>
      </c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3</v>
      </c>
      <c r="BV14" s="16">
        <f t="shared" si="1"/>
        <v>0</v>
      </c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2.4082246852806923</v>
      </c>
      <c r="CC14" s="19">
        <f t="shared" si="2"/>
        <v>0</v>
      </c>
    </row>
    <row r="15" spans="2:81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0"/>
        <v>0</v>
      </c>
      <c r="BM15" s="16">
        <f t="shared" si="0"/>
        <v>0</v>
      </c>
      <c r="BN15" s="16">
        <f t="shared" si="0"/>
        <v>0</v>
      </c>
      <c r="BO15" s="16">
        <f t="shared" si="0"/>
        <v>1</v>
      </c>
      <c r="BQ15" s="23">
        <v>10</v>
      </c>
      <c r="BR15" s="16">
        <f t="shared" si="9"/>
        <v>0</v>
      </c>
      <c r="BS15" s="16">
        <f t="shared" si="1"/>
        <v>0</v>
      </c>
      <c r="BT15" s="16">
        <f t="shared" si="1"/>
        <v>0</v>
      </c>
      <c r="BU15" s="16">
        <f t="shared" si="1"/>
        <v>0</v>
      </c>
      <c r="BV15" s="16">
        <f t="shared" si="1"/>
        <v>3</v>
      </c>
      <c r="BX15" s="23">
        <v>10</v>
      </c>
      <c r="BY15" s="16">
        <f t="shared" si="10"/>
        <v>0</v>
      </c>
      <c r="BZ15" s="16">
        <f t="shared" si="2"/>
        <v>0</v>
      </c>
      <c r="CA15" s="16">
        <f t="shared" si="2"/>
        <v>0</v>
      </c>
      <c r="CB15" s="16">
        <f t="shared" si="2"/>
        <v>0</v>
      </c>
      <c r="CC15" s="19">
        <f t="shared" si="2"/>
        <v>2.4082246852806923</v>
      </c>
    </row>
    <row r="16" spans="2:81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Q16" s="23">
        <v>11</v>
      </c>
      <c r="BR16" s="16">
        <f t="shared" si="9"/>
        <v>0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X16" s="23">
        <v>11</v>
      </c>
      <c r="BY16" s="16">
        <f t="shared" si="10"/>
        <v>0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</row>
    <row r="17" spans="2:81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</row>
    <row r="18" spans="2:81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</row>
    <row r="19" spans="2:81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</row>
    <row r="20" spans="2:81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</row>
    <row r="21" spans="2:81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</row>
    <row r="22" spans="2:81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</row>
    <row r="23" spans="2:81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</row>
    <row r="24" spans="2:81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</row>
    <row r="25" spans="2:81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</row>
    <row r="26" spans="2:81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1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0</v>
      </c>
      <c r="BO26" s="16">
        <f t="shared" si="8"/>
        <v>1</v>
      </c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0</v>
      </c>
      <c r="BV26" s="16">
        <f t="shared" si="9"/>
        <v>2</v>
      </c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0</v>
      </c>
      <c r="CC26" s="19">
        <f t="shared" si="10"/>
        <v>1.515716566510398</v>
      </c>
    </row>
    <row r="27" spans="2:81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1</v>
      </c>
      <c r="AJ27" s="16">
        <v>0</v>
      </c>
      <c r="AK27" s="16">
        <v>0</v>
      </c>
      <c r="AL27" s="16">
        <v>0</v>
      </c>
      <c r="AM27" s="16">
        <v>0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1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0</v>
      </c>
      <c r="BQ27" s="23">
        <v>22</v>
      </c>
      <c r="BR27" s="16">
        <f t="shared" si="9"/>
        <v>1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0</v>
      </c>
      <c r="BX27" s="23">
        <v>22</v>
      </c>
      <c r="BY27" s="16">
        <f t="shared" si="10"/>
        <v>1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0</v>
      </c>
    </row>
    <row r="28" spans="2:81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1</v>
      </c>
      <c r="AJ28" s="16">
        <v>0</v>
      </c>
      <c r="AK28" s="16">
        <v>0</v>
      </c>
      <c r="AL28" s="16">
        <v>0</v>
      </c>
      <c r="AM28" s="16">
        <v>0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1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0</v>
      </c>
      <c r="BQ28" s="23">
        <v>23</v>
      </c>
      <c r="BR28" s="16">
        <f t="shared" si="9"/>
        <v>1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0</v>
      </c>
      <c r="BX28" s="23">
        <v>23</v>
      </c>
      <c r="BY28" s="16">
        <f t="shared" si="10"/>
        <v>1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0</v>
      </c>
    </row>
    <row r="29" spans="2:81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1</v>
      </c>
      <c r="BQ29" s="23">
        <v>24</v>
      </c>
      <c r="BR29" s="16">
        <f t="shared" si="9"/>
        <v>0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3</v>
      </c>
      <c r="BX29" s="23">
        <v>24</v>
      </c>
      <c r="BY29" s="16">
        <f t="shared" si="10"/>
        <v>0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2.4082246852806923</v>
      </c>
    </row>
    <row r="30" spans="2:81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</row>
    <row r="31" spans="2:81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1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115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  <c r="BJ37" s="62" t="s">
        <v>1165</v>
      </c>
    </row>
    <row r="38" spans="2:81" x14ac:dyDescent="0.3">
      <c r="B38" s="32"/>
      <c r="C38" s="68"/>
      <c r="AF38" s="9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1166</v>
      </c>
    </row>
    <row r="39" spans="2:81" x14ac:dyDescent="0.3">
      <c r="B39" s="7"/>
      <c r="AF39" s="9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</row>
    <row r="40" spans="2:81" x14ac:dyDescent="0.3">
      <c r="B40" s="7"/>
      <c r="AF40" s="9"/>
      <c r="BJ40" s="16">
        <v>2</v>
      </c>
      <c r="BK40" s="61" cm="1">
        <f t="array" aca="1" ref="BK40" ca="1">BY7*$C7*$L7*POWER($F7,$O7)*INDIRECT(ADDRESS(32+COLUMNS($A$1:A2),9))</f>
        <v>31.036911478307196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0</v>
      </c>
      <c r="BP40" s="1">
        <f t="shared" ref="BP40:BP64" ca="1" si="11">SUM(BK40:BO40)</f>
        <v>31.036911478307196</v>
      </c>
    </row>
    <row r="41" spans="2:81" x14ac:dyDescent="0.3">
      <c r="B41" s="10" t="s">
        <v>19</v>
      </c>
      <c r="AF41" s="9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11"/>
        <v>194.4787916031315</v>
      </c>
    </row>
    <row r="42" spans="2:81" x14ac:dyDescent="0.3">
      <c r="B42" s="7">
        <v>2</v>
      </c>
      <c r="C42" s="1">
        <v>5</v>
      </c>
      <c r="AF42" s="9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61.982472786971179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0</v>
      </c>
      <c r="BP42" s="1">
        <f t="shared" ca="1" si="11"/>
        <v>61.982472786971179</v>
      </c>
    </row>
    <row r="43" spans="2:81" x14ac:dyDescent="0.3">
      <c r="B43" s="7">
        <v>3</v>
      </c>
      <c r="C43" s="1">
        <v>8</v>
      </c>
      <c r="AF43" s="9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11"/>
        <v>1383.6776951677273</v>
      </c>
    </row>
    <row r="44" spans="2:81" x14ac:dyDescent="0.3">
      <c r="B44" s="7">
        <v>16</v>
      </c>
      <c r="C44" s="1">
        <v>20</v>
      </c>
      <c r="AF44" s="9"/>
      <c r="BJ44" s="16">
        <v>6</v>
      </c>
      <c r="BK44" s="61" cm="1">
        <f t="array" aca="1" ref="BK44" ca="1">BY11*$C11*$L11*POWER($F11,$O11)*INDIRECT(ADDRESS(32+COLUMNS($A$1:A6),9))</f>
        <v>14.333707577554534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0</v>
      </c>
      <c r="BP44" s="1">
        <f t="shared" ca="1" si="11"/>
        <v>14.333707577554534</v>
      </c>
    </row>
    <row r="45" spans="2:81" x14ac:dyDescent="0.3">
      <c r="B45" s="7"/>
      <c r="AF45" s="9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11"/>
        <v>0</v>
      </c>
    </row>
    <row r="46" spans="2:81" x14ac:dyDescent="0.3">
      <c r="B46" s="10" t="s">
        <v>20</v>
      </c>
      <c r="AF46" s="9"/>
      <c r="BJ46" s="16">
        <v>8</v>
      </c>
      <c r="BK46" s="61" cm="1">
        <f t="array" aca="1" ref="BK46" ca="1">BY13*$C13*$L13*POWER($F13,$O13)*INDIRECT(ADDRESS(32+COLUMNS($A$1:A8),9))</f>
        <v>0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14.585909370234862</v>
      </c>
      <c r="BP46" s="1">
        <f t="shared" ca="1" si="11"/>
        <v>14.585909370234862</v>
      </c>
    </row>
    <row r="47" spans="2:81" x14ac:dyDescent="0.3">
      <c r="B47" s="7">
        <v>1</v>
      </c>
      <c r="C47" s="1">
        <v>12</v>
      </c>
      <c r="AF47" s="9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0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293.2988134700031</v>
      </c>
      <c r="BO47" s="16" cm="1">
        <f t="array" aca="1" ref="BO47" ca="1">CC14*$C14*$L14*POWER($F14,$O14)*INDIRECT(ADDRESS(32+COLUMNS($A$1:E9),9))</f>
        <v>0</v>
      </c>
      <c r="BP47" s="1">
        <f t="shared" ca="1" si="11"/>
        <v>293.2988134700031</v>
      </c>
    </row>
    <row r="48" spans="2:81" x14ac:dyDescent="0.3">
      <c r="B48" s="7">
        <v>3</v>
      </c>
      <c r="C48" s="1">
        <v>8</v>
      </c>
      <c r="AF48" s="9"/>
      <c r="BJ48" s="16">
        <v>10</v>
      </c>
      <c r="BK48" s="61" cm="1">
        <f t="array" aca="1" ref="BK48" ca="1">BY15*$C15*$L15*POWER($F15,$O15)*INDIRECT(ADDRESS(32+COLUMNS($A$1:A10),9))</f>
        <v>0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125.3576818177493</v>
      </c>
      <c r="BP48" s="1">
        <f t="shared" ca="1" si="11"/>
        <v>125.3576818177493</v>
      </c>
    </row>
    <row r="49" spans="2:69" x14ac:dyDescent="0.3">
      <c r="B49" s="7">
        <v>9</v>
      </c>
      <c r="C49" s="1">
        <v>15</v>
      </c>
      <c r="AF49" s="9"/>
      <c r="BJ49" s="16">
        <v>11</v>
      </c>
      <c r="BK49" s="61" cm="1">
        <f t="array" aca="1" ref="BK49" ca="1">BY16*$C16*$L16*POWER($F16,$O16)*INDIRECT(ADDRESS(32+COLUMNS($A$1:A11),9))</f>
        <v>0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0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11"/>
        <v>0</v>
      </c>
    </row>
    <row r="50" spans="2:69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11"/>
        <v>369.11634255085556</v>
      </c>
    </row>
    <row r="51" spans="2:69" ht="16.2" thickBot="1" x14ac:dyDescent="0.35"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11"/>
        <v>0</v>
      </c>
    </row>
    <row r="52" spans="2:69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11"/>
        <v>1871.9999999999998</v>
      </c>
    </row>
    <row r="53" spans="2:69" x14ac:dyDescent="0.3">
      <c r="B53" s="7"/>
      <c r="F53" s="9"/>
      <c r="H53" s="10" t="s">
        <v>2</v>
      </c>
      <c r="I53" s="38"/>
      <c r="J53" s="34"/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0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812.23925749895227</v>
      </c>
      <c r="BO53" s="16" cm="1">
        <f t="array" aca="1" ref="BO53" ca="1">CC20*$C20*$L20*POWER($F20,$O20)*INDIRECT(ADDRESS(32+COLUMNS($A$1:E15),9))</f>
        <v>0</v>
      </c>
      <c r="BP53" s="1">
        <f t="shared" ca="1" si="11"/>
        <v>812.23925749895227</v>
      </c>
    </row>
    <row r="54" spans="2:69" x14ac:dyDescent="0.3">
      <c r="B54" s="7"/>
      <c r="F54" s="9"/>
      <c r="H54" s="10" t="s">
        <v>1</v>
      </c>
      <c r="I54" s="38"/>
      <c r="J54" s="34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11"/>
        <v>0</v>
      </c>
    </row>
    <row r="55" spans="2:69" ht="16.2" thickBot="1" x14ac:dyDescent="0.35">
      <c r="B55" s="25" cm="1">
        <f t="array" ref="B55">SUMPRODUCT(MMULT(BY6:CC30*C6:C30*L6:L30*POWER(F6:F30,O6:O30),I33:I37))</f>
        <v>6958.7030298687978</v>
      </c>
      <c r="C55" s="26"/>
      <c r="D55" s="26"/>
      <c r="E55" s="26"/>
      <c r="F55" s="27"/>
      <c r="H55" s="25" t="s">
        <v>1160</v>
      </c>
      <c r="I55" s="26"/>
      <c r="J55" s="27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11"/>
        <v>0</v>
      </c>
    </row>
    <row r="56" spans="2:69" ht="16.2" thickBot="1" x14ac:dyDescent="0.35"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11"/>
        <v>0</v>
      </c>
    </row>
    <row r="57" spans="2:69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11"/>
        <v>0</v>
      </c>
    </row>
    <row r="58" spans="2:69" x14ac:dyDescent="0.3">
      <c r="B58" s="7"/>
      <c r="AM58" s="9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11"/>
        <v>0</v>
      </c>
    </row>
    <row r="59" spans="2:69" x14ac:dyDescent="0.3">
      <c r="B59" s="7"/>
      <c r="AM59" s="9"/>
      <c r="BJ59" s="16">
        <v>21</v>
      </c>
      <c r="BK59" s="61" cm="1">
        <f t="array" aca="1" ref="BK59" ca="1">BY26*$C26*$L26*POWER($F26,$O26)*INDIRECT(ADDRESS(32+COLUMNS($A$1:A21),9))</f>
        <v>0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146.33698473728819</v>
      </c>
      <c r="BP59" s="1">
        <f t="shared" ca="1" si="11"/>
        <v>146.33698473728819</v>
      </c>
    </row>
    <row r="60" spans="2:69" x14ac:dyDescent="0.3">
      <c r="B60" s="7"/>
      <c r="AM60" s="9"/>
      <c r="BJ60" s="16">
        <v>22</v>
      </c>
      <c r="BK60" s="61" cm="1">
        <f t="array" aca="1" ref="BK60" ca="1">BY27*$C27*$L27*POWER($F27,$O27)*INDIRECT(ADDRESS(32+COLUMNS($A$1:A22),9))</f>
        <v>53.577862653738528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0</v>
      </c>
      <c r="BP60" s="1">
        <f t="shared" ca="1" si="11"/>
        <v>53.577862653738528</v>
      </c>
    </row>
    <row r="61" spans="2:69" x14ac:dyDescent="0.3">
      <c r="B61" s="7"/>
      <c r="AM61" s="9"/>
      <c r="BJ61" s="16">
        <v>23</v>
      </c>
      <c r="BK61" s="61" cm="1">
        <f t="array" aca="1" ref="BK61" ca="1">BY28*$C28*$L28*POWER($F28,$O28)*INDIRECT(ADDRESS(32+COLUMNS($A$1:A23),9))</f>
        <v>56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0</v>
      </c>
      <c r="BP61" s="1">
        <f t="shared" ca="1" si="11"/>
        <v>56</v>
      </c>
    </row>
    <row r="62" spans="2:69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99.441905274565627</v>
      </c>
      <c r="BP62" s="1">
        <f t="shared" ca="1" si="11"/>
        <v>99.441905274565627</v>
      </c>
    </row>
    <row r="63" spans="2:69" ht="16.2" thickBot="1" x14ac:dyDescent="0.35">
      <c r="B63" s="7"/>
      <c r="C63" s="1">
        <f>SUM(AI6:AM6,AP6:AT6,AW6:BA6,BD6:BH6)</f>
        <v>1</v>
      </c>
      <c r="D63" s="1" t="s">
        <v>21</v>
      </c>
      <c r="E63" s="1">
        <v>1</v>
      </c>
      <c r="H63" s="1" cm="1">
        <f t="array" ref="H63">SUM(AA6:AE6*BR6:BV6-R6*BK6:BO6)</f>
        <v>1</v>
      </c>
      <c r="I63" s="1" t="s">
        <v>24</v>
      </c>
      <c r="J63" s="1">
        <v>0</v>
      </c>
      <c r="M63" s="1" cm="1">
        <f t="array" ref="M63">SUM(AA6:AE6*BR6:BV6-U6*BK6:BO6)</f>
        <v>-12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0</v>
      </c>
      <c r="S63" s="1" t="s">
        <v>21</v>
      </c>
      <c r="T63" s="1">
        <v>0</v>
      </c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AB63" s="1" cm="1">
        <f t="array" aca="1" ref="AB63" ca="1">INDIRECT(ADDRESS(5+$B42,62+COLUMNS($A1:A1)))+INDIRECT(ADDRESS(5+$C42,62+COLUMNS($A1:A1)))</f>
        <v>1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0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1317.3966981156575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0</v>
      </c>
      <c r="BO63" s="16" cm="1">
        <f t="array" aca="1" ref="BO63" ca="1">CC30*$C30*$L30*POWER($F30,$O30)*INDIRECT(ADDRESS(32+COLUMNS($A$1:E25),9))</f>
        <v>0</v>
      </c>
      <c r="BP63" s="1">
        <f t="shared" ca="1" si="11"/>
        <v>1317.3966981156575</v>
      </c>
    </row>
    <row r="64" spans="2:69" ht="16.2" thickBot="1" x14ac:dyDescent="0.35">
      <c r="B64" s="7"/>
      <c r="C64" s="1">
        <f t="shared" ref="C64:C86" si="12">SUM(AI7:AM7,AP7:AT7,AW7:BA7,BD7:BH7)</f>
        <v>1</v>
      </c>
      <c r="D64" s="1" t="s">
        <v>21</v>
      </c>
      <c r="E64" s="1">
        <v>1</v>
      </c>
      <c r="H64" s="1" cm="1">
        <f t="array" ref="H64">SUM(AA7:AE7*BR7:BV7-R7*BK7:BO7)</f>
        <v>4</v>
      </c>
      <c r="I64" s="1" t="s">
        <v>24</v>
      </c>
      <c r="J64" s="1">
        <v>0</v>
      </c>
      <c r="M64" s="1" cm="1">
        <f t="array" ref="M64">SUM(AA7:AE7*BR7:BV7-U7*BK7:BO7)</f>
        <v>-14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AB64" s="1" cm="1">
        <f t="array" aca="1" ref="AB64" ca="1">INDIRECT(ADDRESS(5+$B43,62+COLUMNS($A2:A2)))+INDIRECT(ADDRESS(5+$C43,62+COLUMNS($A2:A2)))</f>
        <v>0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1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/>
      <c r="BJ64" s="62" t="s">
        <v>1168</v>
      </c>
      <c r="BK64" s="1">
        <f ca="1">SUM(BK39:BK63)</f>
        <v>154.94848170960026</v>
      </c>
      <c r="BL64" s="1">
        <f t="shared" ref="BL64:BO64" ca="1" si="13">SUM(BL39:BL63)</f>
        <v>1317.3966981156575</v>
      </c>
      <c r="BM64" s="1">
        <f t="shared" ca="1" si="13"/>
        <v>3512.1389595578294</v>
      </c>
      <c r="BN64" s="1">
        <f t="shared" ca="1" si="13"/>
        <v>1588.4964092858727</v>
      </c>
      <c r="BO64" s="1">
        <f t="shared" ca="1" si="13"/>
        <v>385.722481199838</v>
      </c>
      <c r="BP64" s="59">
        <f t="shared" ca="1" si="11"/>
        <v>6958.7030298687969</v>
      </c>
      <c r="BQ64" s="1" t="s">
        <v>1167</v>
      </c>
    </row>
    <row r="65" spans="2:39" x14ac:dyDescent="0.3">
      <c r="B65" s="7"/>
      <c r="C65" s="1">
        <f t="shared" si="12"/>
        <v>1</v>
      </c>
      <c r="D65" s="1" t="s">
        <v>21</v>
      </c>
      <c r="E65" s="1">
        <v>1</v>
      </c>
      <c r="H65" s="1" cm="1">
        <f t="array" ref="H65">SUM(AA8:AE8*BR8:BV8-R8*BK8:BO8)</f>
        <v>1</v>
      </c>
      <c r="I65" s="1" t="s">
        <v>24</v>
      </c>
      <c r="J65" s="1">
        <v>0</v>
      </c>
      <c r="M65" s="1" cm="1">
        <f t="array" ref="M65">SUM(AA8:AE8*BR8:BV8-U8*BK8:BO8)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</row>
    <row r="66" spans="2:39" x14ac:dyDescent="0.3">
      <c r="B66" s="7"/>
      <c r="C66" s="1">
        <f t="shared" si="12"/>
        <v>1</v>
      </c>
      <c r="D66" s="1" t="s">
        <v>21</v>
      </c>
      <c r="E66" s="1">
        <v>1</v>
      </c>
      <c r="H66" s="1" cm="1">
        <f t="array" ref="H66">SUM(AA9:AE9*BR9:BV9-R9*BK9:BO9)</f>
        <v>2</v>
      </c>
      <c r="I66" s="1" t="s">
        <v>24</v>
      </c>
      <c r="J66" s="1">
        <v>0</v>
      </c>
      <c r="M66" s="1" cm="1">
        <f t="array" ref="M66">SUM(AA9:AE9*BR9:BV9-U9*BK9:BO9)</f>
        <v>-6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AM66" s="9"/>
    </row>
    <row r="67" spans="2:39" x14ac:dyDescent="0.3">
      <c r="B67" s="7"/>
      <c r="C67" s="1">
        <f t="shared" si="12"/>
        <v>1</v>
      </c>
      <c r="D67" s="1" t="s">
        <v>21</v>
      </c>
      <c r="E67" s="1">
        <v>1</v>
      </c>
      <c r="F67" s="38"/>
      <c r="H67" s="1" cm="1">
        <f t="array" ref="H67">SUM(AA10:AE10*BR10:BV10-R10*BK10:BO10)</f>
        <v>7</v>
      </c>
      <c r="I67" s="1" t="s">
        <v>24</v>
      </c>
      <c r="J67" s="1">
        <v>0</v>
      </c>
      <c r="M67" s="1" cm="1">
        <f t="array" ref="M67">SUM(AA10:AE10*BR10:BV10-U10*BK10:BO10)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39" x14ac:dyDescent="0.3">
      <c r="B68" s="10"/>
      <c r="C68" s="1">
        <f t="shared" si="12"/>
        <v>1</v>
      </c>
      <c r="D68" s="1" t="s">
        <v>21</v>
      </c>
      <c r="E68" s="1">
        <v>1</v>
      </c>
      <c r="F68" s="38"/>
      <c r="H68" s="1" cm="1">
        <f t="array" ref="H68">SUM(AA11:AE11*BR11:BV11-R11*BK11:BO11)</f>
        <v>3</v>
      </c>
      <c r="I68" s="1" t="s">
        <v>24</v>
      </c>
      <c r="J68" s="1">
        <v>0</v>
      </c>
      <c r="M68" s="1" cm="1">
        <f t="array" ref="M68">SUM(AA11:AE11*BR11:BV11-U11*BK11:BO11)</f>
        <v>-17</v>
      </c>
      <c r="N68" s="1" t="s">
        <v>21</v>
      </c>
      <c r="O68" s="1">
        <v>0</v>
      </c>
      <c r="AM68" s="9"/>
    </row>
    <row r="69" spans="2:39" x14ac:dyDescent="0.3">
      <c r="B69" s="10"/>
      <c r="C69" s="1">
        <f t="shared" si="12"/>
        <v>0</v>
      </c>
      <c r="D69" s="1" t="s">
        <v>21</v>
      </c>
      <c r="E69" s="1">
        <v>1</v>
      </c>
      <c r="F69" s="38"/>
      <c r="H69" s="1" cm="1">
        <f t="array" ref="H69">SUM(AA12:AE12*BR12:BV12-R12*BK12:BO12)</f>
        <v>0</v>
      </c>
      <c r="I69" s="1" t="s">
        <v>24</v>
      </c>
      <c r="J69" s="1">
        <v>0</v>
      </c>
      <c r="M69" s="1" cm="1">
        <f t="array" ref="M69">SUM(AA12:AE12*BR12:BV12-U12*BK12:BO12)</f>
        <v>0</v>
      </c>
      <c r="N69" s="1" t="s">
        <v>21</v>
      </c>
      <c r="O69" s="1">
        <v>0</v>
      </c>
      <c r="AM69" s="9"/>
    </row>
    <row r="70" spans="2:39" x14ac:dyDescent="0.3">
      <c r="B70" s="10"/>
      <c r="C70" s="1">
        <f t="shared" si="12"/>
        <v>1</v>
      </c>
      <c r="D70" s="1" t="s">
        <v>21</v>
      </c>
      <c r="E70" s="1">
        <v>1</v>
      </c>
      <c r="F70" s="38"/>
      <c r="H70" s="1" cm="1">
        <f t="array" ref="H70">SUM(AA13:AE13*BR13:BV13-R13*BK13:BO13)</f>
        <v>2</v>
      </c>
      <c r="I70" s="1" t="s">
        <v>24</v>
      </c>
      <c r="J70" s="1">
        <v>0</v>
      </c>
      <c r="M70" s="1" cm="1">
        <f t="array" ref="M70">SUM(AA13:AE13*BR13:BV13-U13*BK13:BO13)</f>
        <v>-15</v>
      </c>
      <c r="N70" s="1" t="s">
        <v>21</v>
      </c>
      <c r="O70" s="1">
        <v>0</v>
      </c>
      <c r="AM70" s="9"/>
    </row>
    <row r="71" spans="2:39" x14ac:dyDescent="0.3">
      <c r="B71" s="10"/>
      <c r="C71" s="1">
        <f t="shared" si="12"/>
        <v>1</v>
      </c>
      <c r="D71" s="1" t="s">
        <v>21</v>
      </c>
      <c r="E71" s="1">
        <v>1</v>
      </c>
      <c r="F71" s="38"/>
      <c r="H71" s="1" cm="1">
        <f t="array" ref="H71">SUM(AA14:AE14*BR14:BV14-R14*BK14:BO14)</f>
        <v>7</v>
      </c>
      <c r="I71" s="1" t="s">
        <v>24</v>
      </c>
      <c r="J71" s="1">
        <v>0</v>
      </c>
      <c r="M71" s="1" cm="1">
        <f t="array" ref="M71">SUM(AA14:AE14*BR14:BV14-U14*BK14:BO14)</f>
        <v>-2</v>
      </c>
      <c r="N71" s="1" t="s">
        <v>21</v>
      </c>
      <c r="O71" s="1">
        <v>0</v>
      </c>
      <c r="AM71" s="9"/>
    </row>
    <row r="72" spans="2:39" x14ac:dyDescent="0.3">
      <c r="B72" s="10"/>
      <c r="C72" s="1">
        <f t="shared" si="12"/>
        <v>1</v>
      </c>
      <c r="D72" s="1" t="s">
        <v>21</v>
      </c>
      <c r="E72" s="1">
        <v>1</v>
      </c>
      <c r="F72" s="38"/>
      <c r="H72" s="1" cm="1">
        <f t="array" ref="H72">SUM(AA15:AE15*BR15:BV15-R15*BK15:BO15)</f>
        <v>8</v>
      </c>
      <c r="I72" s="1" t="s">
        <v>24</v>
      </c>
      <c r="J72" s="1">
        <v>0</v>
      </c>
      <c r="M72" s="1" cm="1">
        <f t="array" ref="M72">SUM(AA15:AE15*BR15:BV15-U15*BK15:BO15)</f>
        <v>-2</v>
      </c>
      <c r="N72" s="1" t="s">
        <v>21</v>
      </c>
      <c r="O72" s="1">
        <v>0</v>
      </c>
      <c r="AM72" s="9"/>
    </row>
    <row r="73" spans="2:39" x14ac:dyDescent="0.3">
      <c r="B73" s="10"/>
      <c r="C73" s="1">
        <f t="shared" si="12"/>
        <v>0</v>
      </c>
      <c r="D73" s="1" t="s">
        <v>21</v>
      </c>
      <c r="E73" s="1">
        <v>1</v>
      </c>
      <c r="F73" s="38"/>
      <c r="H73" s="1" cm="1">
        <f t="array" ref="H73">SUM(AA16:AE16*BR16:BV16-R16*BK16:BO16)</f>
        <v>0</v>
      </c>
      <c r="I73" s="1" t="s">
        <v>24</v>
      </c>
      <c r="J73" s="1">
        <v>0</v>
      </c>
      <c r="M73" s="1" cm="1">
        <f t="array" ref="M73">SUM(AA16:AE16*BR16:BV16-U16*BK16:BO16)</f>
        <v>0</v>
      </c>
      <c r="N73" s="1" t="s">
        <v>21</v>
      </c>
      <c r="O73" s="1">
        <v>0</v>
      </c>
      <c r="AM73" s="9"/>
    </row>
    <row r="74" spans="2:39" x14ac:dyDescent="0.3">
      <c r="B74" s="10"/>
      <c r="C74" s="1">
        <f t="shared" si="12"/>
        <v>1</v>
      </c>
      <c r="D74" s="1" t="s">
        <v>21</v>
      </c>
      <c r="E74" s="1">
        <v>1</v>
      </c>
      <c r="F74" s="38"/>
      <c r="H74" s="1" cm="1">
        <f t="array" ref="H74">SUM(AA17:AE17*BR17:BV17-R17*BK17:BO17)</f>
        <v>14</v>
      </c>
      <c r="I74" s="1" t="s">
        <v>24</v>
      </c>
      <c r="J74" s="1">
        <v>0</v>
      </c>
      <c r="M74" s="1" cm="1">
        <f t="array" ref="M74">SUM(AA17:AE17*BR17:BV17-U17*BK17:BO17)</f>
        <v>-6</v>
      </c>
      <c r="N74" s="1" t="s">
        <v>21</v>
      </c>
      <c r="O74" s="1">
        <v>0</v>
      </c>
      <c r="AM74" s="9"/>
    </row>
    <row r="75" spans="2:39" x14ac:dyDescent="0.3">
      <c r="B75" s="10"/>
      <c r="C75" s="1">
        <f t="shared" si="12"/>
        <v>0</v>
      </c>
      <c r="D75" s="1" t="s">
        <v>21</v>
      </c>
      <c r="E75" s="1">
        <v>1</v>
      </c>
      <c r="F75" s="38"/>
      <c r="H75" s="1" cm="1">
        <f t="array" ref="H75">SUM(AA18:AE18*BR18:BV18-R18*BK18:BO18)</f>
        <v>0</v>
      </c>
      <c r="I75" s="1" t="s">
        <v>24</v>
      </c>
      <c r="J75" s="1">
        <v>0</v>
      </c>
      <c r="M75" s="1" cm="1">
        <f t="array" ref="M75">SUM(AA18:AE18*BR18:BV18-U18*BK18:BO18)</f>
        <v>0</v>
      </c>
      <c r="N75" s="1" t="s">
        <v>21</v>
      </c>
      <c r="O75" s="1">
        <v>0</v>
      </c>
      <c r="AM75" s="9"/>
    </row>
    <row r="76" spans="2:39" x14ac:dyDescent="0.3">
      <c r="B76" s="7"/>
      <c r="C76" s="1">
        <f t="shared" si="12"/>
        <v>1</v>
      </c>
      <c r="D76" s="1" t="s">
        <v>21</v>
      </c>
      <c r="E76" s="1">
        <v>1</v>
      </c>
      <c r="H76" s="1" cm="1">
        <f t="array" ref="H76">SUM(AA19:AE19*BR19:BV19-R19*BK19:BO19)</f>
        <v>5</v>
      </c>
      <c r="I76" s="1" t="s">
        <v>24</v>
      </c>
      <c r="J76" s="1">
        <v>0</v>
      </c>
      <c r="M76" s="1" cm="1">
        <f t="array" ref="M76">SUM(AA19:AE19*BR19:BV19-U19*BK19:BO19)</f>
        <v>-4</v>
      </c>
      <c r="N76" s="1" t="s">
        <v>21</v>
      </c>
      <c r="O76" s="1">
        <v>0</v>
      </c>
      <c r="AM76" s="9"/>
    </row>
    <row r="77" spans="2:39" x14ac:dyDescent="0.3">
      <c r="B77" s="7"/>
      <c r="C77" s="1">
        <f t="shared" si="12"/>
        <v>1</v>
      </c>
      <c r="D77" s="1" t="s">
        <v>21</v>
      </c>
      <c r="E77" s="1">
        <v>1</v>
      </c>
      <c r="H77" s="1" cm="1">
        <f t="array" ref="H77">SUM(AA20:AE20*BR20:BV20-R20*BK20:BO20)</f>
        <v>9</v>
      </c>
      <c r="I77" s="1" t="s">
        <v>24</v>
      </c>
      <c r="J77" s="1">
        <v>0</v>
      </c>
      <c r="M77" s="1" cm="1">
        <f t="array" ref="M77">SUM(AA20:AE20*BR20:BV20-U20*BK20:BO20)</f>
        <v>-7</v>
      </c>
      <c r="N77" s="1" t="s">
        <v>21</v>
      </c>
      <c r="O77" s="1">
        <v>0</v>
      </c>
      <c r="AM77" s="9"/>
    </row>
    <row r="78" spans="2:39" x14ac:dyDescent="0.3">
      <c r="B78" s="7"/>
      <c r="C78" s="1">
        <f t="shared" si="12"/>
        <v>0</v>
      </c>
      <c r="D78" s="1" t="s">
        <v>21</v>
      </c>
      <c r="E78" s="1">
        <v>1</v>
      </c>
      <c r="H78" s="1" cm="1">
        <f t="array" ref="H78">SUM(AA21:AE21*BR21:BV21-R21*BK21:BO21)</f>
        <v>0</v>
      </c>
      <c r="I78" s="1" t="s">
        <v>24</v>
      </c>
      <c r="J78" s="1">
        <v>0</v>
      </c>
      <c r="M78" s="1" cm="1">
        <f t="array" ref="M78">SUM(AA21:AE21*BR21:BV21-U21*BK21:BO21)</f>
        <v>0</v>
      </c>
      <c r="N78" s="1" t="s">
        <v>21</v>
      </c>
      <c r="O78" s="1">
        <v>0</v>
      </c>
      <c r="AM78" s="9"/>
    </row>
    <row r="79" spans="2:39" x14ac:dyDescent="0.3">
      <c r="B79" s="7"/>
      <c r="C79" s="1">
        <f t="shared" si="12"/>
        <v>0</v>
      </c>
      <c r="D79" s="1" t="s">
        <v>21</v>
      </c>
      <c r="E79" s="1">
        <v>1</v>
      </c>
      <c r="H79" s="1" cm="1">
        <f t="array" ref="H79">SUM(AA22:AE22*BR22:BV22-R22*BK22:BO22)</f>
        <v>0</v>
      </c>
      <c r="I79" s="1" t="s">
        <v>24</v>
      </c>
      <c r="J79" s="1">
        <v>0</v>
      </c>
      <c r="M79" s="1" cm="1">
        <f t="array" ref="M79">SUM(AA22:AE22*BR22:BV22-U22*BK22:BO22)</f>
        <v>0</v>
      </c>
      <c r="N79" s="1" t="s">
        <v>21</v>
      </c>
      <c r="O79" s="1">
        <v>0</v>
      </c>
      <c r="AM79" s="9"/>
    </row>
    <row r="80" spans="2:39" x14ac:dyDescent="0.3">
      <c r="B80" s="7"/>
      <c r="C80" s="1">
        <f t="shared" si="12"/>
        <v>0</v>
      </c>
      <c r="D80" s="1" t="s">
        <v>21</v>
      </c>
      <c r="E80" s="1">
        <v>1</v>
      </c>
      <c r="H80" s="1" cm="1">
        <f t="array" ref="H80">SUM(AA23:AE23*BR23:BV23-R23*BK23:BO23)</f>
        <v>0</v>
      </c>
      <c r="I80" s="1" t="s">
        <v>24</v>
      </c>
      <c r="J80" s="1">
        <v>0</v>
      </c>
      <c r="M80" s="1" cm="1">
        <f t="array" ref="M80">SUM(AA23:AE23*BR23:BV23-U23*BK23:BO23)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2"/>
        <v>0</v>
      </c>
      <c r="D81" s="1" t="s">
        <v>21</v>
      </c>
      <c r="E81" s="1">
        <v>1</v>
      </c>
      <c r="H81" s="1" cm="1">
        <f t="array" ref="H81">SUM(AA24:AE24*BR24:BV24-R24*BK24:BO24)</f>
        <v>0</v>
      </c>
      <c r="I81" s="1" t="s">
        <v>24</v>
      </c>
      <c r="J81" s="1">
        <v>0</v>
      </c>
      <c r="M81" s="1" cm="1">
        <f t="array" ref="M81">SUM(AA24:AE24*BR24:BV24-U24*BK24:BO24)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2"/>
        <v>0</v>
      </c>
      <c r="D82" s="1" t="s">
        <v>21</v>
      </c>
      <c r="E82" s="1">
        <v>1</v>
      </c>
      <c r="H82" s="1" cm="1">
        <f t="array" ref="H82">SUM(AA25:AE25*BR25:BV25-R25*BK25:BO25)</f>
        <v>0</v>
      </c>
      <c r="I82" s="1" t="s">
        <v>24</v>
      </c>
      <c r="J82" s="1">
        <v>0</v>
      </c>
      <c r="M82" s="1" cm="1">
        <f t="array" ref="M82">SUM(AA25:AE25*BR25:BV25-U25*BK25:BO25)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2"/>
        <v>1</v>
      </c>
      <c r="D83" s="1" t="s">
        <v>21</v>
      </c>
      <c r="E83" s="1">
        <v>1</v>
      </c>
      <c r="H83" s="1" cm="1">
        <f t="array" ref="H83">SUM(AA26:AE26*BR26:BV26-R26*BK26:BO26)</f>
        <v>4</v>
      </c>
      <c r="I83" s="1" t="s">
        <v>24</v>
      </c>
      <c r="J83" s="1">
        <v>0</v>
      </c>
      <c r="M83" s="1" cm="1">
        <f t="array" ref="M83">SUM(AA26:AE26*BR26:BV26-U26*BK26:BO26)</f>
        <v>-18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2"/>
        <v>1</v>
      </c>
      <c r="D84" s="1" t="s">
        <v>21</v>
      </c>
      <c r="E84" s="1">
        <v>1</v>
      </c>
      <c r="H84" s="1" cm="1">
        <f t="array" ref="H84">SUM(AA27:AE27*BR27:BV27-R27*BK27:BO27)</f>
        <v>2</v>
      </c>
      <c r="I84" s="1" t="s">
        <v>24</v>
      </c>
      <c r="J84" s="1">
        <v>0</v>
      </c>
      <c r="M84" s="1" cm="1">
        <f t="array" ref="M84">SUM(AA27:AE27*BR27:BV27-U27*BK27:BO27)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2"/>
        <v>1</v>
      </c>
      <c r="D85" s="1" t="s">
        <v>21</v>
      </c>
      <c r="E85" s="1">
        <v>1</v>
      </c>
      <c r="H85" s="1" cm="1">
        <f t="array" ref="H85">SUM(AA28:AE28*BR28:BV28-R28*BK28:BO28)</f>
        <v>2</v>
      </c>
      <c r="I85" s="1" t="s">
        <v>24</v>
      </c>
      <c r="J85" s="1">
        <v>0</v>
      </c>
      <c r="M85" s="1" cm="1">
        <f t="array" ref="M85">SUM(AA28:AE28*BR28:BV28-U28*BK28:BO28)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2"/>
        <v>1</v>
      </c>
      <c r="D86" s="1" t="s">
        <v>21</v>
      </c>
      <c r="E86" s="1">
        <v>1</v>
      </c>
      <c r="H86" s="1" cm="1">
        <f t="array" ref="H86">SUM(AA29:AE29*BR29:BV29-R29*BK29:BO29)</f>
        <v>14</v>
      </c>
      <c r="I86" s="1" t="s">
        <v>24</v>
      </c>
      <c r="J86" s="1">
        <v>0</v>
      </c>
      <c r="M86" s="1" cm="1">
        <f t="array" ref="M86">SUM(AA29:AE29*BR29:BV29-U29*BK29:BO29)</f>
        <v>-1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H87" s="1" cm="1">
        <f t="array" ref="H87">SUM(AA30:AE30*BR30:BV30-R30*BK30:BO30)</f>
        <v>10</v>
      </c>
      <c r="I87" s="1" t="s">
        <v>24</v>
      </c>
      <c r="J87" s="1">
        <v>0</v>
      </c>
      <c r="M87" s="1" cm="1">
        <f t="array" ref="M87">SUM(AA30:AE30*BR30:BV30-U30*BK30:BO30)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8DEF-4AAE-4BE2-894D-00095E376689}">
  <dimension ref="A1:GS197"/>
  <sheetViews>
    <sheetView topLeftCell="A40" zoomScale="55" zoomScaleNormal="55" workbookViewId="0">
      <selection activeCell="AH48" sqref="AH48:AH53"/>
    </sheetView>
  </sheetViews>
  <sheetFormatPr defaultRowHeight="14.4" x14ac:dyDescent="0.3"/>
  <sheetData>
    <row r="1" spans="1:201" ht="16.2" thickBot="1" x14ac:dyDescent="0.35">
      <c r="A1" s="1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01" ht="15.6" x14ac:dyDescent="0.3">
      <c r="A2" s="1"/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G2" s="1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I2" s="1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</row>
    <row r="3" spans="1:201" ht="15.6" x14ac:dyDescent="0.3">
      <c r="A3" s="1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"/>
      <c r="AG3" s="1"/>
      <c r="AH3" s="10" t="s">
        <v>27</v>
      </c>
      <c r="AI3" s="38"/>
      <c r="AJ3" s="38"/>
      <c r="AK3" s="38"/>
      <c r="AL3" s="38"/>
      <c r="AM3" s="38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9"/>
      <c r="BI3" s="1"/>
      <c r="BJ3" s="7"/>
      <c r="BK3" s="1"/>
      <c r="BL3" s="1"/>
      <c r="BM3" s="1"/>
      <c r="BN3" s="1"/>
      <c r="BO3" s="1"/>
      <c r="BP3" s="1"/>
      <c r="BQ3" s="1" t="s">
        <v>1163</v>
      </c>
      <c r="BR3" s="1"/>
      <c r="BS3" s="1"/>
      <c r="BT3" s="1"/>
      <c r="BU3" s="1"/>
      <c r="BV3" s="1"/>
      <c r="BW3" s="1"/>
      <c r="BX3" s="1" t="s">
        <v>1164</v>
      </c>
      <c r="BY3" s="1"/>
      <c r="BZ3" s="1"/>
      <c r="CA3" s="1"/>
      <c r="CB3" s="1"/>
      <c r="CC3" s="9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</row>
    <row r="4" spans="1:201" ht="15.6" x14ac:dyDescent="0.3">
      <c r="A4" s="1"/>
      <c r="B4" s="7"/>
      <c r="C4" s="1"/>
      <c r="D4" s="1"/>
      <c r="E4" s="1"/>
      <c r="F4" s="38"/>
      <c r="G4" s="38"/>
      <c r="H4" s="38"/>
      <c r="I4" s="38"/>
      <c r="J4" s="38"/>
      <c r="K4" s="3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8</v>
      </c>
      <c r="AA4" s="1"/>
      <c r="AB4" s="1"/>
      <c r="AC4" s="1"/>
      <c r="AD4" s="1"/>
      <c r="AE4" s="1"/>
      <c r="AF4" s="9"/>
      <c r="AG4" s="63"/>
      <c r="AH4" s="7" t="s">
        <v>28</v>
      </c>
      <c r="AI4" s="38"/>
      <c r="AJ4" s="38"/>
      <c r="AK4" s="38"/>
      <c r="AL4" s="38"/>
      <c r="AM4" s="38"/>
      <c r="AN4" s="1"/>
      <c r="AO4" s="1" t="s">
        <v>31</v>
      </c>
      <c r="AP4" s="38"/>
      <c r="AQ4" s="38"/>
      <c r="AR4" s="38"/>
      <c r="AS4" s="38"/>
      <c r="AT4" s="38"/>
      <c r="AU4" s="1"/>
      <c r="AV4" s="1" t="s">
        <v>30</v>
      </c>
      <c r="AW4" s="38"/>
      <c r="AX4" s="38"/>
      <c r="AY4" s="38"/>
      <c r="AZ4" s="38"/>
      <c r="BA4" s="38"/>
      <c r="BB4" s="1"/>
      <c r="BC4" s="1" t="s">
        <v>29</v>
      </c>
      <c r="BD4" s="38"/>
      <c r="BE4" s="38"/>
      <c r="BF4" s="38"/>
      <c r="BG4" s="38"/>
      <c r="BH4" s="34"/>
      <c r="BI4" s="1"/>
      <c r="BJ4" s="7" t="s">
        <v>35</v>
      </c>
      <c r="BK4" s="1"/>
      <c r="BL4" s="1"/>
      <c r="BM4" s="1"/>
      <c r="BN4" s="1"/>
      <c r="BO4" s="1"/>
      <c r="BP4" s="1"/>
      <c r="BQ4" s="1" t="s">
        <v>1162</v>
      </c>
      <c r="BR4" s="1"/>
      <c r="BS4" s="1"/>
      <c r="BT4" s="1"/>
      <c r="BU4" s="1"/>
      <c r="BV4" s="58"/>
      <c r="BW4" s="1"/>
      <c r="BX4" s="1" t="s">
        <v>1161</v>
      </c>
      <c r="BY4" s="1"/>
      <c r="BZ4" s="1"/>
      <c r="CA4" s="1"/>
      <c r="CB4" s="1"/>
      <c r="CC4" s="9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</row>
    <row r="5" spans="1:201" ht="15.6" x14ac:dyDescent="0.3">
      <c r="A5" s="1"/>
      <c r="B5" s="13"/>
      <c r="C5" s="38" t="s">
        <v>9</v>
      </c>
      <c r="D5" s="1"/>
      <c r="E5" s="64"/>
      <c r="F5" s="38" t="s">
        <v>10</v>
      </c>
      <c r="G5" s="1"/>
      <c r="H5" s="64"/>
      <c r="I5" s="38" t="s">
        <v>11</v>
      </c>
      <c r="J5" s="1"/>
      <c r="K5" s="64"/>
      <c r="L5" s="38" t="s">
        <v>12</v>
      </c>
      <c r="M5" s="1"/>
      <c r="N5" s="64"/>
      <c r="O5" s="38" t="s">
        <v>13</v>
      </c>
      <c r="P5" s="1"/>
      <c r="Q5" s="64"/>
      <c r="R5" s="38" t="s">
        <v>14</v>
      </c>
      <c r="S5" s="1"/>
      <c r="T5" s="63"/>
      <c r="U5" s="38" t="s">
        <v>15</v>
      </c>
      <c r="V5" s="1"/>
      <c r="W5" s="1"/>
      <c r="X5" s="1"/>
      <c r="Y5" s="1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G5" s="1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1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1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1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I5" s="1"/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1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1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</row>
    <row r="6" spans="1:201" ht="15.6" x14ac:dyDescent="0.3">
      <c r="A6" s="1"/>
      <c r="B6" s="41">
        <v>1</v>
      </c>
      <c r="C6" s="65">
        <v>15</v>
      </c>
      <c r="D6" s="1"/>
      <c r="E6" s="42">
        <v>1</v>
      </c>
      <c r="F6" s="66">
        <v>10</v>
      </c>
      <c r="G6" s="1"/>
      <c r="H6" s="42">
        <v>1</v>
      </c>
      <c r="I6" s="64">
        <v>7</v>
      </c>
      <c r="J6" s="1"/>
      <c r="K6" s="42">
        <v>1</v>
      </c>
      <c r="L6" s="64">
        <v>4</v>
      </c>
      <c r="M6" s="1"/>
      <c r="N6" s="42">
        <v>1</v>
      </c>
      <c r="O6" s="64">
        <v>0.5</v>
      </c>
      <c r="P6" s="1"/>
      <c r="Q6" s="42">
        <v>1</v>
      </c>
      <c r="R6" s="64">
        <v>2</v>
      </c>
      <c r="S6" s="1"/>
      <c r="T6" s="42">
        <v>1</v>
      </c>
      <c r="U6" s="65">
        <v>15</v>
      </c>
      <c r="V6" s="1"/>
      <c r="W6" s="1"/>
      <c r="X6" s="1"/>
      <c r="Y6" s="1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G6" s="1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1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I6" s="1"/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P6" s="1"/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W6" s="1"/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</row>
    <row r="7" spans="1:201" ht="15.6" x14ac:dyDescent="0.3">
      <c r="A7" s="1"/>
      <c r="B7" s="41">
        <v>2</v>
      </c>
      <c r="C7" s="65">
        <v>8</v>
      </c>
      <c r="D7" s="1"/>
      <c r="E7" s="42">
        <v>2</v>
      </c>
      <c r="F7" s="67">
        <v>9</v>
      </c>
      <c r="G7" s="1"/>
      <c r="H7" s="42">
        <v>2</v>
      </c>
      <c r="I7" s="64">
        <v>6</v>
      </c>
      <c r="J7" s="1"/>
      <c r="K7" s="42">
        <v>2</v>
      </c>
      <c r="L7" s="64">
        <v>10</v>
      </c>
      <c r="M7" s="1"/>
      <c r="N7" s="42">
        <v>2</v>
      </c>
      <c r="O7" s="64">
        <v>0.2</v>
      </c>
      <c r="P7" s="1"/>
      <c r="Q7" s="42">
        <v>2</v>
      </c>
      <c r="R7" s="64">
        <v>1</v>
      </c>
      <c r="S7" s="1"/>
      <c r="T7" s="42">
        <v>2</v>
      </c>
      <c r="U7" s="65">
        <v>19</v>
      </c>
      <c r="V7" s="1"/>
      <c r="W7" s="1"/>
      <c r="X7" s="1"/>
      <c r="Y7" s="1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G7" s="1"/>
      <c r="AH7" s="22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N7" s="1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I7" s="1"/>
      <c r="BJ7" s="22">
        <v>2</v>
      </c>
      <c r="BK7" s="16">
        <f t="shared" ref="BK7:BO30" si="8">AI7+AP7+AW7+BD7</f>
        <v>1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0</v>
      </c>
      <c r="BP7" s="1"/>
      <c r="BQ7" s="23">
        <v>2</v>
      </c>
      <c r="BR7" s="16">
        <f t="shared" ref="BR7:BV30" si="9">AI7+AP7*2+AW7*3+BD7*4</f>
        <v>1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0</v>
      </c>
      <c r="BW7" s="1"/>
      <c r="BX7" s="23">
        <v>2</v>
      </c>
      <c r="BY7" s="16">
        <f t="shared" ref="BY7:CC30" si="10">AI7+AP7*POWER(2,$O7)+AW7*POWER(3,$O7)+BD7*POWER(4,$O7)</f>
        <v>1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0</v>
      </c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</row>
    <row r="8" spans="1:201" ht="15.6" x14ac:dyDescent="0.3">
      <c r="A8" s="1"/>
      <c r="B8" s="41">
        <v>3</v>
      </c>
      <c r="C8" s="65">
        <v>12</v>
      </c>
      <c r="D8" s="1"/>
      <c r="E8" s="42">
        <v>3</v>
      </c>
      <c r="F8" s="67">
        <v>5</v>
      </c>
      <c r="G8" s="1"/>
      <c r="H8" s="42">
        <v>3</v>
      </c>
      <c r="I8" s="64">
        <v>10</v>
      </c>
      <c r="J8" s="1"/>
      <c r="K8" s="42">
        <v>3</v>
      </c>
      <c r="L8" s="64">
        <v>10</v>
      </c>
      <c r="M8" s="1"/>
      <c r="N8" s="42">
        <v>3</v>
      </c>
      <c r="O8" s="64">
        <v>0.3</v>
      </c>
      <c r="P8" s="1"/>
      <c r="Q8" s="42">
        <v>3</v>
      </c>
      <c r="R8" s="64">
        <v>1</v>
      </c>
      <c r="S8" s="1"/>
      <c r="T8" s="42">
        <v>3</v>
      </c>
      <c r="U8" s="65">
        <v>23</v>
      </c>
      <c r="V8" s="1"/>
      <c r="W8" s="1"/>
      <c r="X8" s="1"/>
      <c r="Y8" s="1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G8" s="1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1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I8" s="1"/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P8" s="1"/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W8" s="1"/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</row>
    <row r="9" spans="1:201" ht="15.6" x14ac:dyDescent="0.3">
      <c r="A9" s="1"/>
      <c r="B9" s="41">
        <v>4</v>
      </c>
      <c r="C9" s="65">
        <v>6</v>
      </c>
      <c r="D9" s="1"/>
      <c r="E9" s="42">
        <v>4</v>
      </c>
      <c r="F9" s="67">
        <v>7</v>
      </c>
      <c r="G9" s="1"/>
      <c r="H9" s="42">
        <v>4</v>
      </c>
      <c r="I9" s="64">
        <v>7</v>
      </c>
      <c r="J9" s="1"/>
      <c r="K9" s="42">
        <v>4</v>
      </c>
      <c r="L9" s="64">
        <v>7</v>
      </c>
      <c r="M9" s="1"/>
      <c r="N9" s="42">
        <v>4</v>
      </c>
      <c r="O9" s="64">
        <v>0.2</v>
      </c>
      <c r="P9" s="1"/>
      <c r="Q9" s="42">
        <v>4</v>
      </c>
      <c r="R9" s="64">
        <v>1</v>
      </c>
      <c r="S9" s="1"/>
      <c r="T9" s="42">
        <v>4</v>
      </c>
      <c r="U9" s="65">
        <v>9</v>
      </c>
      <c r="V9" s="1"/>
      <c r="W9" s="1"/>
      <c r="X9" s="1"/>
      <c r="Y9" s="1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G9" s="1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1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I9" s="1"/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1</v>
      </c>
      <c r="BN9" s="16">
        <f t="shared" si="0"/>
        <v>0</v>
      </c>
      <c r="BO9" s="16">
        <f t="shared" si="0"/>
        <v>0</v>
      </c>
      <c r="BP9" s="1"/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1</v>
      </c>
      <c r="BU9" s="16">
        <f t="shared" si="1"/>
        <v>0</v>
      </c>
      <c r="BV9" s="16">
        <f t="shared" si="1"/>
        <v>0</v>
      </c>
      <c r="BW9" s="1"/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1</v>
      </c>
      <c r="CB9" s="16">
        <f t="shared" si="2"/>
        <v>0</v>
      </c>
      <c r="CC9" s="19">
        <f t="shared" si="2"/>
        <v>0</v>
      </c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</row>
    <row r="10" spans="1:201" ht="15.6" x14ac:dyDescent="0.3">
      <c r="A10" s="1"/>
      <c r="B10" s="41">
        <v>5</v>
      </c>
      <c r="C10" s="65">
        <v>11</v>
      </c>
      <c r="D10" s="1"/>
      <c r="E10" s="42">
        <v>5</v>
      </c>
      <c r="F10" s="67">
        <v>9</v>
      </c>
      <c r="G10" s="1"/>
      <c r="H10" s="42">
        <v>5</v>
      </c>
      <c r="I10" s="64">
        <v>9</v>
      </c>
      <c r="J10" s="1"/>
      <c r="K10" s="42">
        <v>5</v>
      </c>
      <c r="L10" s="64">
        <v>5</v>
      </c>
      <c r="M10" s="1"/>
      <c r="N10" s="42">
        <v>5</v>
      </c>
      <c r="O10" s="64">
        <v>0.9</v>
      </c>
      <c r="P10" s="1"/>
      <c r="Q10" s="42">
        <v>5</v>
      </c>
      <c r="R10" s="64">
        <v>1</v>
      </c>
      <c r="S10" s="1"/>
      <c r="T10" s="42">
        <v>5</v>
      </c>
      <c r="U10" s="65">
        <v>16</v>
      </c>
      <c r="V10" s="1"/>
      <c r="W10" s="1"/>
      <c r="X10" s="1"/>
      <c r="Y10" s="1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G10" s="1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"/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I10" s="1"/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P10" s="1"/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W10" s="1"/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</row>
    <row r="11" spans="1:201" ht="15.6" x14ac:dyDescent="0.3">
      <c r="A11" s="1"/>
      <c r="B11" s="41">
        <v>6</v>
      </c>
      <c r="C11" s="65">
        <v>14</v>
      </c>
      <c r="D11" s="1"/>
      <c r="E11" s="42">
        <v>6</v>
      </c>
      <c r="F11" s="67">
        <v>6</v>
      </c>
      <c r="G11" s="1"/>
      <c r="H11" s="42">
        <v>6</v>
      </c>
      <c r="I11" s="64">
        <v>8</v>
      </c>
      <c r="J11" s="1"/>
      <c r="K11" s="42">
        <v>6</v>
      </c>
      <c r="L11" s="64">
        <v>2</v>
      </c>
      <c r="M11" s="1"/>
      <c r="N11" s="42">
        <v>6</v>
      </c>
      <c r="O11" s="64">
        <v>0.4</v>
      </c>
      <c r="P11" s="1"/>
      <c r="Q11" s="42">
        <v>6</v>
      </c>
      <c r="R11" s="64">
        <v>1</v>
      </c>
      <c r="S11" s="1"/>
      <c r="T11" s="42">
        <v>6</v>
      </c>
      <c r="U11" s="65">
        <v>21</v>
      </c>
      <c r="V11" s="1"/>
      <c r="W11" s="1"/>
      <c r="X11" s="1"/>
      <c r="Y11" s="1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G11" s="1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N11" s="1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I11" s="1"/>
      <c r="BJ11" s="22">
        <v>6</v>
      </c>
      <c r="BK11" s="16">
        <f t="shared" si="8"/>
        <v>1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P11" s="1"/>
      <c r="BQ11" s="23">
        <v>6</v>
      </c>
      <c r="BR11" s="16">
        <f t="shared" si="9"/>
        <v>1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W11" s="1"/>
      <c r="BX11" s="23">
        <v>6</v>
      </c>
      <c r="BY11" s="16">
        <f t="shared" si="10"/>
        <v>1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</row>
    <row r="12" spans="1:201" ht="15.6" x14ac:dyDescent="0.3">
      <c r="A12" s="1"/>
      <c r="B12" s="41">
        <v>7</v>
      </c>
      <c r="C12" s="65">
        <v>14</v>
      </c>
      <c r="D12" s="1"/>
      <c r="E12" s="42">
        <v>7</v>
      </c>
      <c r="F12" s="67">
        <v>9</v>
      </c>
      <c r="G12" s="1"/>
      <c r="H12" s="42">
        <v>7</v>
      </c>
      <c r="I12" s="64">
        <v>6</v>
      </c>
      <c r="J12" s="1"/>
      <c r="K12" s="42">
        <v>7</v>
      </c>
      <c r="L12" s="64">
        <v>1</v>
      </c>
      <c r="M12" s="1"/>
      <c r="N12" s="42">
        <v>7</v>
      </c>
      <c r="O12" s="64">
        <v>0.5</v>
      </c>
      <c r="P12" s="1"/>
      <c r="Q12" s="42">
        <v>7</v>
      </c>
      <c r="R12" s="64">
        <v>1</v>
      </c>
      <c r="S12" s="1"/>
      <c r="T12" s="42">
        <v>7</v>
      </c>
      <c r="U12" s="65">
        <v>11</v>
      </c>
      <c r="V12" s="1"/>
      <c r="W12" s="1"/>
      <c r="X12" s="1"/>
      <c r="Y12" s="1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G12" s="1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I12" s="1"/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P12" s="1"/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W12" s="1"/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</row>
    <row r="13" spans="1:201" ht="15.6" x14ac:dyDescent="0.3">
      <c r="A13" s="1"/>
      <c r="B13" s="41">
        <v>8</v>
      </c>
      <c r="C13" s="65">
        <v>6</v>
      </c>
      <c r="D13" s="1"/>
      <c r="E13" s="42">
        <v>8</v>
      </c>
      <c r="F13" s="67">
        <v>5</v>
      </c>
      <c r="G13" s="1"/>
      <c r="H13" s="42">
        <v>8</v>
      </c>
      <c r="I13" s="64">
        <v>9</v>
      </c>
      <c r="J13" s="1"/>
      <c r="K13" s="42">
        <v>8</v>
      </c>
      <c r="L13" s="64">
        <v>6</v>
      </c>
      <c r="M13" s="1"/>
      <c r="N13" s="42">
        <v>8</v>
      </c>
      <c r="O13" s="64">
        <v>0.3</v>
      </c>
      <c r="P13" s="1"/>
      <c r="Q13" s="42">
        <v>8</v>
      </c>
      <c r="R13" s="64">
        <v>1</v>
      </c>
      <c r="S13" s="1"/>
      <c r="T13" s="42">
        <v>8</v>
      </c>
      <c r="U13" s="65">
        <v>18</v>
      </c>
      <c r="V13" s="1"/>
      <c r="W13" s="1"/>
      <c r="X13" s="1"/>
      <c r="Y13" s="1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G13" s="1"/>
      <c r="AH13" s="22">
        <v>8</v>
      </c>
      <c r="AI13" s="16">
        <v>1</v>
      </c>
      <c r="AJ13" s="16">
        <v>0</v>
      </c>
      <c r="AK13" s="16">
        <v>0</v>
      </c>
      <c r="AL13" s="16">
        <v>0</v>
      </c>
      <c r="AM13" s="16">
        <v>0</v>
      </c>
      <c r="AN13" s="1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I13" s="1"/>
      <c r="BJ13" s="22">
        <v>8</v>
      </c>
      <c r="BK13" s="16">
        <f t="shared" si="8"/>
        <v>1</v>
      </c>
      <c r="BL13" s="16">
        <f t="shared" si="0"/>
        <v>0</v>
      </c>
      <c r="BM13" s="16">
        <f t="shared" si="0"/>
        <v>0</v>
      </c>
      <c r="BN13" s="16">
        <f t="shared" si="0"/>
        <v>0</v>
      </c>
      <c r="BO13" s="16">
        <f t="shared" si="0"/>
        <v>0</v>
      </c>
      <c r="BP13" s="1"/>
      <c r="BQ13" s="23">
        <v>8</v>
      </c>
      <c r="BR13" s="16">
        <f t="shared" si="9"/>
        <v>1</v>
      </c>
      <c r="BS13" s="16">
        <f t="shared" si="1"/>
        <v>0</v>
      </c>
      <c r="BT13" s="16">
        <f t="shared" si="1"/>
        <v>0</v>
      </c>
      <c r="BU13" s="16">
        <f t="shared" si="1"/>
        <v>0</v>
      </c>
      <c r="BV13" s="16">
        <f t="shared" si="1"/>
        <v>0</v>
      </c>
      <c r="BW13" s="1"/>
      <c r="BX13" s="23">
        <v>8</v>
      </c>
      <c r="BY13" s="16">
        <f t="shared" si="10"/>
        <v>1</v>
      </c>
      <c r="BZ13" s="16">
        <f t="shared" si="2"/>
        <v>0</v>
      </c>
      <c r="CA13" s="16">
        <f t="shared" si="2"/>
        <v>0</v>
      </c>
      <c r="CB13" s="16">
        <f t="shared" si="2"/>
        <v>0</v>
      </c>
      <c r="CC13" s="19">
        <f t="shared" si="2"/>
        <v>0</v>
      </c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</row>
    <row r="14" spans="1:201" ht="15.6" x14ac:dyDescent="0.3">
      <c r="A14" s="1"/>
      <c r="B14" s="41">
        <v>9</v>
      </c>
      <c r="C14" s="65">
        <v>5</v>
      </c>
      <c r="D14" s="1"/>
      <c r="E14" s="42">
        <v>9</v>
      </c>
      <c r="F14" s="67">
        <v>9</v>
      </c>
      <c r="G14" s="1"/>
      <c r="H14" s="42">
        <v>9</v>
      </c>
      <c r="I14" s="64">
        <v>9</v>
      </c>
      <c r="J14" s="1"/>
      <c r="K14" s="42">
        <v>9</v>
      </c>
      <c r="L14" s="64">
        <v>7</v>
      </c>
      <c r="M14" s="1"/>
      <c r="N14" s="42">
        <v>9</v>
      </c>
      <c r="O14" s="64">
        <v>0.8</v>
      </c>
      <c r="P14" s="1"/>
      <c r="Q14" s="42">
        <v>9</v>
      </c>
      <c r="R14" s="64">
        <v>2</v>
      </c>
      <c r="S14" s="1"/>
      <c r="T14" s="42">
        <v>9</v>
      </c>
      <c r="U14" s="65">
        <v>11</v>
      </c>
      <c r="V14" s="1"/>
      <c r="W14" s="1"/>
      <c r="X14" s="1"/>
      <c r="Y14" s="1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G14" s="1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"/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B14" s="1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I14" s="1"/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1</v>
      </c>
      <c r="BO14" s="16">
        <f t="shared" si="0"/>
        <v>0</v>
      </c>
      <c r="BP14" s="1"/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3</v>
      </c>
      <c r="BV14" s="16">
        <f t="shared" si="1"/>
        <v>0</v>
      </c>
      <c r="BW14" s="1"/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2.4082246852806923</v>
      </c>
      <c r="CC14" s="19">
        <f t="shared" si="2"/>
        <v>0</v>
      </c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</row>
    <row r="15" spans="1:201" ht="15.6" x14ac:dyDescent="0.3">
      <c r="A15" s="1"/>
      <c r="B15" s="41">
        <v>10</v>
      </c>
      <c r="C15" s="65">
        <v>11</v>
      </c>
      <c r="D15" s="1"/>
      <c r="E15" s="42">
        <v>10</v>
      </c>
      <c r="F15" s="66">
        <v>10</v>
      </c>
      <c r="G15" s="1"/>
      <c r="H15" s="42">
        <v>10</v>
      </c>
      <c r="I15" s="64">
        <v>9</v>
      </c>
      <c r="J15" s="1"/>
      <c r="K15" s="42">
        <v>10</v>
      </c>
      <c r="L15" s="64">
        <v>3</v>
      </c>
      <c r="M15" s="1"/>
      <c r="N15" s="42">
        <v>10</v>
      </c>
      <c r="O15" s="64">
        <v>0.8</v>
      </c>
      <c r="P15" s="1"/>
      <c r="Q15" s="42">
        <v>10</v>
      </c>
      <c r="R15" s="64">
        <v>1</v>
      </c>
      <c r="S15" s="1"/>
      <c r="T15" s="42">
        <v>10</v>
      </c>
      <c r="U15" s="65">
        <v>11</v>
      </c>
      <c r="V15" s="1"/>
      <c r="W15" s="1"/>
      <c r="X15" s="1"/>
      <c r="Y15" s="1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G15" s="1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"/>
      <c r="AV15" s="23">
        <v>10</v>
      </c>
      <c r="AW15" s="16">
        <v>1</v>
      </c>
      <c r="AX15" s="16">
        <v>0</v>
      </c>
      <c r="AY15" s="16">
        <v>0</v>
      </c>
      <c r="AZ15" s="16">
        <v>0</v>
      </c>
      <c r="BA15" s="16">
        <v>0</v>
      </c>
      <c r="BB15" s="1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I15" s="1"/>
      <c r="BJ15" s="22">
        <v>10</v>
      </c>
      <c r="BK15" s="16">
        <f t="shared" si="8"/>
        <v>1</v>
      </c>
      <c r="BL15" s="16">
        <f t="shared" si="0"/>
        <v>0</v>
      </c>
      <c r="BM15" s="16">
        <f t="shared" si="0"/>
        <v>0</v>
      </c>
      <c r="BN15" s="16">
        <f t="shared" si="0"/>
        <v>0</v>
      </c>
      <c r="BO15" s="16">
        <f t="shared" si="0"/>
        <v>0</v>
      </c>
      <c r="BP15" s="1"/>
      <c r="BQ15" s="23">
        <v>10</v>
      </c>
      <c r="BR15" s="16">
        <f t="shared" si="9"/>
        <v>3</v>
      </c>
      <c r="BS15" s="16">
        <f t="shared" si="1"/>
        <v>0</v>
      </c>
      <c r="BT15" s="16">
        <f t="shared" si="1"/>
        <v>0</v>
      </c>
      <c r="BU15" s="16">
        <f t="shared" si="1"/>
        <v>0</v>
      </c>
      <c r="BV15" s="16">
        <f t="shared" si="1"/>
        <v>0</v>
      </c>
      <c r="BW15" s="1"/>
      <c r="BX15" s="23">
        <v>10</v>
      </c>
      <c r="BY15" s="16">
        <f t="shared" si="10"/>
        <v>2.4082246852806923</v>
      </c>
      <c r="BZ15" s="16">
        <f t="shared" si="2"/>
        <v>0</v>
      </c>
      <c r="CA15" s="16">
        <f t="shared" si="2"/>
        <v>0</v>
      </c>
      <c r="CB15" s="16">
        <f t="shared" si="2"/>
        <v>0</v>
      </c>
      <c r="CC15" s="19">
        <f t="shared" si="2"/>
        <v>0</v>
      </c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</row>
    <row r="16" spans="1:201" ht="15.6" x14ac:dyDescent="0.3">
      <c r="A16" s="1"/>
      <c r="B16" s="41">
        <v>11</v>
      </c>
      <c r="C16" s="65">
        <v>12</v>
      </c>
      <c r="D16" s="1"/>
      <c r="E16" s="42">
        <v>11</v>
      </c>
      <c r="F16" s="67">
        <v>7</v>
      </c>
      <c r="G16" s="1"/>
      <c r="H16" s="42">
        <v>11</v>
      </c>
      <c r="I16" s="64">
        <v>5</v>
      </c>
      <c r="J16" s="1"/>
      <c r="K16" s="42">
        <v>11</v>
      </c>
      <c r="L16" s="64">
        <v>4</v>
      </c>
      <c r="M16" s="1"/>
      <c r="N16" s="42">
        <v>11</v>
      </c>
      <c r="O16" s="64">
        <v>0.1</v>
      </c>
      <c r="P16" s="1"/>
      <c r="Q16" s="42">
        <v>11</v>
      </c>
      <c r="R16" s="64">
        <v>2</v>
      </c>
      <c r="S16" s="1"/>
      <c r="T16" s="42">
        <v>11</v>
      </c>
      <c r="U16" s="65">
        <v>17</v>
      </c>
      <c r="V16" s="1"/>
      <c r="W16" s="1"/>
      <c r="X16" s="1"/>
      <c r="Y16" s="1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G16" s="1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I16" s="1"/>
      <c r="BJ16" s="22">
        <v>11</v>
      </c>
      <c r="BK16" s="16">
        <f t="shared" si="8"/>
        <v>0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P16" s="1"/>
      <c r="BQ16" s="23">
        <v>11</v>
      </c>
      <c r="BR16" s="16">
        <f t="shared" si="9"/>
        <v>0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W16" s="1"/>
      <c r="BX16" s="23">
        <v>11</v>
      </c>
      <c r="BY16" s="16">
        <f t="shared" si="10"/>
        <v>0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</row>
    <row r="17" spans="1:201" ht="15.6" x14ac:dyDescent="0.3">
      <c r="A17" s="1"/>
      <c r="B17" s="41">
        <v>12</v>
      </c>
      <c r="C17" s="65">
        <v>8</v>
      </c>
      <c r="D17" s="1"/>
      <c r="E17" s="42">
        <v>12</v>
      </c>
      <c r="F17" s="67">
        <v>5</v>
      </c>
      <c r="G17" s="1"/>
      <c r="H17" s="42">
        <v>12</v>
      </c>
      <c r="I17" s="64">
        <v>6</v>
      </c>
      <c r="J17" s="1"/>
      <c r="K17" s="42">
        <v>12</v>
      </c>
      <c r="L17" s="64">
        <v>7</v>
      </c>
      <c r="M17" s="1"/>
      <c r="N17" s="42">
        <v>12</v>
      </c>
      <c r="O17" s="64">
        <v>0.8</v>
      </c>
      <c r="P17" s="1"/>
      <c r="Q17" s="42">
        <v>12</v>
      </c>
      <c r="R17" s="64">
        <v>2</v>
      </c>
      <c r="S17" s="1"/>
      <c r="T17" s="42">
        <v>12</v>
      </c>
      <c r="U17" s="65">
        <v>22</v>
      </c>
      <c r="V17" s="1"/>
      <c r="W17" s="1"/>
      <c r="X17" s="1"/>
      <c r="Y17" s="1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G17" s="1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I17" s="1"/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P17" s="1"/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W17" s="1"/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</row>
    <row r="18" spans="1:201" ht="15.6" x14ac:dyDescent="0.3">
      <c r="A18" s="1"/>
      <c r="B18" s="41">
        <v>13</v>
      </c>
      <c r="C18" s="65">
        <v>11</v>
      </c>
      <c r="D18" s="1"/>
      <c r="E18" s="42">
        <v>13</v>
      </c>
      <c r="F18" s="67">
        <v>7</v>
      </c>
      <c r="G18" s="1"/>
      <c r="H18" s="42">
        <v>13</v>
      </c>
      <c r="I18" s="64">
        <v>6</v>
      </c>
      <c r="J18" s="1"/>
      <c r="K18" s="42">
        <v>13</v>
      </c>
      <c r="L18" s="64">
        <v>2</v>
      </c>
      <c r="M18" s="1"/>
      <c r="N18" s="42">
        <v>13</v>
      </c>
      <c r="O18" s="64">
        <v>0.1</v>
      </c>
      <c r="P18" s="1"/>
      <c r="Q18" s="42">
        <v>13</v>
      </c>
      <c r="R18" s="64">
        <v>1</v>
      </c>
      <c r="S18" s="1"/>
      <c r="T18" s="42">
        <v>13</v>
      </c>
      <c r="U18" s="65">
        <v>12</v>
      </c>
      <c r="V18" s="1"/>
      <c r="W18" s="1"/>
      <c r="X18" s="1"/>
      <c r="Y18" s="1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G18" s="1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I18" s="1"/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P18" s="1"/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W18" s="1"/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</row>
    <row r="19" spans="1:201" ht="15.6" x14ac:dyDescent="0.3">
      <c r="A19" s="1"/>
      <c r="B19" s="41">
        <v>14</v>
      </c>
      <c r="C19" s="65">
        <v>13</v>
      </c>
      <c r="D19" s="1"/>
      <c r="E19" s="42">
        <v>14</v>
      </c>
      <c r="F19" s="67">
        <v>8</v>
      </c>
      <c r="G19" s="1"/>
      <c r="H19" s="42">
        <v>14</v>
      </c>
      <c r="I19" s="64">
        <v>9</v>
      </c>
      <c r="J19" s="1"/>
      <c r="K19" s="42">
        <v>14</v>
      </c>
      <c r="L19" s="64">
        <v>9</v>
      </c>
      <c r="M19" s="1"/>
      <c r="N19" s="42">
        <v>14</v>
      </c>
      <c r="O19" s="64">
        <v>0.8</v>
      </c>
      <c r="P19" s="1"/>
      <c r="Q19" s="42">
        <v>14</v>
      </c>
      <c r="R19" s="64">
        <v>3</v>
      </c>
      <c r="S19" s="1"/>
      <c r="T19" s="42">
        <v>14</v>
      </c>
      <c r="U19" s="65">
        <v>12</v>
      </c>
      <c r="V19" s="1"/>
      <c r="W19" s="1"/>
      <c r="X19" s="1"/>
      <c r="Y19" s="1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G19" s="1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I19" s="1"/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P19" s="1"/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W19" s="1"/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</row>
    <row r="20" spans="1:201" ht="15.6" x14ac:dyDescent="0.3">
      <c r="A20" s="1"/>
      <c r="B20" s="41">
        <v>15</v>
      </c>
      <c r="C20" s="65">
        <v>7</v>
      </c>
      <c r="D20" s="1"/>
      <c r="E20" s="42">
        <v>15</v>
      </c>
      <c r="F20" s="67">
        <v>9</v>
      </c>
      <c r="G20" s="1"/>
      <c r="H20" s="42">
        <v>15</v>
      </c>
      <c r="I20" s="64">
        <v>8</v>
      </c>
      <c r="J20" s="1"/>
      <c r="K20" s="42">
        <v>15</v>
      </c>
      <c r="L20" s="64">
        <v>11</v>
      </c>
      <c r="M20" s="1"/>
      <c r="N20" s="42">
        <v>15</v>
      </c>
      <c r="O20" s="64">
        <v>0.8</v>
      </c>
      <c r="P20" s="1"/>
      <c r="Q20" s="42">
        <v>15</v>
      </c>
      <c r="R20" s="64">
        <v>3</v>
      </c>
      <c r="S20" s="1"/>
      <c r="T20" s="42">
        <v>15</v>
      </c>
      <c r="U20" s="65">
        <v>19</v>
      </c>
      <c r="V20" s="1"/>
      <c r="W20" s="1"/>
      <c r="X20" s="1"/>
      <c r="Y20" s="1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G20" s="1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"/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I20" s="1"/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P20" s="1"/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W20" s="1"/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</row>
    <row r="21" spans="1:201" ht="15.6" x14ac:dyDescent="0.3">
      <c r="A21" s="1"/>
      <c r="B21" s="41">
        <v>16</v>
      </c>
      <c r="C21" s="65">
        <v>14</v>
      </c>
      <c r="D21" s="1"/>
      <c r="E21" s="42">
        <v>16</v>
      </c>
      <c r="F21" s="66">
        <v>23</v>
      </c>
      <c r="G21" s="1"/>
      <c r="H21" s="42">
        <v>16</v>
      </c>
      <c r="I21" s="64">
        <v>5</v>
      </c>
      <c r="J21" s="1"/>
      <c r="K21" s="42">
        <v>16</v>
      </c>
      <c r="L21" s="64">
        <v>2</v>
      </c>
      <c r="M21" s="1"/>
      <c r="N21" s="42">
        <v>16</v>
      </c>
      <c r="O21" s="64">
        <v>0.1</v>
      </c>
      <c r="P21" s="1"/>
      <c r="Q21" s="42">
        <v>16</v>
      </c>
      <c r="R21" s="64">
        <v>2</v>
      </c>
      <c r="S21" s="1"/>
      <c r="T21" s="42">
        <v>16</v>
      </c>
      <c r="U21" s="65">
        <v>16</v>
      </c>
      <c r="V21" s="1"/>
      <c r="W21" s="1"/>
      <c r="X21" s="1"/>
      <c r="Y21" s="1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G21" s="1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I21" s="1"/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P21" s="1"/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W21" s="1"/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</row>
    <row r="22" spans="1:201" ht="15.6" x14ac:dyDescent="0.3">
      <c r="A22" s="1"/>
      <c r="B22" s="41">
        <v>17</v>
      </c>
      <c r="C22" s="65">
        <v>9</v>
      </c>
      <c r="D22" s="1"/>
      <c r="E22" s="42">
        <v>17</v>
      </c>
      <c r="F22" s="66">
        <v>25</v>
      </c>
      <c r="G22" s="1"/>
      <c r="H22" s="42">
        <v>17</v>
      </c>
      <c r="I22" s="64">
        <v>6</v>
      </c>
      <c r="J22" s="1"/>
      <c r="K22" s="42">
        <v>17</v>
      </c>
      <c r="L22" s="64">
        <v>9</v>
      </c>
      <c r="M22" s="1"/>
      <c r="N22" s="42">
        <v>17</v>
      </c>
      <c r="O22" s="64">
        <v>0.1</v>
      </c>
      <c r="P22" s="1"/>
      <c r="Q22" s="42">
        <v>17</v>
      </c>
      <c r="R22" s="64">
        <v>1</v>
      </c>
      <c r="S22" s="1"/>
      <c r="T22" s="42">
        <v>17</v>
      </c>
      <c r="U22" s="65">
        <v>10</v>
      </c>
      <c r="V22" s="1"/>
      <c r="W22" s="1"/>
      <c r="X22" s="1"/>
      <c r="Y22" s="1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G22" s="1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I22" s="1"/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P22" s="1"/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W22" s="1"/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</row>
    <row r="23" spans="1:201" ht="15.6" x14ac:dyDescent="0.3">
      <c r="A23" s="1"/>
      <c r="B23" s="41">
        <v>18</v>
      </c>
      <c r="C23" s="65">
        <v>10</v>
      </c>
      <c r="D23" s="1"/>
      <c r="E23" s="42">
        <v>18</v>
      </c>
      <c r="F23" s="66">
        <v>17</v>
      </c>
      <c r="G23" s="1"/>
      <c r="H23" s="42">
        <v>18</v>
      </c>
      <c r="I23" s="64">
        <v>8</v>
      </c>
      <c r="J23" s="1"/>
      <c r="K23" s="42">
        <v>18</v>
      </c>
      <c r="L23" s="64">
        <v>1</v>
      </c>
      <c r="M23" s="1"/>
      <c r="N23" s="42">
        <v>18</v>
      </c>
      <c r="O23" s="64">
        <v>0.8</v>
      </c>
      <c r="P23" s="1"/>
      <c r="Q23" s="42">
        <v>18</v>
      </c>
      <c r="R23" s="64">
        <v>2</v>
      </c>
      <c r="S23" s="1"/>
      <c r="T23" s="42">
        <v>18</v>
      </c>
      <c r="U23" s="65">
        <v>16</v>
      </c>
      <c r="V23" s="1"/>
      <c r="W23" s="1"/>
      <c r="X23" s="1"/>
      <c r="Y23" s="1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G23" s="1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I23" s="1"/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P23" s="1"/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W23" s="1"/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</row>
    <row r="24" spans="1:201" ht="15.6" x14ac:dyDescent="0.3">
      <c r="A24" s="1"/>
      <c r="B24" s="41">
        <v>19</v>
      </c>
      <c r="C24" s="65">
        <v>13</v>
      </c>
      <c r="D24" s="1"/>
      <c r="E24" s="42">
        <v>19</v>
      </c>
      <c r="F24" s="66">
        <v>15</v>
      </c>
      <c r="G24" s="1"/>
      <c r="H24" s="42">
        <v>19</v>
      </c>
      <c r="I24" s="64">
        <v>9</v>
      </c>
      <c r="J24" s="1"/>
      <c r="K24" s="42">
        <v>19</v>
      </c>
      <c r="L24" s="64">
        <v>4</v>
      </c>
      <c r="M24" s="1"/>
      <c r="N24" s="42">
        <v>19</v>
      </c>
      <c r="O24" s="64">
        <v>0.2</v>
      </c>
      <c r="P24" s="1"/>
      <c r="Q24" s="42">
        <v>19</v>
      </c>
      <c r="R24" s="64">
        <v>2</v>
      </c>
      <c r="S24" s="1"/>
      <c r="T24" s="42">
        <v>19</v>
      </c>
      <c r="U24" s="65">
        <v>20</v>
      </c>
      <c r="V24" s="1"/>
      <c r="W24" s="1"/>
      <c r="X24" s="1"/>
      <c r="Y24" s="1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G24" s="1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I24" s="1"/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P24" s="1"/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W24" s="1"/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</row>
    <row r="25" spans="1:201" ht="15.6" x14ac:dyDescent="0.3">
      <c r="A25" s="1"/>
      <c r="B25" s="41">
        <v>20</v>
      </c>
      <c r="C25" s="65">
        <v>5</v>
      </c>
      <c r="D25" s="1"/>
      <c r="E25" s="42">
        <v>20</v>
      </c>
      <c r="F25" s="66">
        <v>23</v>
      </c>
      <c r="G25" s="1"/>
      <c r="H25" s="42">
        <v>20</v>
      </c>
      <c r="I25" s="64">
        <v>6</v>
      </c>
      <c r="J25" s="1"/>
      <c r="K25" s="42">
        <v>20</v>
      </c>
      <c r="L25" s="64">
        <v>2</v>
      </c>
      <c r="M25" s="1"/>
      <c r="N25" s="42">
        <v>20</v>
      </c>
      <c r="O25" s="64">
        <v>0.6</v>
      </c>
      <c r="P25" s="1"/>
      <c r="Q25" s="42">
        <v>20</v>
      </c>
      <c r="R25" s="64">
        <v>3</v>
      </c>
      <c r="S25" s="1"/>
      <c r="T25" s="42">
        <v>20</v>
      </c>
      <c r="U25" s="65">
        <v>19</v>
      </c>
      <c r="V25" s="1"/>
      <c r="W25" s="1"/>
      <c r="X25" s="1"/>
      <c r="Y25" s="1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G25" s="1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I25" s="1"/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P25" s="1"/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W25" s="1"/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</row>
    <row r="26" spans="1:201" ht="15.6" x14ac:dyDescent="0.3">
      <c r="A26" s="1"/>
      <c r="B26" s="41">
        <v>21</v>
      </c>
      <c r="C26" s="65">
        <v>11</v>
      </c>
      <c r="D26" s="1"/>
      <c r="E26" s="42">
        <v>21</v>
      </c>
      <c r="F26" s="66">
        <v>19</v>
      </c>
      <c r="G26" s="1"/>
      <c r="H26" s="42">
        <v>21</v>
      </c>
      <c r="I26" s="64">
        <v>8</v>
      </c>
      <c r="J26" s="1"/>
      <c r="K26" s="42">
        <v>21</v>
      </c>
      <c r="L26" s="64">
        <v>6</v>
      </c>
      <c r="M26" s="1"/>
      <c r="N26" s="42">
        <v>21</v>
      </c>
      <c r="O26" s="64">
        <v>0.6</v>
      </c>
      <c r="P26" s="1"/>
      <c r="Q26" s="42">
        <v>21</v>
      </c>
      <c r="R26" s="64">
        <v>2</v>
      </c>
      <c r="S26" s="1"/>
      <c r="T26" s="42">
        <v>21</v>
      </c>
      <c r="U26" s="65">
        <v>24</v>
      </c>
      <c r="V26" s="1"/>
      <c r="W26" s="1"/>
      <c r="X26" s="1"/>
      <c r="Y26" s="1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G26" s="1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"/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1</v>
      </c>
      <c r="BB26" s="1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I26" s="1"/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0</v>
      </c>
      <c r="BO26" s="16">
        <f t="shared" si="8"/>
        <v>1</v>
      </c>
      <c r="BP26" s="1"/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0</v>
      </c>
      <c r="BV26" s="16">
        <f t="shared" si="9"/>
        <v>3</v>
      </c>
      <c r="BW26" s="1"/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0</v>
      </c>
      <c r="CC26" s="19">
        <f t="shared" si="10"/>
        <v>1.9331820449317627</v>
      </c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</row>
    <row r="27" spans="1:201" ht="15.6" x14ac:dyDescent="0.3">
      <c r="A27" s="1"/>
      <c r="B27" s="41">
        <v>22</v>
      </c>
      <c r="C27" s="65">
        <v>11</v>
      </c>
      <c r="D27" s="1"/>
      <c r="E27" s="42">
        <v>22</v>
      </c>
      <c r="F27" s="66">
        <v>19</v>
      </c>
      <c r="G27" s="1"/>
      <c r="H27" s="42">
        <v>22</v>
      </c>
      <c r="I27" s="64">
        <v>9</v>
      </c>
      <c r="J27" s="1"/>
      <c r="K27" s="42">
        <v>22</v>
      </c>
      <c r="L27" s="64">
        <v>6</v>
      </c>
      <c r="M27" s="1"/>
      <c r="N27" s="42">
        <v>22</v>
      </c>
      <c r="O27" s="64">
        <v>0.4</v>
      </c>
      <c r="P27" s="1"/>
      <c r="Q27" s="42">
        <v>22</v>
      </c>
      <c r="R27" s="64">
        <v>1</v>
      </c>
      <c r="S27" s="1"/>
      <c r="T27" s="42">
        <v>22</v>
      </c>
      <c r="U27" s="65">
        <v>16</v>
      </c>
      <c r="V27" s="1"/>
      <c r="W27" s="1"/>
      <c r="X27" s="1"/>
      <c r="Y27" s="1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G27" s="1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N27" s="1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I27" s="1"/>
      <c r="BJ27" s="22">
        <v>22</v>
      </c>
      <c r="BK27" s="16">
        <f t="shared" si="8"/>
        <v>0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1</v>
      </c>
      <c r="BP27" s="1"/>
      <c r="BQ27" s="23">
        <v>22</v>
      </c>
      <c r="BR27" s="16">
        <f t="shared" si="9"/>
        <v>0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1</v>
      </c>
      <c r="BW27" s="1"/>
      <c r="BX27" s="23">
        <v>22</v>
      </c>
      <c r="BY27" s="16">
        <f t="shared" si="10"/>
        <v>0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1</v>
      </c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</row>
    <row r="28" spans="1:201" ht="15.6" x14ac:dyDescent="0.3">
      <c r="A28" s="1"/>
      <c r="B28" s="41">
        <v>23</v>
      </c>
      <c r="C28" s="65">
        <v>7</v>
      </c>
      <c r="D28" s="1"/>
      <c r="E28" s="42">
        <v>23</v>
      </c>
      <c r="F28" s="66">
        <v>16</v>
      </c>
      <c r="G28" s="1"/>
      <c r="H28" s="42">
        <v>23</v>
      </c>
      <c r="I28" s="64">
        <v>7</v>
      </c>
      <c r="J28" s="1"/>
      <c r="K28" s="42">
        <v>23</v>
      </c>
      <c r="L28" s="64">
        <v>8</v>
      </c>
      <c r="M28" s="1"/>
      <c r="N28" s="42">
        <v>23</v>
      </c>
      <c r="O28" s="64">
        <v>0.5</v>
      </c>
      <c r="P28" s="1"/>
      <c r="Q28" s="42">
        <v>23</v>
      </c>
      <c r="R28" s="64">
        <v>2</v>
      </c>
      <c r="S28" s="1"/>
      <c r="T28" s="42">
        <v>23</v>
      </c>
      <c r="U28" s="65">
        <v>13</v>
      </c>
      <c r="V28" s="1"/>
      <c r="W28" s="1"/>
      <c r="X28" s="1"/>
      <c r="Y28" s="1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G28" s="1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N28" s="1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I28" s="1"/>
      <c r="BJ28" s="22">
        <v>23</v>
      </c>
      <c r="BK28" s="16">
        <f t="shared" si="8"/>
        <v>0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1</v>
      </c>
      <c r="BP28" s="1"/>
      <c r="BQ28" s="23">
        <v>23</v>
      </c>
      <c r="BR28" s="16">
        <f t="shared" si="9"/>
        <v>0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1</v>
      </c>
      <c r="BW28" s="1"/>
      <c r="BX28" s="23">
        <v>23</v>
      </c>
      <c r="BY28" s="16">
        <f t="shared" si="10"/>
        <v>0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1</v>
      </c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</row>
    <row r="29" spans="1:201" ht="15.6" x14ac:dyDescent="0.3">
      <c r="A29" s="1"/>
      <c r="B29" s="41">
        <v>24</v>
      </c>
      <c r="C29" s="65">
        <v>10</v>
      </c>
      <c r="D29" s="1"/>
      <c r="E29" s="42">
        <v>24</v>
      </c>
      <c r="F29" s="66">
        <v>14</v>
      </c>
      <c r="G29" s="1"/>
      <c r="H29" s="42">
        <v>24</v>
      </c>
      <c r="I29" s="64">
        <v>5</v>
      </c>
      <c r="J29" s="1"/>
      <c r="K29" s="42">
        <v>24</v>
      </c>
      <c r="L29" s="64">
        <v>2</v>
      </c>
      <c r="M29" s="1"/>
      <c r="N29" s="42">
        <v>24</v>
      </c>
      <c r="O29" s="64">
        <v>0.8</v>
      </c>
      <c r="P29" s="1"/>
      <c r="Q29" s="42">
        <v>24</v>
      </c>
      <c r="R29" s="64">
        <v>1</v>
      </c>
      <c r="S29" s="1"/>
      <c r="T29" s="42">
        <v>24</v>
      </c>
      <c r="U29" s="65">
        <v>16</v>
      </c>
      <c r="V29" s="1"/>
      <c r="W29" s="1"/>
      <c r="X29" s="1"/>
      <c r="Y29" s="1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G29" s="1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1</v>
      </c>
      <c r="AU29" s="1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I29" s="1"/>
      <c r="BJ29" s="22">
        <v>24</v>
      </c>
      <c r="BK29" s="16">
        <f t="shared" si="8"/>
        <v>0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1</v>
      </c>
      <c r="BP29" s="1"/>
      <c r="BQ29" s="23">
        <v>24</v>
      </c>
      <c r="BR29" s="16">
        <f t="shared" si="9"/>
        <v>0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2</v>
      </c>
      <c r="BW29" s="1"/>
      <c r="BX29" s="23">
        <v>24</v>
      </c>
      <c r="BY29" s="16">
        <f t="shared" si="10"/>
        <v>0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1.7411011265922482</v>
      </c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</row>
    <row r="30" spans="1:201" ht="15.6" x14ac:dyDescent="0.3">
      <c r="A30" s="1"/>
      <c r="B30" s="41">
        <v>25</v>
      </c>
      <c r="C30" s="65">
        <v>13</v>
      </c>
      <c r="D30" s="1"/>
      <c r="E30" s="42">
        <v>25</v>
      </c>
      <c r="F30" s="66">
        <v>16</v>
      </c>
      <c r="G30" s="1"/>
      <c r="H30" s="42">
        <v>25</v>
      </c>
      <c r="I30" s="64">
        <v>10</v>
      </c>
      <c r="J30" s="1"/>
      <c r="K30" s="42">
        <v>25</v>
      </c>
      <c r="L30" s="64">
        <v>4</v>
      </c>
      <c r="M30" s="1"/>
      <c r="N30" s="42">
        <v>25</v>
      </c>
      <c r="O30" s="64">
        <v>0.9</v>
      </c>
      <c r="P30" s="1"/>
      <c r="Q30" s="42">
        <v>25</v>
      </c>
      <c r="R30" s="64">
        <v>2</v>
      </c>
      <c r="S30" s="1"/>
      <c r="T30" s="42">
        <v>25</v>
      </c>
      <c r="U30" s="65">
        <v>14</v>
      </c>
      <c r="V30" s="1"/>
      <c r="W30" s="1"/>
      <c r="X30" s="1"/>
      <c r="Y30" s="1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G30" s="1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"/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"/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I30" s="1"/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P30" s="1"/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W30" s="1"/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</row>
    <row r="31" spans="1:201" ht="15.6" x14ac:dyDescent="0.3">
      <c r="A31" s="1"/>
      <c r="B31" s="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9"/>
      <c r="AG31" s="1"/>
      <c r="AH31" s="7" t="s">
        <v>32</v>
      </c>
      <c r="AI31" s="1">
        <v>1</v>
      </c>
      <c r="AJ31" s="1"/>
      <c r="AK31" s="1"/>
      <c r="AL31" s="1"/>
      <c r="AM31" s="1"/>
      <c r="AN31" s="1"/>
      <c r="AO31" s="1" t="s">
        <v>32</v>
      </c>
      <c r="AP31" s="1">
        <v>2</v>
      </c>
      <c r="AQ31" s="1"/>
      <c r="AR31" s="1"/>
      <c r="AS31" s="1"/>
      <c r="AT31" s="1"/>
      <c r="AU31" s="1"/>
      <c r="AV31" s="1" t="s">
        <v>32</v>
      </c>
      <c r="AW31" s="1">
        <v>3</v>
      </c>
      <c r="AX31" s="1"/>
      <c r="AY31" s="1"/>
      <c r="AZ31" s="1"/>
      <c r="BA31" s="1"/>
      <c r="BB31" s="1"/>
      <c r="BC31" s="1" t="s">
        <v>32</v>
      </c>
      <c r="BD31" s="1">
        <v>4</v>
      </c>
      <c r="BE31" s="1"/>
      <c r="BF31" s="1"/>
      <c r="BG31" s="1"/>
      <c r="BH31" s="9"/>
      <c r="BI31" s="1"/>
      <c r="BJ31" s="7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57"/>
      <c r="BW31" s="1"/>
      <c r="BX31" s="1"/>
      <c r="BY31" s="1"/>
      <c r="BZ31" s="1"/>
      <c r="CA31" s="1"/>
      <c r="CB31" s="1"/>
      <c r="CC31" s="9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</row>
    <row r="32" spans="1:201" ht="15.6" x14ac:dyDescent="0.3">
      <c r="A32" s="1"/>
      <c r="B32" s="7"/>
      <c r="C32" s="38" t="s">
        <v>16</v>
      </c>
      <c r="D32" s="38"/>
      <c r="E32" s="1"/>
      <c r="F32" s="38" t="s">
        <v>17</v>
      </c>
      <c r="G32" s="38"/>
      <c r="H32" s="1"/>
      <c r="I32" s="38" t="s">
        <v>18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9"/>
      <c r="AG32" s="1"/>
      <c r="AH32" s="7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9"/>
      <c r="BI32" s="1"/>
      <c r="BJ32" s="7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9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</row>
    <row r="33" spans="1:201" ht="16.2" thickBot="1" x14ac:dyDescent="0.35">
      <c r="A33" s="1"/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9"/>
      <c r="AG33" s="1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I33" s="1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</row>
    <row r="34" spans="1:201" ht="15.6" x14ac:dyDescent="0.3">
      <c r="A34" s="1"/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 t="s">
        <v>26</v>
      </c>
      <c r="AB34" s="1"/>
      <c r="AC34" s="1"/>
      <c r="AD34" s="1"/>
      <c r="AE34" s="1"/>
      <c r="AF34" s="9"/>
      <c r="AG34" s="1"/>
      <c r="AH34" s="1"/>
      <c r="AI34" s="1" t="s">
        <v>26</v>
      </c>
      <c r="AJ34" s="1"/>
      <c r="AK34" s="1"/>
      <c r="AL34" s="1"/>
      <c r="AM34" s="1"/>
      <c r="AN34" s="1"/>
      <c r="AO34" s="1"/>
      <c r="AP34" s="1" t="s">
        <v>26</v>
      </c>
      <c r="AQ34" s="1"/>
      <c r="AR34" s="1"/>
      <c r="AS34" s="1"/>
      <c r="AT34" s="1"/>
      <c r="AU34" s="1"/>
      <c r="AV34" s="1"/>
      <c r="AW34" s="1" t="s">
        <v>26</v>
      </c>
      <c r="AX34" s="1"/>
      <c r="AY34" s="1"/>
      <c r="AZ34" s="1"/>
      <c r="BA34" s="1"/>
      <c r="BB34" s="1"/>
      <c r="BC34" s="1"/>
      <c r="BD34" s="1" t="s">
        <v>26</v>
      </c>
      <c r="BE34" s="1"/>
      <c r="BF34" s="1"/>
      <c r="BG34" s="1"/>
      <c r="BH34" s="1"/>
      <c r="BI34" s="1"/>
      <c r="BJ34" s="1"/>
      <c r="BK34" s="1" t="s">
        <v>26</v>
      </c>
      <c r="BL34" s="1"/>
      <c r="BM34" s="1"/>
      <c r="BN34" s="1"/>
      <c r="BO34" s="1"/>
      <c r="BP34" s="1"/>
      <c r="BQ34" s="1"/>
      <c r="BR34" s="1" t="s">
        <v>26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</row>
    <row r="35" spans="1:201" ht="15.6" x14ac:dyDescent="0.3">
      <c r="A35" s="1"/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>
        <f>COLUMN()</f>
        <v>27</v>
      </c>
      <c r="AB35" s="1"/>
      <c r="AC35" s="1"/>
      <c r="AD35" s="1"/>
      <c r="AE35" s="1"/>
      <c r="AF35" s="9"/>
      <c r="AG35" s="1"/>
      <c r="AH35" s="1"/>
      <c r="AI35" s="1">
        <f>COLUMN()</f>
        <v>35</v>
      </c>
      <c r="AJ35" s="1"/>
      <c r="AK35" s="1"/>
      <c r="AL35" s="1"/>
      <c r="AM35" s="1"/>
      <c r="AN35" s="1"/>
      <c r="AO35" s="1"/>
      <c r="AP35" s="1">
        <f>COLUMN()</f>
        <v>42</v>
      </c>
      <c r="AQ35" s="1"/>
      <c r="AR35" s="1"/>
      <c r="AS35" s="1"/>
      <c r="AT35" s="1"/>
      <c r="AU35" s="1"/>
      <c r="AV35" s="1"/>
      <c r="AW35" s="1">
        <f>COLUMN()</f>
        <v>49</v>
      </c>
      <c r="AX35" s="1"/>
      <c r="AY35" s="1"/>
      <c r="AZ35" s="1"/>
      <c r="BA35" s="1"/>
      <c r="BB35" s="1"/>
      <c r="BC35" s="1"/>
      <c r="BD35" s="1">
        <f>COLUMN()</f>
        <v>56</v>
      </c>
      <c r="BE35" s="1"/>
      <c r="BF35" s="1"/>
      <c r="BG35" s="1"/>
      <c r="BH35" s="1"/>
      <c r="BI35" s="1"/>
      <c r="BJ35" s="1"/>
      <c r="BK35" s="1">
        <f>COLUMN()</f>
        <v>63</v>
      </c>
      <c r="BL35" s="1"/>
      <c r="BM35" s="1"/>
      <c r="BN35" s="1"/>
      <c r="BO35" s="1"/>
      <c r="BP35" s="1"/>
      <c r="BQ35" s="1"/>
      <c r="BR35" s="1">
        <f>COLUMN()</f>
        <v>70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</row>
    <row r="36" spans="1:201" ht="15.6" x14ac:dyDescent="0.3">
      <c r="A36" s="1"/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</row>
    <row r="37" spans="1:201" ht="15.6" x14ac:dyDescent="0.3">
      <c r="A37" s="1"/>
      <c r="B37" s="41">
        <v>5</v>
      </c>
      <c r="C37" s="68">
        <v>120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62" t="s">
        <v>1165</v>
      </c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</row>
    <row r="38" spans="1:201" ht="15.6" x14ac:dyDescent="0.3">
      <c r="A38" s="1"/>
      <c r="B38" s="32"/>
      <c r="C38" s="6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1166</v>
      </c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</row>
    <row r="39" spans="1:201" ht="15.6" x14ac:dyDescent="0.3">
      <c r="A39" s="1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</row>
    <row r="40" spans="1:201" ht="15.6" x14ac:dyDescent="0.3">
      <c r="A40" s="1"/>
      <c r="B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9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6">
        <v>2</v>
      </c>
      <c r="BK40" s="61" cm="1">
        <f t="array" aca="1" ref="BK40" ca="1">BY7*$C7*$L7*POWER($F7,$O7)*INDIRECT(ADDRESS(32+COLUMNS($A$1:A2),9))</f>
        <v>31.036911478307196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0</v>
      </c>
      <c r="BP40" s="1">
        <f t="shared" ref="BP40:BP64" ca="1" si="11">SUM(BK40:BO40)</f>
        <v>31.036911478307196</v>
      </c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</row>
    <row r="41" spans="1:201" ht="15.6" x14ac:dyDescent="0.3">
      <c r="A41" s="1"/>
      <c r="B41" s="10" t="s">
        <v>19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11"/>
        <v>194.4787916031315</v>
      </c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</row>
    <row r="42" spans="1:201" ht="15.6" x14ac:dyDescent="0.3">
      <c r="A42" s="1"/>
      <c r="B42" s="7">
        <v>2</v>
      </c>
      <c r="C42" s="1">
        <v>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61.982472786971179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0</v>
      </c>
      <c r="BP42" s="1">
        <f t="shared" ca="1" si="11"/>
        <v>61.982472786971179</v>
      </c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</row>
    <row r="43" spans="1:201" ht="15.6" x14ac:dyDescent="0.3">
      <c r="A43" s="1"/>
      <c r="B43" s="7">
        <v>3</v>
      </c>
      <c r="C43" s="1">
        <v>8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11"/>
        <v>1383.6776951677273</v>
      </c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</row>
    <row r="44" spans="1:201" ht="15.6" x14ac:dyDescent="0.3">
      <c r="A44" s="1"/>
      <c r="B44" s="7">
        <v>16</v>
      </c>
      <c r="C44" s="1">
        <v>20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6">
        <v>6</v>
      </c>
      <c r="BK44" s="61" cm="1">
        <f t="array" aca="1" ref="BK44" ca="1">BY11*$C11*$L11*POWER($F11,$O11)*INDIRECT(ADDRESS(32+COLUMNS($A$1:A6),9))</f>
        <v>14.333707577554534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0</v>
      </c>
      <c r="BP44" s="1">
        <f t="shared" ca="1" si="11"/>
        <v>14.333707577554534</v>
      </c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</row>
    <row r="45" spans="1:201" ht="15.6" x14ac:dyDescent="0.3">
      <c r="A45" s="1"/>
      <c r="B45" s="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11"/>
        <v>0</v>
      </c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</row>
    <row r="46" spans="1:201" ht="15.6" x14ac:dyDescent="0.3">
      <c r="A46" s="1"/>
      <c r="B46" s="10" t="s">
        <v>20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6">
        <v>8</v>
      </c>
      <c r="BK46" s="61" cm="1">
        <f t="array" aca="1" ref="BK46" ca="1">BY13*$C13*$L13*POWER($F13,$O13)*INDIRECT(ADDRESS(32+COLUMNS($A$1:A8),9))</f>
        <v>14.585909370234862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0</v>
      </c>
      <c r="BP46" s="1">
        <f t="shared" ca="1" si="11"/>
        <v>14.585909370234862</v>
      </c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</row>
    <row r="47" spans="1:201" ht="15.6" x14ac:dyDescent="0.3">
      <c r="A47" s="1"/>
      <c r="B47" s="7">
        <v>1</v>
      </c>
      <c r="C47" s="1">
        <v>12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0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293.2988134700031</v>
      </c>
      <c r="BO47" s="16" cm="1">
        <f t="array" aca="1" ref="BO47" ca="1">CC14*$C14*$L14*POWER($F14,$O14)*INDIRECT(ADDRESS(32+COLUMNS($A$1:E9),9))</f>
        <v>0</v>
      </c>
      <c r="BP47" s="1">
        <f t="shared" ca="1" si="11"/>
        <v>293.2988134700031</v>
      </c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</row>
    <row r="48" spans="1:201" ht="15.6" x14ac:dyDescent="0.3">
      <c r="A48" s="1"/>
      <c r="B48" s="7">
        <v>3</v>
      </c>
      <c r="C48" s="1">
        <v>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6">
        <v>10</v>
      </c>
      <c r="BK48" s="61" cm="1">
        <f t="array" aca="1" ref="BK48" ca="1">BY15*$C15*$L15*POWER($F15,$O15)*INDIRECT(ADDRESS(32+COLUMNS($A$1:A10),9))</f>
        <v>125.3576818177493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0</v>
      </c>
      <c r="BP48" s="1">
        <f t="shared" ca="1" si="11"/>
        <v>125.3576818177493</v>
      </c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</row>
    <row r="49" spans="1:201" ht="15.6" x14ac:dyDescent="0.3">
      <c r="A49" s="1"/>
      <c r="B49" s="7">
        <v>9</v>
      </c>
      <c r="C49" s="1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6">
        <v>11</v>
      </c>
      <c r="BK49" s="61" cm="1">
        <f t="array" aca="1" ref="BK49" ca="1">BY16*$C16*$L16*POWER($F16,$O16)*INDIRECT(ADDRESS(32+COLUMNS($A$1:A11),9))</f>
        <v>0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0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11"/>
        <v>0</v>
      </c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</row>
    <row r="50" spans="1:201" ht="16.2" thickBot="1" x14ac:dyDescent="0.35">
      <c r="A50" s="1"/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11"/>
        <v>369.11634255085556</v>
      </c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</row>
    <row r="51" spans="1:201" ht="16.2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11"/>
        <v>0</v>
      </c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</row>
    <row r="52" spans="1:201" ht="15.6" x14ac:dyDescent="0.3">
      <c r="A52" s="1"/>
      <c r="B52" s="2" t="s">
        <v>5</v>
      </c>
      <c r="C52" s="3"/>
      <c r="D52" s="3"/>
      <c r="E52" s="3"/>
      <c r="F52" s="5"/>
      <c r="G52" s="1"/>
      <c r="H52" s="6" t="s">
        <v>0</v>
      </c>
      <c r="I52" s="4"/>
      <c r="J52" s="3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11"/>
        <v>1871.9999999999998</v>
      </c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</row>
    <row r="53" spans="1:201" ht="15.6" x14ac:dyDescent="0.3">
      <c r="A53" s="1"/>
      <c r="B53" s="7"/>
      <c r="C53" s="1"/>
      <c r="D53" s="1"/>
      <c r="E53" s="1"/>
      <c r="F53" s="9"/>
      <c r="G53" s="1"/>
      <c r="H53" s="10" t="s">
        <v>2</v>
      </c>
      <c r="I53" s="38"/>
      <c r="J53" s="3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0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812.23925749895227</v>
      </c>
      <c r="BO53" s="16" cm="1">
        <f t="array" aca="1" ref="BO53" ca="1">CC20*$C20*$L20*POWER($F20,$O20)*INDIRECT(ADDRESS(32+COLUMNS($A$1:E15),9))</f>
        <v>0</v>
      </c>
      <c r="BP53" s="1">
        <f t="shared" ca="1" si="11"/>
        <v>812.23925749895227</v>
      </c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</row>
    <row r="54" spans="1:201" ht="15.6" x14ac:dyDescent="0.3">
      <c r="A54" s="1"/>
      <c r="B54" s="7"/>
      <c r="C54" s="1"/>
      <c r="D54" s="1"/>
      <c r="E54" s="1"/>
      <c r="F54" s="9"/>
      <c r="G54" s="1"/>
      <c r="H54" s="10" t="s">
        <v>1</v>
      </c>
      <c r="I54" s="38"/>
      <c r="J54" s="3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11"/>
        <v>0</v>
      </c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</row>
    <row r="55" spans="1:201" ht="16.2" thickBot="1" x14ac:dyDescent="0.35">
      <c r="A55" s="1"/>
      <c r="B55" s="25" cm="1">
        <f t="array" ref="B55">SUMPRODUCT(MMULT(BY6:CC30*C6:C30*L6:L30*POWER(F6:F30,O6:O30),I33:I37))</f>
        <v>6971.4605416348395</v>
      </c>
      <c r="C55" s="26"/>
      <c r="D55" s="26"/>
      <c r="E55" s="26"/>
      <c r="F55" s="27"/>
      <c r="G55" s="1"/>
      <c r="H55" s="25" t="s">
        <v>1160</v>
      </c>
      <c r="I55" s="26"/>
      <c r="J55" s="2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11"/>
        <v>0</v>
      </c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</row>
    <row r="56" spans="1:201" ht="16.2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11"/>
        <v>0</v>
      </c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</row>
    <row r="57" spans="1:201" ht="15.6" x14ac:dyDescent="0.3">
      <c r="A57" s="1"/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11"/>
        <v>0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</row>
    <row r="58" spans="1:201" ht="15.6" x14ac:dyDescent="0.3">
      <c r="A58" s="1"/>
      <c r="B58" s="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9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11"/>
        <v>0</v>
      </c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</row>
    <row r="59" spans="1:201" ht="15.6" x14ac:dyDescent="0.3">
      <c r="A59" s="1"/>
      <c r="B59" s="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9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6">
        <v>21</v>
      </c>
      <c r="BK59" s="61" cm="1">
        <f t="array" aca="1" ref="BK59" ca="1">BY26*$C26*$L26*POWER($F26,$O26)*INDIRECT(ADDRESS(32+COLUMNS($A$1:A21),9))</f>
        <v>0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186.64177568163981</v>
      </c>
      <c r="BP59" s="1">
        <f t="shared" ca="1" si="11"/>
        <v>186.64177568163981</v>
      </c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</row>
    <row r="60" spans="1:201" ht="15.6" x14ac:dyDescent="0.3">
      <c r="A60" s="1"/>
      <c r="B60" s="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9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6">
        <v>22</v>
      </c>
      <c r="BK60" s="61" cm="1">
        <f t="array" aca="1" ref="BK60" ca="1">BY27*$C27*$L27*POWER($F27,$O27)*INDIRECT(ADDRESS(32+COLUMNS($A$1:A22),9))</f>
        <v>0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53.577862653738528</v>
      </c>
      <c r="BP60" s="1">
        <f t="shared" ca="1" si="11"/>
        <v>53.577862653738528</v>
      </c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</row>
    <row r="61" spans="1:201" ht="15.6" x14ac:dyDescent="0.3">
      <c r="A61" s="1"/>
      <c r="B61" s="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9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6">
        <v>23</v>
      </c>
      <c r="BK61" s="61" cm="1">
        <f t="array" aca="1" ref="BK61" ca="1">BY28*$C28*$L28*POWER($F28,$O28)*INDIRECT(ADDRESS(32+COLUMNS($A$1:A23),9))</f>
        <v>0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56</v>
      </c>
      <c r="BP61" s="1">
        <f t="shared" ca="1" si="11"/>
        <v>56</v>
      </c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</row>
    <row r="62" spans="1:201" ht="15.6" x14ac:dyDescent="0.3">
      <c r="A62" s="1"/>
      <c r="B62" s="7" t="s">
        <v>22</v>
      </c>
      <c r="C62" s="1"/>
      <c r="D62" s="1"/>
      <c r="E62" s="1"/>
      <c r="F62" s="1"/>
      <c r="G62" s="1" t="s">
        <v>33</v>
      </c>
      <c r="H62" s="1"/>
      <c r="I62" s="1"/>
      <c r="J62" s="1"/>
      <c r="K62" s="1"/>
      <c r="L62" s="1" t="s">
        <v>23</v>
      </c>
      <c r="M62" s="1"/>
      <c r="N62" s="1"/>
      <c r="O62" s="1"/>
      <c r="P62" s="1"/>
      <c r="Q62" s="1" t="s">
        <v>36</v>
      </c>
      <c r="R62" s="1"/>
      <c r="S62" s="1"/>
      <c r="T62" s="1"/>
      <c r="U62" s="1"/>
      <c r="V62" s="1" t="s">
        <v>37</v>
      </c>
      <c r="W62" s="1"/>
      <c r="X62" s="1"/>
      <c r="Y62" s="1"/>
      <c r="Z62" s="1"/>
      <c r="AA62" s="1" t="s">
        <v>38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9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71.894626096254626</v>
      </c>
      <c r="BP62" s="1">
        <f t="shared" ca="1" si="11"/>
        <v>71.894626096254626</v>
      </c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</row>
    <row r="63" spans="1:201" ht="16.2" thickBot="1" x14ac:dyDescent="0.35">
      <c r="A63" s="1"/>
      <c r="B63" s="7"/>
      <c r="C63" s="1">
        <f>SUM(AI6:AM6,AP6:AT6,AW6:BA6,BD6:BH6)</f>
        <v>1</v>
      </c>
      <c r="D63" s="1" t="s">
        <v>21</v>
      </c>
      <c r="E63" s="1">
        <v>1</v>
      </c>
      <c r="F63" s="1"/>
      <c r="G63" s="1"/>
      <c r="H63" s="1" cm="1">
        <f t="array" ref="H63">SUM(AA6:AE6*BR6:BV6-R6*BK6:BO6)</f>
        <v>1</v>
      </c>
      <c r="I63" s="1" t="s">
        <v>24</v>
      </c>
      <c r="J63" s="1">
        <v>0</v>
      </c>
      <c r="K63" s="1"/>
      <c r="L63" s="1"/>
      <c r="M63" s="1" cm="1">
        <f t="array" ref="M63">SUM(AA6:AE6*BR6:BV6-U6*BK6:BO6)</f>
        <v>-12</v>
      </c>
      <c r="N63" s="1" t="s">
        <v>21</v>
      </c>
      <c r="O63" s="1">
        <v>0</v>
      </c>
      <c r="P63" s="1"/>
      <c r="Q63" s="1"/>
      <c r="R63" s="1" cm="1">
        <f t="array" aca="1" ref="R63" ca="1">-C33+SUM(INDIRECT(ADDRESS(6,69+ROWS($A$1:A1))):INDIRECT(ADDRESS(30,69+ROWS($A$1:A1)))*$F$6:$F$30)</f>
        <v>0</v>
      </c>
      <c r="S63" s="1" t="s">
        <v>21</v>
      </c>
      <c r="T63" s="1">
        <v>0</v>
      </c>
      <c r="U63" s="1"/>
      <c r="V63" s="1"/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Z63" s="1"/>
      <c r="AA63" s="1"/>
      <c r="AB63" s="1" cm="1">
        <f t="array" aca="1" ref="AB63" ca="1">INDIRECT(ADDRESS(5+$B42,62+COLUMNS($A1:A1)))+INDIRECT(ADDRESS(5+$C42,62+COLUMNS($A1:A1)))</f>
        <v>1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0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1317.3966981156575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0</v>
      </c>
      <c r="BO63" s="16" cm="1">
        <f t="array" aca="1" ref="BO63" ca="1">CC30*$C30*$L30*POWER($F30,$O30)*INDIRECT(ADDRESS(32+COLUMNS($A$1:E25),9))</f>
        <v>0</v>
      </c>
      <c r="BP63" s="1">
        <f t="shared" ca="1" si="11"/>
        <v>1317.3966981156575</v>
      </c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</row>
    <row r="64" spans="1:201" ht="16.2" thickBot="1" x14ac:dyDescent="0.35">
      <c r="A64" s="1"/>
      <c r="B64" s="7"/>
      <c r="C64" s="1">
        <f t="shared" ref="C64:C86" si="12">SUM(AI7:AM7,AP7:AT7,AW7:BA7,BD7:BH7)</f>
        <v>1</v>
      </c>
      <c r="D64" s="1" t="s">
        <v>21</v>
      </c>
      <c r="E64" s="1">
        <v>1</v>
      </c>
      <c r="F64" s="1"/>
      <c r="G64" s="1"/>
      <c r="H64" s="1" cm="1">
        <f t="array" ref="H64">SUM(AA7:AE7*BR7:BV7-R7*BK7:BO7)</f>
        <v>4</v>
      </c>
      <c r="I64" s="1" t="s">
        <v>24</v>
      </c>
      <c r="J64" s="1">
        <v>0</v>
      </c>
      <c r="K64" s="1"/>
      <c r="L64" s="1"/>
      <c r="M64" s="1" cm="1">
        <f t="array" ref="M64">SUM(AA7:AE7*BR7:BV7-U7*BK7:BO7)</f>
        <v>-14</v>
      </c>
      <c r="N64" s="1" t="s">
        <v>21</v>
      </c>
      <c r="O64" s="1">
        <v>0</v>
      </c>
      <c r="P64" s="1"/>
      <c r="Q64" s="1"/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U64" s="1"/>
      <c r="V64" s="1"/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Z64" s="1"/>
      <c r="AA64" s="1"/>
      <c r="AB64" s="1" cm="1">
        <f t="array" aca="1" ref="AB64" ca="1">INDIRECT(ADDRESS(5+$B43,62+COLUMNS($A2:A2)))+INDIRECT(ADDRESS(5+$C43,62+COLUMNS($A2:A2)))</f>
        <v>1</v>
      </c>
      <c r="AC64" s="1" cm="1">
        <f t="array" aca="1" ref="AC64" ca="1">INDIRECT(ADDRESS(5+$B43,62+COLUMNS($A2:B2)))+INDIRECT(ADDRESS(5+$C43,62+COLUMNS($A2:B2)))</f>
        <v>0</v>
      </c>
      <c r="AD64" s="1" cm="1">
        <f t="array" aca="1" ref="AD64" ca="1">INDIRECT(ADDRESS(5+$B43,62+COLUMNS($A2:C2)))+INDIRECT(ADDRESS(5+$C43,62+COLUMNS($A2:C2)))</f>
        <v>1</v>
      </c>
      <c r="AE64" s="1" cm="1">
        <f t="array" aca="1" ref="AE64" ca="1">INDIRECT(ADDRESS(5+$B43,62+COLUMNS($A2:D2)))+INDIRECT(ADDRESS(5+$C43,62+COLUMNS($A2:D2)))</f>
        <v>0</v>
      </c>
      <c r="AF64" s="1" cm="1">
        <f t="array" aca="1" ref="AF64" ca="1">INDIRECT(ADDRESS(5+$B43,62+COLUMNS($A2:E2)))+INDIRECT(ADDRESS(5+$C43,62+COLUMNS($A2:E2)))</f>
        <v>0</v>
      </c>
      <c r="AG64" s="1" t="s">
        <v>21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9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62" t="s">
        <v>1168</v>
      </c>
      <c r="BK64" s="1">
        <f ca="1">SUM(BK39:BK63)</f>
        <v>185.31421024384588</v>
      </c>
      <c r="BL64" s="1">
        <f t="shared" ref="BL64:BO64" ca="1" si="13">SUM(BL39:BL63)</f>
        <v>1317.3966981156575</v>
      </c>
      <c r="BM64" s="1">
        <f t="shared" ca="1" si="13"/>
        <v>3512.1389595578294</v>
      </c>
      <c r="BN64" s="1">
        <f t="shared" ca="1" si="13"/>
        <v>1588.4964092858727</v>
      </c>
      <c r="BO64" s="1">
        <f t="shared" ca="1" si="13"/>
        <v>368.11426443163299</v>
      </c>
      <c r="BP64" s="59">
        <f t="shared" ca="1" si="11"/>
        <v>6971.4605416348386</v>
      </c>
      <c r="BQ64" s="1" t="s">
        <v>1167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</row>
    <row r="65" spans="1:201" ht="15.6" x14ac:dyDescent="0.3">
      <c r="A65" s="1"/>
      <c r="B65" s="7"/>
      <c r="C65" s="1">
        <f t="shared" si="12"/>
        <v>1</v>
      </c>
      <c r="D65" s="1" t="s">
        <v>21</v>
      </c>
      <c r="E65" s="1">
        <v>1</v>
      </c>
      <c r="F65" s="1"/>
      <c r="G65" s="1"/>
      <c r="H65" s="1" cm="1">
        <f t="array" ref="H65">SUM(AA8:AE8*BR8:BV8-R8*BK8:BO8)</f>
        <v>1</v>
      </c>
      <c r="I65" s="1" t="s">
        <v>24</v>
      </c>
      <c r="J65" s="1">
        <v>0</v>
      </c>
      <c r="K65" s="1"/>
      <c r="L65" s="1"/>
      <c r="M65" s="1" cm="1">
        <f t="array" ref="M65">SUM(AA8:AE8*BR8:BV8-U8*BK8:BO8)</f>
        <v>-21</v>
      </c>
      <c r="N65" s="1" t="s">
        <v>21</v>
      </c>
      <c r="O65" s="1">
        <v>0</v>
      </c>
      <c r="P65" s="1"/>
      <c r="Q65" s="1"/>
      <c r="R65" s="1" cm="1">
        <f t="array" aca="1" ref="R65" ca="1">-C35+SUM(INDIRECT(ADDRESS(6,69+ROWS($A$1:A3))):INDIRECT(ADDRESS(30,69+ROWS($A$1:A3)))*$F$6:$F$30)</f>
        <v>0</v>
      </c>
      <c r="S65" s="1" t="s">
        <v>21</v>
      </c>
      <c r="T65" s="1">
        <v>0</v>
      </c>
      <c r="U65" s="1"/>
      <c r="V65" s="1"/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Z65" s="1"/>
      <c r="AA65" s="1"/>
      <c r="AB65" s="1" cm="1">
        <f t="array" aca="1" ref="AB65" ca="1">INDIRECT(ADDRESS(5+$B44,62+COLUMNS($A3:A3)))+INDIRECT(ADDRESS(5+$C44,62+COLUMNS($A3:A3)))</f>
        <v>0</v>
      </c>
      <c r="AC65" s="1" cm="1">
        <f t="array" aca="1" ref="AC65" ca="1">INDIRECT(ADDRESS(5+$B44,62+COLUMNS($A3:B3)))+INDIRECT(ADDRESS(5+$C44,62+COLUMNS($A3:B3)))</f>
        <v>0</v>
      </c>
      <c r="AD65" s="1" cm="1">
        <f t="array" aca="1" ref="AD65" ca="1">INDIRECT(ADDRESS(5+$B44,62+COLUMNS($A3:C3)))+INDIRECT(ADDRESS(5+$C44,62+COLUMNS($A3:C3)))</f>
        <v>0</v>
      </c>
      <c r="AE65" s="1" cm="1">
        <f t="array" aca="1" ref="AE65" ca="1">INDIRECT(ADDRESS(5+$B44,62+COLUMNS($A3:D3)))+INDIRECT(ADDRESS(5+$C44,62+COLUMNS($A3:D3)))</f>
        <v>0</v>
      </c>
      <c r="AF65" s="1" cm="1">
        <f t="array" aca="1" ref="AF65" ca="1">INDIRECT(ADDRESS(5+$B44,62+COLUMNS($A3:E3)))+INDIRECT(ADDRESS(5+$C44,62+COLUMNS($A3:E3)))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</row>
    <row r="66" spans="1:201" ht="15.6" x14ac:dyDescent="0.3">
      <c r="A66" s="1"/>
      <c r="B66" s="7"/>
      <c r="C66" s="1">
        <f t="shared" si="12"/>
        <v>1</v>
      </c>
      <c r="D66" s="1" t="s">
        <v>21</v>
      </c>
      <c r="E66" s="1">
        <v>1</v>
      </c>
      <c r="F66" s="1"/>
      <c r="G66" s="1"/>
      <c r="H66" s="1" cm="1">
        <f t="array" ref="H66">SUM(AA9:AE9*BR9:BV9-R9*BK9:BO9)</f>
        <v>2</v>
      </c>
      <c r="I66" s="1" t="s">
        <v>24</v>
      </c>
      <c r="J66" s="1">
        <v>0</v>
      </c>
      <c r="K66" s="1"/>
      <c r="L66" s="1"/>
      <c r="M66" s="1" cm="1">
        <f t="array" ref="M66">SUM(AA9:AE9*BR9:BV9-U9*BK9:BO9)</f>
        <v>-6</v>
      </c>
      <c r="N66" s="1" t="s">
        <v>21</v>
      </c>
      <c r="O66" s="1">
        <v>0</v>
      </c>
      <c r="P66" s="1"/>
      <c r="Q66" s="1"/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U66" s="1"/>
      <c r="V66" s="1"/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9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</row>
    <row r="67" spans="1:201" ht="15.6" x14ac:dyDescent="0.3">
      <c r="A67" s="1"/>
      <c r="B67" s="7"/>
      <c r="C67" s="1">
        <f t="shared" si="12"/>
        <v>1</v>
      </c>
      <c r="D67" s="1" t="s">
        <v>21</v>
      </c>
      <c r="E67" s="1">
        <v>1</v>
      </c>
      <c r="F67" s="38"/>
      <c r="G67" s="1"/>
      <c r="H67" s="1" cm="1">
        <f t="array" ref="H67">SUM(AA10:AE10*BR10:BV10-R10*BK10:BO10)</f>
        <v>7</v>
      </c>
      <c r="I67" s="1" t="s">
        <v>24</v>
      </c>
      <c r="J67" s="1">
        <v>0</v>
      </c>
      <c r="K67" s="1"/>
      <c r="L67" s="1"/>
      <c r="M67" s="1" cm="1">
        <f t="array" ref="M67">SUM(AA10:AE10*BR10:BV10-U10*BK10:BO10)</f>
        <v>-8</v>
      </c>
      <c r="N67" s="1" t="s">
        <v>21</v>
      </c>
      <c r="O67" s="1">
        <v>0</v>
      </c>
      <c r="P67" s="1"/>
      <c r="Q67" s="1"/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9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</row>
    <row r="68" spans="1:201" ht="15.6" x14ac:dyDescent="0.3">
      <c r="A68" s="1"/>
      <c r="B68" s="10"/>
      <c r="C68" s="1">
        <f t="shared" si="12"/>
        <v>1</v>
      </c>
      <c r="D68" s="1" t="s">
        <v>21</v>
      </c>
      <c r="E68" s="1">
        <v>1</v>
      </c>
      <c r="F68" s="38"/>
      <c r="G68" s="1"/>
      <c r="H68" s="1" cm="1">
        <f t="array" ref="H68">SUM(AA11:AE11*BR11:BV11-R11*BK11:BO11)</f>
        <v>3</v>
      </c>
      <c r="I68" s="1" t="s">
        <v>24</v>
      </c>
      <c r="J68" s="1">
        <v>0</v>
      </c>
      <c r="K68" s="1"/>
      <c r="L68" s="1"/>
      <c r="M68" s="1" cm="1">
        <f t="array" ref="M68">SUM(AA11:AE11*BR11:BV11-U11*BK11:BO11)</f>
        <v>-17</v>
      </c>
      <c r="N68" s="1" t="s">
        <v>21</v>
      </c>
      <c r="O68" s="1"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9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</row>
    <row r="69" spans="1:201" ht="15.6" x14ac:dyDescent="0.3">
      <c r="A69" s="1"/>
      <c r="B69" s="10"/>
      <c r="C69" s="1">
        <f t="shared" si="12"/>
        <v>0</v>
      </c>
      <c r="D69" s="1" t="s">
        <v>21</v>
      </c>
      <c r="E69" s="1">
        <v>1</v>
      </c>
      <c r="F69" s="38"/>
      <c r="G69" s="1"/>
      <c r="H69" s="1" cm="1">
        <f t="array" ref="H69">SUM(AA12:AE12*BR12:BV12-R12*BK12:BO12)</f>
        <v>0</v>
      </c>
      <c r="I69" s="1" t="s">
        <v>24</v>
      </c>
      <c r="J69" s="1">
        <v>0</v>
      </c>
      <c r="K69" s="1"/>
      <c r="L69" s="1"/>
      <c r="M69" s="1" cm="1">
        <f t="array" ref="M69">SUM(AA12:AE12*BR12:BV12-U12*BK12:BO12)</f>
        <v>0</v>
      </c>
      <c r="N69" s="1" t="s">
        <v>21</v>
      </c>
      <c r="O69" s="1"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9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</row>
    <row r="70" spans="1:201" ht="15.6" x14ac:dyDescent="0.3">
      <c r="A70" s="1"/>
      <c r="B70" s="10"/>
      <c r="C70" s="1">
        <f t="shared" si="12"/>
        <v>1</v>
      </c>
      <c r="D70" s="1" t="s">
        <v>21</v>
      </c>
      <c r="E70" s="1">
        <v>1</v>
      </c>
      <c r="F70" s="38"/>
      <c r="G70" s="1"/>
      <c r="H70" s="1" cm="1">
        <f t="array" ref="H70">SUM(AA13:AE13*BR13:BV13-R13*BK13:BO13)</f>
        <v>2</v>
      </c>
      <c r="I70" s="1" t="s">
        <v>24</v>
      </c>
      <c r="J70" s="1">
        <v>0</v>
      </c>
      <c r="K70" s="1"/>
      <c r="L70" s="1"/>
      <c r="M70" s="1" cm="1">
        <f t="array" ref="M70">SUM(AA13:AE13*BR13:BV13-U13*BK13:BO13)</f>
        <v>-15</v>
      </c>
      <c r="N70" s="1" t="s">
        <v>21</v>
      </c>
      <c r="O70" s="1"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9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</row>
    <row r="71" spans="1:201" ht="15.6" x14ac:dyDescent="0.3">
      <c r="A71" s="1"/>
      <c r="B71" s="10"/>
      <c r="C71" s="1">
        <f t="shared" si="12"/>
        <v>1</v>
      </c>
      <c r="D71" s="1" t="s">
        <v>21</v>
      </c>
      <c r="E71" s="1">
        <v>1</v>
      </c>
      <c r="F71" s="38"/>
      <c r="G71" s="1"/>
      <c r="H71" s="1" cm="1">
        <f t="array" ref="H71">SUM(AA14:AE14*BR14:BV14-R14*BK14:BO14)</f>
        <v>7</v>
      </c>
      <c r="I71" s="1" t="s">
        <v>24</v>
      </c>
      <c r="J71" s="1">
        <v>0</v>
      </c>
      <c r="K71" s="1"/>
      <c r="L71" s="1"/>
      <c r="M71" s="1" cm="1">
        <f t="array" ref="M71">SUM(AA14:AE14*BR14:BV14-U14*BK14:BO14)</f>
        <v>-2</v>
      </c>
      <c r="N71" s="1" t="s">
        <v>21</v>
      </c>
      <c r="O71" s="1"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9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</row>
    <row r="72" spans="1:201" ht="15.6" x14ac:dyDescent="0.3">
      <c r="A72" s="1"/>
      <c r="B72" s="10"/>
      <c r="C72" s="1">
        <f t="shared" si="12"/>
        <v>1</v>
      </c>
      <c r="D72" s="1" t="s">
        <v>21</v>
      </c>
      <c r="E72" s="1">
        <v>1</v>
      </c>
      <c r="F72" s="38"/>
      <c r="G72" s="1"/>
      <c r="H72" s="1" cm="1">
        <f t="array" ref="H72">SUM(AA15:AE15*BR15:BV15-R15*BK15:BO15)</f>
        <v>8</v>
      </c>
      <c r="I72" s="1" t="s">
        <v>24</v>
      </c>
      <c r="J72" s="1">
        <v>0</v>
      </c>
      <c r="K72" s="1"/>
      <c r="L72" s="1"/>
      <c r="M72" s="1" cm="1">
        <f t="array" ref="M72">SUM(AA15:AE15*BR15:BV15-U15*BK15:BO15)</f>
        <v>-2</v>
      </c>
      <c r="N72" s="1" t="s">
        <v>21</v>
      </c>
      <c r="O72" s="1"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9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</row>
    <row r="73" spans="1:201" ht="15.6" x14ac:dyDescent="0.3">
      <c r="A73" s="1"/>
      <c r="B73" s="10"/>
      <c r="C73" s="1">
        <f t="shared" si="12"/>
        <v>0</v>
      </c>
      <c r="D73" s="1" t="s">
        <v>21</v>
      </c>
      <c r="E73" s="1">
        <v>1</v>
      </c>
      <c r="F73" s="38"/>
      <c r="G73" s="1"/>
      <c r="H73" s="1" cm="1">
        <f t="array" ref="H73">SUM(AA16:AE16*BR16:BV16-R16*BK16:BO16)</f>
        <v>0</v>
      </c>
      <c r="I73" s="1" t="s">
        <v>24</v>
      </c>
      <c r="J73" s="1">
        <v>0</v>
      </c>
      <c r="K73" s="1"/>
      <c r="L73" s="1"/>
      <c r="M73" s="1" cm="1">
        <f t="array" ref="M73">SUM(AA16:AE16*BR16:BV16-U16*BK16:BO16)</f>
        <v>0</v>
      </c>
      <c r="N73" s="1" t="s">
        <v>21</v>
      </c>
      <c r="O73" s="1"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9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</row>
    <row r="74" spans="1:201" ht="15.6" x14ac:dyDescent="0.3">
      <c r="A74" s="1"/>
      <c r="B74" s="10"/>
      <c r="C74" s="1">
        <f t="shared" si="12"/>
        <v>1</v>
      </c>
      <c r="D74" s="1" t="s">
        <v>21</v>
      </c>
      <c r="E74" s="1">
        <v>1</v>
      </c>
      <c r="F74" s="38"/>
      <c r="G74" s="1"/>
      <c r="H74" s="1" cm="1">
        <f t="array" ref="H74">SUM(AA17:AE17*BR17:BV17-R17*BK17:BO17)</f>
        <v>14</v>
      </c>
      <c r="I74" s="1" t="s">
        <v>24</v>
      </c>
      <c r="J74" s="1">
        <v>0</v>
      </c>
      <c r="K74" s="1"/>
      <c r="L74" s="1"/>
      <c r="M74" s="1" cm="1">
        <f t="array" ref="M74">SUM(AA17:AE17*BR17:BV17-U17*BK17:BO17)</f>
        <v>-6</v>
      </c>
      <c r="N74" s="1" t="s">
        <v>21</v>
      </c>
      <c r="O74" s="1"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</row>
    <row r="75" spans="1:201" ht="15.6" x14ac:dyDescent="0.3">
      <c r="A75" s="1"/>
      <c r="B75" s="10"/>
      <c r="C75" s="1">
        <f t="shared" si="12"/>
        <v>0</v>
      </c>
      <c r="D75" s="1" t="s">
        <v>21</v>
      </c>
      <c r="E75" s="1">
        <v>1</v>
      </c>
      <c r="F75" s="38"/>
      <c r="G75" s="1"/>
      <c r="H75" s="1" cm="1">
        <f t="array" ref="H75">SUM(AA18:AE18*BR18:BV18-R18*BK18:BO18)</f>
        <v>0</v>
      </c>
      <c r="I75" s="1" t="s">
        <v>24</v>
      </c>
      <c r="J75" s="1">
        <v>0</v>
      </c>
      <c r="K75" s="1"/>
      <c r="L75" s="1"/>
      <c r="M75" s="1" cm="1">
        <f t="array" ref="M75">SUM(AA18:AE18*BR18:BV18-U18*BK18:BO18)</f>
        <v>0</v>
      </c>
      <c r="N75" s="1" t="s">
        <v>21</v>
      </c>
      <c r="O75" s="1"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</row>
    <row r="76" spans="1:201" ht="15.6" x14ac:dyDescent="0.3">
      <c r="A76" s="1"/>
      <c r="B76" s="7"/>
      <c r="C76" s="1">
        <f t="shared" si="12"/>
        <v>1</v>
      </c>
      <c r="D76" s="1" t="s">
        <v>21</v>
      </c>
      <c r="E76" s="1">
        <v>1</v>
      </c>
      <c r="F76" s="1"/>
      <c r="G76" s="1"/>
      <c r="H76" s="1" cm="1">
        <f t="array" ref="H76">SUM(AA19:AE19*BR19:BV19-R19*BK19:BO19)</f>
        <v>5</v>
      </c>
      <c r="I76" s="1" t="s">
        <v>24</v>
      </c>
      <c r="J76" s="1">
        <v>0</v>
      </c>
      <c r="K76" s="1"/>
      <c r="L76" s="1"/>
      <c r="M76" s="1" cm="1">
        <f t="array" ref="M76">SUM(AA19:AE19*BR19:BV19-U19*BK19:BO19)</f>
        <v>-4</v>
      </c>
      <c r="N76" s="1" t="s">
        <v>21</v>
      </c>
      <c r="O76" s="1"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</row>
    <row r="77" spans="1:201" ht="15.6" x14ac:dyDescent="0.3">
      <c r="A77" s="1"/>
      <c r="B77" s="7"/>
      <c r="C77" s="1">
        <f t="shared" si="12"/>
        <v>1</v>
      </c>
      <c r="D77" s="1" t="s">
        <v>21</v>
      </c>
      <c r="E77" s="1">
        <v>1</v>
      </c>
      <c r="F77" s="1"/>
      <c r="G77" s="1"/>
      <c r="H77" s="1" cm="1">
        <f t="array" ref="H77">SUM(AA20:AE20*BR20:BV20-R20*BK20:BO20)</f>
        <v>9</v>
      </c>
      <c r="I77" s="1" t="s">
        <v>24</v>
      </c>
      <c r="J77" s="1">
        <v>0</v>
      </c>
      <c r="K77" s="1"/>
      <c r="L77" s="1"/>
      <c r="M77" s="1" cm="1">
        <f t="array" ref="M77">SUM(AA20:AE20*BR20:BV20-U20*BK20:BO20)</f>
        <v>-7</v>
      </c>
      <c r="N77" s="1" t="s">
        <v>21</v>
      </c>
      <c r="O77" s="1"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</row>
    <row r="78" spans="1:201" ht="15.6" x14ac:dyDescent="0.3">
      <c r="A78" s="1"/>
      <c r="B78" s="7"/>
      <c r="C78" s="1">
        <f t="shared" si="12"/>
        <v>0</v>
      </c>
      <c r="D78" s="1" t="s">
        <v>21</v>
      </c>
      <c r="E78" s="1">
        <v>1</v>
      </c>
      <c r="F78" s="1"/>
      <c r="G78" s="1"/>
      <c r="H78" s="1" cm="1">
        <f t="array" ref="H78">SUM(AA21:AE21*BR21:BV21-R21*BK21:BO21)</f>
        <v>0</v>
      </c>
      <c r="I78" s="1" t="s">
        <v>24</v>
      </c>
      <c r="J78" s="1">
        <v>0</v>
      </c>
      <c r="K78" s="1"/>
      <c r="L78" s="1"/>
      <c r="M78" s="1" cm="1">
        <f t="array" ref="M78">SUM(AA21:AE21*BR21:BV21-U21*BK21:BO21)</f>
        <v>0</v>
      </c>
      <c r="N78" s="1" t="s">
        <v>21</v>
      </c>
      <c r="O78" s="1"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</row>
    <row r="79" spans="1:201" ht="15.6" x14ac:dyDescent="0.3">
      <c r="A79" s="1"/>
      <c r="B79" s="7"/>
      <c r="C79" s="1">
        <f t="shared" si="12"/>
        <v>0</v>
      </c>
      <c r="D79" s="1" t="s">
        <v>21</v>
      </c>
      <c r="E79" s="1">
        <v>1</v>
      </c>
      <c r="F79" s="1"/>
      <c r="G79" s="1"/>
      <c r="H79" s="1" cm="1">
        <f t="array" ref="H79">SUM(AA22:AE22*BR22:BV22-R22*BK22:BO22)</f>
        <v>0</v>
      </c>
      <c r="I79" s="1" t="s">
        <v>24</v>
      </c>
      <c r="J79" s="1">
        <v>0</v>
      </c>
      <c r="K79" s="1"/>
      <c r="L79" s="1"/>
      <c r="M79" s="1" cm="1">
        <f t="array" ref="M79">SUM(AA22:AE22*BR22:BV22-U22*BK22:BO22)</f>
        <v>0</v>
      </c>
      <c r="N79" s="1" t="s">
        <v>21</v>
      </c>
      <c r="O79" s="1"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</row>
    <row r="80" spans="1:201" ht="15.6" x14ac:dyDescent="0.3">
      <c r="A80" s="1"/>
      <c r="B80" s="7"/>
      <c r="C80" s="1">
        <f t="shared" si="12"/>
        <v>0</v>
      </c>
      <c r="D80" s="1" t="s">
        <v>21</v>
      </c>
      <c r="E80" s="1">
        <v>1</v>
      </c>
      <c r="F80" s="1"/>
      <c r="G80" s="1"/>
      <c r="H80" s="1" cm="1">
        <f t="array" ref="H80">SUM(AA23:AE23*BR23:BV23-R23*BK23:BO23)</f>
        <v>0</v>
      </c>
      <c r="I80" s="1" t="s">
        <v>24</v>
      </c>
      <c r="J80" s="1">
        <v>0</v>
      </c>
      <c r="K80" s="1"/>
      <c r="L80" s="1"/>
      <c r="M80" s="1" cm="1">
        <f t="array" ref="M80">SUM(AA23:AE23*BR23:BV23-U23*BK23:BO23)</f>
        <v>0</v>
      </c>
      <c r="N80" s="1" t="s">
        <v>21</v>
      </c>
      <c r="O80" s="1"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</row>
    <row r="81" spans="1:201" ht="15.6" x14ac:dyDescent="0.3">
      <c r="A81" s="1"/>
      <c r="B81" s="7"/>
      <c r="C81" s="1">
        <f t="shared" si="12"/>
        <v>0</v>
      </c>
      <c r="D81" s="1" t="s">
        <v>21</v>
      </c>
      <c r="E81" s="1">
        <v>1</v>
      </c>
      <c r="F81" s="1"/>
      <c r="G81" s="1"/>
      <c r="H81" s="1" cm="1">
        <f t="array" ref="H81">SUM(AA24:AE24*BR24:BV24-R24*BK24:BO24)</f>
        <v>0</v>
      </c>
      <c r="I81" s="1" t="s">
        <v>24</v>
      </c>
      <c r="J81" s="1">
        <v>0</v>
      </c>
      <c r="K81" s="1"/>
      <c r="L81" s="1"/>
      <c r="M81" s="1" cm="1">
        <f t="array" ref="M81">SUM(AA24:AE24*BR24:BV24-U24*BK24:BO24)</f>
        <v>0</v>
      </c>
      <c r="N81" s="1" t="s">
        <v>21</v>
      </c>
      <c r="O81" s="1"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</row>
    <row r="82" spans="1:201" ht="15.6" x14ac:dyDescent="0.3">
      <c r="A82" s="1"/>
      <c r="B82" s="7"/>
      <c r="C82" s="1">
        <f t="shared" si="12"/>
        <v>0</v>
      </c>
      <c r="D82" s="1" t="s">
        <v>21</v>
      </c>
      <c r="E82" s="1">
        <v>1</v>
      </c>
      <c r="F82" s="1"/>
      <c r="G82" s="1"/>
      <c r="H82" s="1" cm="1">
        <f t="array" ref="H82">SUM(AA25:AE25*BR25:BV25-R25*BK25:BO25)</f>
        <v>0</v>
      </c>
      <c r="I82" s="1" t="s">
        <v>24</v>
      </c>
      <c r="J82" s="1">
        <v>0</v>
      </c>
      <c r="K82" s="1"/>
      <c r="L82" s="1"/>
      <c r="M82" s="1" cm="1">
        <f t="array" ref="M82">SUM(AA25:AE25*BR25:BV25-U25*BK25:BO25)</f>
        <v>0</v>
      </c>
      <c r="N82" s="1" t="s">
        <v>21</v>
      </c>
      <c r="O82" s="1"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</row>
    <row r="83" spans="1:201" ht="15.6" x14ac:dyDescent="0.3">
      <c r="A83" s="1"/>
      <c r="B83" s="7"/>
      <c r="C83" s="1">
        <f t="shared" si="12"/>
        <v>1</v>
      </c>
      <c r="D83" s="1" t="s">
        <v>21</v>
      </c>
      <c r="E83" s="1">
        <v>1</v>
      </c>
      <c r="F83" s="1"/>
      <c r="G83" s="1"/>
      <c r="H83" s="1" cm="1">
        <f t="array" ref="H83">SUM(AA26:AE26*BR26:BV26-R26*BK26:BO26)</f>
        <v>7</v>
      </c>
      <c r="I83" s="1" t="s">
        <v>24</v>
      </c>
      <c r="J83" s="1">
        <v>0</v>
      </c>
      <c r="K83" s="1"/>
      <c r="L83" s="1"/>
      <c r="M83" s="1" cm="1">
        <f t="array" ref="M83">SUM(AA26:AE26*BR26:BV26-U26*BK26:BO26)</f>
        <v>-15</v>
      </c>
      <c r="N83" s="1" t="s">
        <v>21</v>
      </c>
      <c r="O83" s="1"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</row>
    <row r="84" spans="1:201" ht="15.6" x14ac:dyDescent="0.3">
      <c r="A84" s="1"/>
      <c r="B84" s="7"/>
      <c r="C84" s="1">
        <f t="shared" si="12"/>
        <v>1</v>
      </c>
      <c r="D84" s="1" t="s">
        <v>21</v>
      </c>
      <c r="E84" s="1">
        <v>1</v>
      </c>
      <c r="F84" s="1"/>
      <c r="G84" s="1"/>
      <c r="H84" s="1" cm="1">
        <f t="array" ref="H84">SUM(AA27:AE27*BR27:BV27-R27*BK27:BO27)</f>
        <v>2</v>
      </c>
      <c r="I84" s="1" t="s">
        <v>24</v>
      </c>
      <c r="J84" s="1">
        <v>0</v>
      </c>
      <c r="K84" s="1"/>
      <c r="L84" s="1"/>
      <c r="M84" s="1" cm="1">
        <f t="array" ref="M84">SUM(AA27:AE27*BR27:BV27-U27*BK27:BO27)</f>
        <v>-13</v>
      </c>
      <c r="N84" s="1" t="s">
        <v>21</v>
      </c>
      <c r="O84" s="1"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</row>
    <row r="85" spans="1:201" ht="15.6" x14ac:dyDescent="0.3">
      <c r="A85" s="1"/>
      <c r="B85" s="7"/>
      <c r="C85" s="1">
        <f t="shared" si="12"/>
        <v>1</v>
      </c>
      <c r="D85" s="1" t="s">
        <v>21</v>
      </c>
      <c r="E85" s="1">
        <v>1</v>
      </c>
      <c r="F85" s="1"/>
      <c r="G85" s="1"/>
      <c r="H85" s="1" cm="1">
        <f t="array" ref="H85">SUM(AA28:AE28*BR28:BV28-R28*BK28:BO28)</f>
        <v>2</v>
      </c>
      <c r="I85" s="1" t="s">
        <v>24</v>
      </c>
      <c r="J85" s="1">
        <v>0</v>
      </c>
      <c r="K85" s="1"/>
      <c r="L85" s="1"/>
      <c r="M85" s="1" cm="1">
        <f t="array" ref="M85">SUM(AA28:AE28*BR28:BV28-U28*BK28:BO28)</f>
        <v>-9</v>
      </c>
      <c r="N85" s="1" t="s">
        <v>21</v>
      </c>
      <c r="O85" s="1"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</row>
    <row r="86" spans="1:201" ht="15.6" x14ac:dyDescent="0.3">
      <c r="A86" s="1"/>
      <c r="B86" s="7"/>
      <c r="C86" s="1">
        <f t="shared" si="12"/>
        <v>1</v>
      </c>
      <c r="D86" s="1" t="s">
        <v>21</v>
      </c>
      <c r="E86" s="1">
        <v>1</v>
      </c>
      <c r="F86" s="1"/>
      <c r="G86" s="1"/>
      <c r="H86" s="1" cm="1">
        <f t="array" ref="H86">SUM(AA29:AE29*BR29:BV29-R29*BK29:BO29)</f>
        <v>9</v>
      </c>
      <c r="I86" s="1" t="s">
        <v>24</v>
      </c>
      <c r="J86" s="1">
        <v>0</v>
      </c>
      <c r="K86" s="1"/>
      <c r="L86" s="1"/>
      <c r="M86" s="1" cm="1">
        <f t="array" ref="M86">SUM(AA29:AE29*BR29:BV29-U29*BK29:BO29)</f>
        <v>-6</v>
      </c>
      <c r="N86" s="1" t="s">
        <v>21</v>
      </c>
      <c r="O86" s="1"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</row>
    <row r="87" spans="1:201" ht="15.6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F87" s="1"/>
      <c r="G87" s="1"/>
      <c r="H87" s="1" cm="1">
        <f t="array" ref="H87">SUM(AA30:AE30*BR30:BV30-R30*BK30:BO30)</f>
        <v>10</v>
      </c>
      <c r="I87" s="1" t="s">
        <v>24</v>
      </c>
      <c r="J87" s="1">
        <v>0</v>
      </c>
      <c r="K87" s="1"/>
      <c r="L87" s="1"/>
      <c r="M87" s="1" cm="1">
        <f t="array" ref="M87">SUM(AA30:AE30*BR30:BV30-U30*BK30:BO30)</f>
        <v>-2</v>
      </c>
      <c r="N87" s="1" t="s">
        <v>21</v>
      </c>
      <c r="O87" s="1"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</row>
    <row r="88" spans="1:201" ht="15.6" x14ac:dyDescent="0.3">
      <c r="A88" s="70"/>
      <c r="B88" s="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</row>
    <row r="89" spans="1:201" ht="15.6" x14ac:dyDescent="0.3">
      <c r="A89" s="70"/>
      <c r="B89" s="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</row>
    <row r="90" spans="1:201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</row>
    <row r="91" spans="1:201" ht="15.6" x14ac:dyDescent="0.3">
      <c r="A91" s="70"/>
      <c r="B91" s="1"/>
      <c r="C91" s="1"/>
      <c r="D91" s="1"/>
      <c r="E91" s="38"/>
      <c r="F91" s="38"/>
      <c r="G91" s="38"/>
      <c r="H91" s="38"/>
      <c r="I91" s="38"/>
      <c r="J91" s="3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</row>
    <row r="92" spans="1:201" ht="15.6" x14ac:dyDescent="0.3">
      <c r="A92" s="7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</row>
    <row r="93" spans="1:201" ht="15.6" x14ac:dyDescent="0.3">
      <c r="A93" s="7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</row>
    <row r="94" spans="1:201" ht="15.6" x14ac:dyDescent="0.3">
      <c r="A94" s="7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</row>
    <row r="95" spans="1:201" ht="15.6" x14ac:dyDescent="0.3">
      <c r="A95" s="7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</row>
    <row r="96" spans="1:201" ht="15.6" x14ac:dyDescent="0.3">
      <c r="A96" s="70"/>
      <c r="B96" s="65"/>
      <c r="C96" s="67"/>
      <c r="D96" s="64"/>
      <c r="E96" s="64"/>
      <c r="F96" s="64"/>
      <c r="G96" s="64"/>
      <c r="H96" s="6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</row>
    <row r="97" spans="1:201" ht="15.6" x14ac:dyDescent="0.3">
      <c r="A97" s="70"/>
      <c r="B97" s="65"/>
      <c r="C97" s="66"/>
      <c r="D97" s="64"/>
      <c r="E97" s="64"/>
      <c r="F97" s="64"/>
      <c r="G97" s="64"/>
      <c r="H97" s="6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</row>
    <row r="98" spans="1:201" ht="15.6" x14ac:dyDescent="0.3">
      <c r="A98" s="70"/>
      <c r="B98" s="65"/>
      <c r="C98" s="67"/>
      <c r="D98" s="64"/>
      <c r="E98" s="64"/>
      <c r="F98" s="64"/>
      <c r="G98" s="64"/>
      <c r="H98" s="6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</row>
    <row r="99" spans="1:201" ht="15.6" x14ac:dyDescent="0.3">
      <c r="A99" s="70"/>
      <c r="B99" s="65"/>
      <c r="C99" s="67"/>
      <c r="D99" s="64"/>
      <c r="E99" s="64"/>
      <c r="F99" s="64"/>
      <c r="G99" s="64"/>
      <c r="H99" s="6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</row>
    <row r="100" spans="1:201" ht="15.6" x14ac:dyDescent="0.3">
      <c r="A100" s="70"/>
      <c r="B100" s="65"/>
      <c r="C100" s="67"/>
      <c r="D100" s="64"/>
      <c r="E100" s="64"/>
      <c r="F100" s="64"/>
      <c r="G100" s="64"/>
      <c r="H100" s="6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</row>
    <row r="101" spans="1:201" ht="15.6" x14ac:dyDescent="0.3">
      <c r="A101" s="70"/>
      <c r="B101" s="65"/>
      <c r="C101" s="67"/>
      <c r="D101" s="64"/>
      <c r="E101" s="64"/>
      <c r="F101" s="64"/>
      <c r="G101" s="64"/>
      <c r="H101" s="6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</row>
    <row r="102" spans="1:201" ht="15.6" x14ac:dyDescent="0.3">
      <c r="A102" s="70"/>
      <c r="B102" s="65"/>
      <c r="C102" s="67"/>
      <c r="D102" s="64"/>
      <c r="E102" s="64"/>
      <c r="F102" s="64"/>
      <c r="G102" s="64"/>
      <c r="H102" s="6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</row>
    <row r="103" spans="1:201" ht="15.6" x14ac:dyDescent="0.3">
      <c r="A103" s="70"/>
      <c r="B103" s="65"/>
      <c r="C103" s="66"/>
      <c r="D103" s="64"/>
      <c r="E103" s="64"/>
      <c r="F103" s="64"/>
      <c r="G103" s="64"/>
      <c r="H103" s="6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</row>
    <row r="104" spans="1:201" ht="15.6" x14ac:dyDescent="0.3">
      <c r="A104" s="70"/>
      <c r="B104" s="65"/>
      <c r="C104" s="66"/>
      <c r="D104" s="64"/>
      <c r="E104" s="64"/>
      <c r="F104" s="64"/>
      <c r="G104" s="64"/>
      <c r="H104" s="6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</row>
    <row r="105" spans="1:201" ht="15.6" x14ac:dyDescent="0.3">
      <c r="A105" s="70"/>
      <c r="B105" s="65"/>
      <c r="C105" s="66"/>
      <c r="D105" s="64"/>
      <c r="E105" s="64"/>
      <c r="F105" s="64"/>
      <c r="G105" s="64"/>
      <c r="H105" s="6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</row>
    <row r="106" spans="1:201" ht="15.6" x14ac:dyDescent="0.3">
      <c r="A106" s="70"/>
      <c r="B106" s="65"/>
      <c r="C106" s="66"/>
      <c r="D106" s="64"/>
      <c r="E106" s="64"/>
      <c r="F106" s="64"/>
      <c r="G106" s="64"/>
      <c r="H106" s="6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</row>
    <row r="107" spans="1:201" ht="15.6" x14ac:dyDescent="0.3">
      <c r="A107" s="70"/>
      <c r="B107" s="65"/>
      <c r="C107" s="66"/>
      <c r="D107" s="64"/>
      <c r="E107" s="64"/>
      <c r="F107" s="64"/>
      <c r="G107" s="64"/>
      <c r="H107" s="6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</row>
    <row r="108" spans="1:201" ht="15.6" x14ac:dyDescent="0.3">
      <c r="A108" s="70"/>
      <c r="B108" s="65"/>
      <c r="C108" s="66"/>
      <c r="D108" s="64"/>
      <c r="E108" s="64"/>
      <c r="F108" s="64"/>
      <c r="G108" s="64"/>
      <c r="H108" s="6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</row>
    <row r="109" spans="1:201" ht="15.6" x14ac:dyDescent="0.3">
      <c r="A109" s="70"/>
      <c r="B109" s="65"/>
      <c r="C109" s="66"/>
      <c r="D109" s="64"/>
      <c r="E109" s="64"/>
      <c r="F109" s="64"/>
      <c r="G109" s="64"/>
      <c r="H109" s="6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</row>
    <row r="110" spans="1:201" ht="15.6" x14ac:dyDescent="0.3">
      <c r="A110" s="70"/>
      <c r="B110" s="65"/>
      <c r="C110" s="66"/>
      <c r="D110" s="64"/>
      <c r="E110" s="64"/>
      <c r="F110" s="64"/>
      <c r="G110" s="64"/>
      <c r="H110" s="6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</row>
    <row r="111" spans="1:201" ht="15.6" x14ac:dyDescent="0.3">
      <c r="A111" s="70"/>
      <c r="B111" s="65"/>
      <c r="C111" s="66"/>
      <c r="D111" s="64"/>
      <c r="E111" s="64"/>
      <c r="F111" s="64"/>
      <c r="G111" s="64"/>
      <c r="H111" s="6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</row>
    <row r="112" spans="1:201" ht="15.6" x14ac:dyDescent="0.3">
      <c r="A112" s="70"/>
      <c r="B112" s="65"/>
      <c r="C112" s="66"/>
      <c r="D112" s="64"/>
      <c r="E112" s="64"/>
      <c r="F112" s="64"/>
      <c r="G112" s="64"/>
      <c r="H112" s="6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</row>
    <row r="113" spans="1:201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</row>
    <row r="114" spans="1:201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</row>
    <row r="115" spans="1:201" ht="15.6" x14ac:dyDescent="0.3">
      <c r="A115" s="71"/>
      <c r="B115" s="1"/>
      <c r="C115" s="1"/>
      <c r="D115" s="72"/>
      <c r="E115" s="1"/>
      <c r="F115" s="71"/>
      <c r="G115" s="64"/>
      <c r="H115" s="65"/>
      <c r="I115" s="64"/>
      <c r="J115" s="65"/>
      <c r="K115" s="6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</row>
    <row r="116" spans="1:201" ht="15.6" x14ac:dyDescent="0.3">
      <c r="A116" s="68"/>
      <c r="B116" s="68"/>
      <c r="C116" s="68"/>
      <c r="D116" s="68"/>
      <c r="E116" s="1"/>
      <c r="F116" s="1"/>
      <c r="G116" s="68"/>
      <c r="H116" s="6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</row>
    <row r="117" spans="1:201" ht="15.6" x14ac:dyDescent="0.3">
      <c r="A117" s="68"/>
      <c r="B117" s="68"/>
      <c r="C117" s="68"/>
      <c r="D117" s="6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</row>
    <row r="118" spans="1:201" ht="15.6" x14ac:dyDescent="0.3">
      <c r="A118" s="68"/>
      <c r="B118" s="68"/>
      <c r="C118" s="1"/>
      <c r="D118" s="1"/>
      <c r="E118" s="1"/>
      <c r="F118" s="7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</row>
    <row r="119" spans="1:201" ht="15.6" x14ac:dyDescent="0.3">
      <c r="A119" s="68"/>
      <c r="B119" s="6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</row>
    <row r="120" spans="1:201" ht="15.6" x14ac:dyDescent="0.3">
      <c r="A120" s="68"/>
      <c r="B120" s="6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</row>
    <row r="121" spans="1:201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</row>
    <row r="122" spans="1:201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</row>
    <row r="123" spans="1:201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</row>
    <row r="124" spans="1:201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</row>
    <row r="125" spans="1:201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</row>
    <row r="126" spans="1:201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</row>
    <row r="127" spans="1:201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</row>
    <row r="128" spans="1:201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</row>
    <row r="129" spans="1:201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</row>
    <row r="130" spans="1:201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</row>
    <row r="131" spans="1:201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</row>
    <row r="132" spans="1:201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</row>
    <row r="133" spans="1:201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</row>
    <row r="134" spans="1:201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</row>
    <row r="135" spans="1:201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</row>
    <row r="136" spans="1:201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</row>
    <row r="137" spans="1:201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</row>
    <row r="138" spans="1:201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</row>
    <row r="139" spans="1:201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</row>
    <row r="140" spans="1:201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</row>
    <row r="141" spans="1:201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</row>
    <row r="142" spans="1:201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</row>
    <row r="143" spans="1:201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</row>
    <row r="144" spans="1:201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</row>
    <row r="145" spans="1:201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</row>
    <row r="146" spans="1:201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</row>
    <row r="147" spans="1:201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</row>
    <row r="148" spans="1:201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</row>
    <row r="149" spans="1:201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</row>
    <row r="150" spans="1:201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</row>
    <row r="151" spans="1:201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</row>
    <row r="152" spans="1:201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</row>
    <row r="153" spans="1:201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</row>
    <row r="154" spans="1:201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</row>
    <row r="155" spans="1:201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</row>
    <row r="156" spans="1:201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</row>
    <row r="157" spans="1:201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</row>
    <row r="158" spans="1:201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</row>
    <row r="159" spans="1:201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</row>
    <row r="160" spans="1:201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</row>
    <row r="161" spans="1:201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</row>
    <row r="162" spans="1:201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</row>
    <row r="163" spans="1:201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</row>
    <row r="164" spans="1:201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</row>
    <row r="165" spans="1:201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</row>
    <row r="166" spans="1:201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</row>
    <row r="167" spans="1:201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</row>
    <row r="168" spans="1:201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</row>
    <row r="169" spans="1:201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</row>
    <row r="170" spans="1:201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</row>
    <row r="171" spans="1:201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</row>
    <row r="172" spans="1:201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</row>
    <row r="173" spans="1:201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</row>
    <row r="174" spans="1:201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</row>
    <row r="175" spans="1:201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</row>
    <row r="176" spans="1:201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</row>
    <row r="177" spans="1:201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</row>
    <row r="178" spans="1:201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</row>
    <row r="179" spans="1:201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</row>
    <row r="180" spans="1:201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</row>
    <row r="181" spans="1:201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</row>
    <row r="182" spans="1:201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</row>
    <row r="183" spans="1:201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</row>
    <row r="184" spans="1:201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</row>
    <row r="185" spans="1:201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</row>
    <row r="186" spans="1:201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</row>
    <row r="187" spans="1:201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</row>
    <row r="188" spans="1:201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</row>
    <row r="189" spans="1:201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</row>
    <row r="190" spans="1:201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</row>
    <row r="191" spans="1:201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</row>
    <row r="192" spans="1:201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</row>
    <row r="193" spans="1:201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</row>
    <row r="194" spans="1:201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</row>
    <row r="195" spans="1:201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</row>
    <row r="196" spans="1:201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</row>
    <row r="197" spans="1:201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2E42-AE2A-4812-B255-C468F28B8D24}">
  <dimension ref="A1:CC120"/>
  <sheetViews>
    <sheetView topLeftCell="X49" zoomScale="85" zoomScaleNormal="85" workbookViewId="0">
      <selection activeCell="AH48" sqref="AH48:AH53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1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9.88671875" style="1" bestFit="1" customWidth="1"/>
    <col min="63" max="68" width="8.88671875" style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34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AF3" s="9"/>
      <c r="AH3" s="10" t="s">
        <v>27</v>
      </c>
      <c r="AI3" s="38"/>
      <c r="AJ3" s="38"/>
      <c r="AK3" s="38"/>
      <c r="AL3" s="38"/>
      <c r="AM3" s="38"/>
      <c r="BH3" s="9"/>
      <c r="BJ3" s="7"/>
      <c r="BQ3" s="1" t="s">
        <v>1163</v>
      </c>
      <c r="BX3" s="1" t="s">
        <v>1164</v>
      </c>
      <c r="CC3" s="9"/>
    </row>
    <row r="4" spans="2:81" x14ac:dyDescent="0.3">
      <c r="B4" s="7"/>
      <c r="F4" s="38"/>
      <c r="G4" s="38"/>
      <c r="H4" s="38"/>
      <c r="I4" s="38"/>
      <c r="J4" s="38"/>
      <c r="K4" s="38"/>
      <c r="Z4" s="1" t="s">
        <v>8</v>
      </c>
      <c r="AF4" s="9"/>
      <c r="AG4" s="63"/>
      <c r="AH4" s="7" t="s">
        <v>28</v>
      </c>
      <c r="AI4" s="38"/>
      <c r="AJ4" s="38"/>
      <c r="AK4" s="38"/>
      <c r="AL4" s="38"/>
      <c r="AM4" s="38"/>
      <c r="AO4" s="1" t="s">
        <v>31</v>
      </c>
      <c r="AP4" s="38"/>
      <c r="AQ4" s="38"/>
      <c r="AR4" s="38"/>
      <c r="AS4" s="38"/>
      <c r="AT4" s="38"/>
      <c r="AV4" s="1" t="s">
        <v>30</v>
      </c>
      <c r="AW4" s="38"/>
      <c r="AX4" s="38"/>
      <c r="AY4" s="38"/>
      <c r="AZ4" s="38"/>
      <c r="BA4" s="38"/>
      <c r="BC4" s="1" t="s">
        <v>29</v>
      </c>
      <c r="BD4" s="38"/>
      <c r="BE4" s="38"/>
      <c r="BF4" s="38"/>
      <c r="BG4" s="38"/>
      <c r="BH4" s="34"/>
      <c r="BJ4" s="7" t="s">
        <v>35</v>
      </c>
      <c r="BQ4" s="1" t="s">
        <v>1162</v>
      </c>
      <c r="BV4" s="58"/>
      <c r="BX4" s="1" t="s">
        <v>1161</v>
      </c>
      <c r="CC4" s="9"/>
    </row>
    <row r="5" spans="2:81" x14ac:dyDescent="0.3">
      <c r="B5" s="13"/>
      <c r="C5" s="38" t="s">
        <v>9</v>
      </c>
      <c r="E5" s="64"/>
      <c r="F5" s="38" t="s">
        <v>10</v>
      </c>
      <c r="H5" s="64"/>
      <c r="I5" s="38" t="s">
        <v>11</v>
      </c>
      <c r="K5" s="64"/>
      <c r="L5" s="38" t="s">
        <v>12</v>
      </c>
      <c r="N5" s="64"/>
      <c r="O5" s="38" t="s">
        <v>13</v>
      </c>
      <c r="Q5" s="64"/>
      <c r="R5" s="38" t="s">
        <v>14</v>
      </c>
      <c r="T5" s="63"/>
      <c r="U5" s="38" t="s">
        <v>15</v>
      </c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65">
        <v>15</v>
      </c>
      <c r="E6" s="42">
        <v>1</v>
      </c>
      <c r="F6" s="66">
        <v>10</v>
      </c>
      <c r="H6" s="42">
        <v>1</v>
      </c>
      <c r="I6" s="64">
        <v>7</v>
      </c>
      <c r="K6" s="42">
        <v>1</v>
      </c>
      <c r="L6" s="64">
        <v>4</v>
      </c>
      <c r="N6" s="42">
        <v>1</v>
      </c>
      <c r="O6" s="64">
        <v>0.5</v>
      </c>
      <c r="Q6" s="42">
        <v>1</v>
      </c>
      <c r="R6" s="64">
        <v>2</v>
      </c>
      <c r="T6" s="42">
        <v>1</v>
      </c>
      <c r="U6" s="65">
        <v>15</v>
      </c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21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Q6" s="23">
        <v>1</v>
      </c>
      <c r="BR6" s="16">
        <f>AI6+AP6*2+AW6*3+BD6*4</f>
        <v>0</v>
      </c>
      <c r="BS6" s="16">
        <f t="shared" ref="BS6:BV21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X6" s="23">
        <v>1</v>
      </c>
      <c r="BY6" s="16">
        <f>AI6+AP6*POWER(2,$O6)+AW6*POWER(3,$O6)+BD6*POWER(4,$O6)</f>
        <v>0</v>
      </c>
      <c r="BZ6" s="16">
        <f t="shared" ref="BZ6:CC21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65">
        <v>8</v>
      </c>
      <c r="E7" s="42">
        <v>2</v>
      </c>
      <c r="F7" s="67">
        <v>9</v>
      </c>
      <c r="H7" s="42">
        <v>2</v>
      </c>
      <c r="I7" s="64">
        <v>6</v>
      </c>
      <c r="K7" s="42">
        <v>2</v>
      </c>
      <c r="L7" s="64">
        <v>10</v>
      </c>
      <c r="N7" s="42">
        <v>2</v>
      </c>
      <c r="O7" s="64">
        <v>0.2</v>
      </c>
      <c r="Q7" s="42">
        <v>2</v>
      </c>
      <c r="R7" s="64">
        <v>1</v>
      </c>
      <c r="T7" s="42">
        <v>2</v>
      </c>
      <c r="U7" s="65">
        <v>19</v>
      </c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O30" si="8">AI7+AP7+AW7+BD7</f>
        <v>1</v>
      </c>
      <c r="BL7" s="16">
        <f t="shared" si="0"/>
        <v>0</v>
      </c>
      <c r="BM7" s="16">
        <f t="shared" si="0"/>
        <v>0</v>
      </c>
      <c r="BN7" s="16">
        <f t="shared" si="0"/>
        <v>0</v>
      </c>
      <c r="BO7" s="16">
        <f t="shared" si="0"/>
        <v>0</v>
      </c>
      <c r="BQ7" s="23">
        <v>2</v>
      </c>
      <c r="BR7" s="16">
        <f t="shared" ref="BR7:BV30" si="9">AI7+AP7*2+AW7*3+BD7*4</f>
        <v>1</v>
      </c>
      <c r="BS7" s="16">
        <f t="shared" si="1"/>
        <v>0</v>
      </c>
      <c r="BT7" s="16">
        <f t="shared" si="1"/>
        <v>0</v>
      </c>
      <c r="BU7" s="16">
        <f t="shared" si="1"/>
        <v>0</v>
      </c>
      <c r="BV7" s="16">
        <f t="shared" si="1"/>
        <v>0</v>
      </c>
      <c r="BX7" s="23">
        <v>2</v>
      </c>
      <c r="BY7" s="16">
        <f t="shared" ref="BY7:CC30" si="10">AI7+AP7*POWER(2,$O7)+AW7*POWER(3,$O7)+BD7*POWER(4,$O7)</f>
        <v>1</v>
      </c>
      <c r="BZ7" s="16">
        <f t="shared" si="2"/>
        <v>0</v>
      </c>
      <c r="CA7" s="16">
        <f t="shared" si="2"/>
        <v>0</v>
      </c>
      <c r="CB7" s="16">
        <f t="shared" si="2"/>
        <v>0</v>
      </c>
      <c r="CC7" s="19">
        <f t="shared" si="2"/>
        <v>0</v>
      </c>
    </row>
    <row r="8" spans="2:81" x14ac:dyDescent="0.3">
      <c r="B8" s="41">
        <v>3</v>
      </c>
      <c r="C8" s="65">
        <v>12</v>
      </c>
      <c r="E8" s="42">
        <v>3</v>
      </c>
      <c r="F8" s="67">
        <v>5</v>
      </c>
      <c r="H8" s="42">
        <v>3</v>
      </c>
      <c r="I8" s="64">
        <v>10</v>
      </c>
      <c r="K8" s="42">
        <v>3</v>
      </c>
      <c r="L8" s="64">
        <v>10</v>
      </c>
      <c r="N8" s="42">
        <v>3</v>
      </c>
      <c r="O8" s="64">
        <v>0.3</v>
      </c>
      <c r="Q8" s="42">
        <v>3</v>
      </c>
      <c r="R8" s="64">
        <v>1</v>
      </c>
      <c r="T8" s="42">
        <v>3</v>
      </c>
      <c r="U8" s="65">
        <v>23</v>
      </c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0"/>
        <v>0</v>
      </c>
      <c r="BM8" s="16">
        <f t="shared" si="0"/>
        <v>1</v>
      </c>
      <c r="BN8" s="16">
        <f t="shared" si="0"/>
        <v>0</v>
      </c>
      <c r="BO8" s="16">
        <f t="shared" si="0"/>
        <v>0</v>
      </c>
      <c r="BQ8" s="23">
        <v>3</v>
      </c>
      <c r="BR8" s="16">
        <f t="shared" si="9"/>
        <v>0</v>
      </c>
      <c r="BS8" s="16">
        <f t="shared" si="1"/>
        <v>0</v>
      </c>
      <c r="BT8" s="16">
        <f t="shared" si="1"/>
        <v>1</v>
      </c>
      <c r="BU8" s="16">
        <f t="shared" si="1"/>
        <v>0</v>
      </c>
      <c r="BV8" s="16">
        <f t="shared" si="1"/>
        <v>0</v>
      </c>
      <c r="BX8" s="23">
        <v>3</v>
      </c>
      <c r="BY8" s="16">
        <f t="shared" si="10"/>
        <v>0</v>
      </c>
      <c r="BZ8" s="16">
        <f t="shared" si="2"/>
        <v>0</v>
      </c>
      <c r="CA8" s="16">
        <f t="shared" si="2"/>
        <v>1</v>
      </c>
      <c r="CB8" s="16">
        <f t="shared" si="2"/>
        <v>0</v>
      </c>
      <c r="CC8" s="19">
        <f t="shared" si="2"/>
        <v>0</v>
      </c>
    </row>
    <row r="9" spans="2:81" x14ac:dyDescent="0.3">
      <c r="B9" s="41">
        <v>4</v>
      </c>
      <c r="C9" s="65">
        <v>6</v>
      </c>
      <c r="E9" s="42">
        <v>4</v>
      </c>
      <c r="F9" s="67">
        <v>7</v>
      </c>
      <c r="H9" s="42">
        <v>4</v>
      </c>
      <c r="I9" s="64">
        <v>7</v>
      </c>
      <c r="K9" s="42">
        <v>4</v>
      </c>
      <c r="L9" s="64">
        <v>7</v>
      </c>
      <c r="N9" s="42">
        <v>4</v>
      </c>
      <c r="O9" s="64">
        <v>0.2</v>
      </c>
      <c r="Q9" s="42">
        <v>4</v>
      </c>
      <c r="R9" s="64">
        <v>1</v>
      </c>
      <c r="T9" s="42">
        <v>4</v>
      </c>
      <c r="U9" s="65">
        <v>9</v>
      </c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0</v>
      </c>
      <c r="AL9" s="16">
        <v>0</v>
      </c>
      <c r="AM9" s="16">
        <v>1</v>
      </c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0"/>
        <v>0</v>
      </c>
      <c r="BM9" s="16">
        <f t="shared" si="0"/>
        <v>0</v>
      </c>
      <c r="BN9" s="16">
        <f t="shared" si="0"/>
        <v>0</v>
      </c>
      <c r="BO9" s="16">
        <f t="shared" si="0"/>
        <v>1</v>
      </c>
      <c r="BQ9" s="23">
        <v>4</v>
      </c>
      <c r="BR9" s="16">
        <f t="shared" si="9"/>
        <v>0</v>
      </c>
      <c r="BS9" s="16">
        <f t="shared" si="1"/>
        <v>0</v>
      </c>
      <c r="BT9" s="16">
        <f t="shared" si="1"/>
        <v>0</v>
      </c>
      <c r="BU9" s="16">
        <f t="shared" si="1"/>
        <v>0</v>
      </c>
      <c r="BV9" s="16">
        <f t="shared" si="1"/>
        <v>1</v>
      </c>
      <c r="BX9" s="23">
        <v>4</v>
      </c>
      <c r="BY9" s="16">
        <f t="shared" si="10"/>
        <v>0</v>
      </c>
      <c r="BZ9" s="16">
        <f t="shared" si="2"/>
        <v>0</v>
      </c>
      <c r="CA9" s="16">
        <f t="shared" si="2"/>
        <v>0</v>
      </c>
      <c r="CB9" s="16">
        <f t="shared" si="2"/>
        <v>0</v>
      </c>
      <c r="CC9" s="19">
        <f t="shared" si="2"/>
        <v>1</v>
      </c>
    </row>
    <row r="10" spans="2:81" x14ac:dyDescent="0.3">
      <c r="B10" s="41">
        <v>5</v>
      </c>
      <c r="C10" s="65">
        <v>11</v>
      </c>
      <c r="E10" s="42">
        <v>5</v>
      </c>
      <c r="F10" s="67">
        <v>9</v>
      </c>
      <c r="H10" s="42">
        <v>5</v>
      </c>
      <c r="I10" s="64">
        <v>9</v>
      </c>
      <c r="K10" s="42">
        <v>5</v>
      </c>
      <c r="L10" s="64">
        <v>5</v>
      </c>
      <c r="N10" s="42">
        <v>5</v>
      </c>
      <c r="O10" s="64">
        <v>0.9</v>
      </c>
      <c r="Q10" s="42">
        <v>5</v>
      </c>
      <c r="R10" s="64">
        <v>1</v>
      </c>
      <c r="T10" s="42">
        <v>5</v>
      </c>
      <c r="U10" s="65">
        <v>16</v>
      </c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0"/>
        <v>0</v>
      </c>
      <c r="BM10" s="16">
        <f t="shared" si="0"/>
        <v>1</v>
      </c>
      <c r="BN10" s="16">
        <f t="shared" si="0"/>
        <v>0</v>
      </c>
      <c r="BO10" s="16">
        <f t="shared" si="0"/>
        <v>0</v>
      </c>
      <c r="BQ10" s="23">
        <v>5</v>
      </c>
      <c r="BR10" s="16">
        <f t="shared" si="9"/>
        <v>0</v>
      </c>
      <c r="BS10" s="16">
        <f t="shared" si="1"/>
        <v>0</v>
      </c>
      <c r="BT10" s="16">
        <f t="shared" si="1"/>
        <v>4</v>
      </c>
      <c r="BU10" s="16">
        <f t="shared" si="1"/>
        <v>0</v>
      </c>
      <c r="BV10" s="16">
        <f t="shared" si="1"/>
        <v>0</v>
      </c>
      <c r="BX10" s="23">
        <v>5</v>
      </c>
      <c r="BY10" s="16">
        <f t="shared" si="10"/>
        <v>0</v>
      </c>
      <c r="BZ10" s="16">
        <f t="shared" si="2"/>
        <v>0</v>
      </c>
      <c r="CA10" s="16">
        <f t="shared" si="2"/>
        <v>3.4822022531844965</v>
      </c>
      <c r="CB10" s="16">
        <f t="shared" si="2"/>
        <v>0</v>
      </c>
      <c r="CC10" s="19">
        <f t="shared" si="2"/>
        <v>0</v>
      </c>
    </row>
    <row r="11" spans="2:81" x14ac:dyDescent="0.3">
      <c r="B11" s="41">
        <v>6</v>
      </c>
      <c r="C11" s="65">
        <v>14</v>
      </c>
      <c r="E11" s="42">
        <v>6</v>
      </c>
      <c r="F11" s="67">
        <v>6</v>
      </c>
      <c r="H11" s="42">
        <v>6</v>
      </c>
      <c r="I11" s="64">
        <v>8</v>
      </c>
      <c r="K11" s="42">
        <v>6</v>
      </c>
      <c r="L11" s="64">
        <v>2</v>
      </c>
      <c r="N11" s="42">
        <v>6</v>
      </c>
      <c r="O11" s="64">
        <v>0.4</v>
      </c>
      <c r="Q11" s="42">
        <v>6</v>
      </c>
      <c r="R11" s="64">
        <v>1</v>
      </c>
      <c r="T11" s="42">
        <v>6</v>
      </c>
      <c r="U11" s="65">
        <v>21</v>
      </c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1</v>
      </c>
      <c r="BL11" s="16">
        <f t="shared" si="0"/>
        <v>0</v>
      </c>
      <c r="BM11" s="16">
        <f t="shared" si="0"/>
        <v>0</v>
      </c>
      <c r="BN11" s="16">
        <f t="shared" si="0"/>
        <v>0</v>
      </c>
      <c r="BO11" s="16">
        <f t="shared" si="0"/>
        <v>0</v>
      </c>
      <c r="BQ11" s="23">
        <v>6</v>
      </c>
      <c r="BR11" s="16">
        <f t="shared" si="9"/>
        <v>1</v>
      </c>
      <c r="BS11" s="16">
        <f t="shared" si="1"/>
        <v>0</v>
      </c>
      <c r="BT11" s="16">
        <f t="shared" si="1"/>
        <v>0</v>
      </c>
      <c r="BU11" s="16">
        <f t="shared" si="1"/>
        <v>0</v>
      </c>
      <c r="BV11" s="16">
        <f t="shared" si="1"/>
        <v>0</v>
      </c>
      <c r="BX11" s="23">
        <v>6</v>
      </c>
      <c r="BY11" s="16">
        <f t="shared" si="10"/>
        <v>1</v>
      </c>
      <c r="BZ11" s="16">
        <f t="shared" si="2"/>
        <v>0</v>
      </c>
      <c r="CA11" s="16">
        <f t="shared" si="2"/>
        <v>0</v>
      </c>
      <c r="CB11" s="16">
        <f t="shared" si="2"/>
        <v>0</v>
      </c>
      <c r="CC11" s="19">
        <f t="shared" si="2"/>
        <v>0</v>
      </c>
    </row>
    <row r="12" spans="2:81" x14ac:dyDescent="0.3">
      <c r="B12" s="41">
        <v>7</v>
      </c>
      <c r="C12" s="65">
        <v>14</v>
      </c>
      <c r="E12" s="42">
        <v>7</v>
      </c>
      <c r="F12" s="67">
        <v>9</v>
      </c>
      <c r="H12" s="42">
        <v>7</v>
      </c>
      <c r="I12" s="64">
        <v>6</v>
      </c>
      <c r="K12" s="42">
        <v>7</v>
      </c>
      <c r="L12" s="64">
        <v>1</v>
      </c>
      <c r="N12" s="42">
        <v>7</v>
      </c>
      <c r="O12" s="64">
        <v>0.5</v>
      </c>
      <c r="Q12" s="42">
        <v>7</v>
      </c>
      <c r="R12" s="64">
        <v>1</v>
      </c>
      <c r="T12" s="42">
        <v>7</v>
      </c>
      <c r="U12" s="65">
        <v>11</v>
      </c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0"/>
        <v>0</v>
      </c>
      <c r="BM12" s="16">
        <f t="shared" si="0"/>
        <v>0</v>
      </c>
      <c r="BN12" s="16">
        <f t="shared" si="0"/>
        <v>0</v>
      </c>
      <c r="BO12" s="16">
        <f t="shared" si="0"/>
        <v>0</v>
      </c>
      <c r="BQ12" s="23">
        <v>7</v>
      </c>
      <c r="BR12" s="16">
        <f t="shared" si="9"/>
        <v>0</v>
      </c>
      <c r="BS12" s="16">
        <f t="shared" si="1"/>
        <v>0</v>
      </c>
      <c r="BT12" s="16">
        <f t="shared" si="1"/>
        <v>0</v>
      </c>
      <c r="BU12" s="16">
        <f t="shared" si="1"/>
        <v>0</v>
      </c>
      <c r="BV12" s="16">
        <f t="shared" si="1"/>
        <v>0</v>
      </c>
      <c r="BX12" s="23">
        <v>7</v>
      </c>
      <c r="BY12" s="16">
        <f t="shared" si="10"/>
        <v>0</v>
      </c>
      <c r="BZ12" s="16">
        <f t="shared" si="2"/>
        <v>0</v>
      </c>
      <c r="CA12" s="16">
        <f t="shared" si="2"/>
        <v>0</v>
      </c>
      <c r="CB12" s="16">
        <f t="shared" si="2"/>
        <v>0</v>
      </c>
      <c r="CC12" s="19">
        <f t="shared" si="2"/>
        <v>0</v>
      </c>
    </row>
    <row r="13" spans="2:81" x14ac:dyDescent="0.3">
      <c r="B13" s="41">
        <v>8</v>
      </c>
      <c r="C13" s="65">
        <v>6</v>
      </c>
      <c r="E13" s="42">
        <v>8</v>
      </c>
      <c r="F13" s="67">
        <v>5</v>
      </c>
      <c r="H13" s="42">
        <v>8</v>
      </c>
      <c r="I13" s="64">
        <v>9</v>
      </c>
      <c r="K13" s="42">
        <v>8</v>
      </c>
      <c r="L13" s="64">
        <v>6</v>
      </c>
      <c r="N13" s="42">
        <v>8</v>
      </c>
      <c r="O13" s="64">
        <v>0.3</v>
      </c>
      <c r="Q13" s="42">
        <v>8</v>
      </c>
      <c r="R13" s="64">
        <v>1</v>
      </c>
      <c r="T13" s="42">
        <v>8</v>
      </c>
      <c r="U13" s="65">
        <v>18</v>
      </c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1</v>
      </c>
      <c r="AL13" s="16">
        <v>0</v>
      </c>
      <c r="AM13" s="16">
        <v>0</v>
      </c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0"/>
        <v>0</v>
      </c>
      <c r="BM13" s="16">
        <f t="shared" si="0"/>
        <v>1</v>
      </c>
      <c r="BN13" s="16">
        <f t="shared" si="0"/>
        <v>0</v>
      </c>
      <c r="BO13" s="16">
        <f t="shared" si="0"/>
        <v>0</v>
      </c>
      <c r="BQ13" s="23">
        <v>8</v>
      </c>
      <c r="BR13" s="16">
        <f t="shared" si="9"/>
        <v>0</v>
      </c>
      <c r="BS13" s="16">
        <f t="shared" si="1"/>
        <v>0</v>
      </c>
      <c r="BT13" s="16">
        <f t="shared" si="1"/>
        <v>1</v>
      </c>
      <c r="BU13" s="16">
        <f t="shared" si="1"/>
        <v>0</v>
      </c>
      <c r="BV13" s="16">
        <f t="shared" si="1"/>
        <v>0</v>
      </c>
      <c r="BX13" s="23">
        <v>8</v>
      </c>
      <c r="BY13" s="16">
        <f t="shared" si="10"/>
        <v>0</v>
      </c>
      <c r="BZ13" s="16">
        <f t="shared" si="2"/>
        <v>0</v>
      </c>
      <c r="CA13" s="16">
        <f t="shared" si="2"/>
        <v>1</v>
      </c>
      <c r="CB13" s="16">
        <f t="shared" si="2"/>
        <v>0</v>
      </c>
      <c r="CC13" s="19">
        <f t="shared" si="2"/>
        <v>0</v>
      </c>
    </row>
    <row r="14" spans="2:81" x14ac:dyDescent="0.3">
      <c r="B14" s="41">
        <v>9</v>
      </c>
      <c r="C14" s="65">
        <v>5</v>
      </c>
      <c r="E14" s="42">
        <v>9</v>
      </c>
      <c r="F14" s="67">
        <v>9</v>
      </c>
      <c r="H14" s="42">
        <v>9</v>
      </c>
      <c r="I14" s="64">
        <v>9</v>
      </c>
      <c r="K14" s="42">
        <v>9</v>
      </c>
      <c r="L14" s="64">
        <v>7</v>
      </c>
      <c r="N14" s="42">
        <v>9</v>
      </c>
      <c r="O14" s="64">
        <v>0.8</v>
      </c>
      <c r="Q14" s="42">
        <v>9</v>
      </c>
      <c r="R14" s="64">
        <v>2</v>
      </c>
      <c r="T14" s="42">
        <v>9</v>
      </c>
      <c r="U14" s="65">
        <v>11</v>
      </c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0"/>
        <v>0</v>
      </c>
      <c r="BM14" s="16">
        <f t="shared" si="0"/>
        <v>0</v>
      </c>
      <c r="BN14" s="16">
        <f t="shared" si="0"/>
        <v>1</v>
      </c>
      <c r="BO14" s="16">
        <f t="shared" si="0"/>
        <v>0</v>
      </c>
      <c r="BQ14" s="23">
        <v>9</v>
      </c>
      <c r="BR14" s="16">
        <f t="shared" si="9"/>
        <v>0</v>
      </c>
      <c r="BS14" s="16">
        <f t="shared" si="1"/>
        <v>0</v>
      </c>
      <c r="BT14" s="16">
        <f t="shared" si="1"/>
        <v>0</v>
      </c>
      <c r="BU14" s="16">
        <f t="shared" si="1"/>
        <v>3</v>
      </c>
      <c r="BV14" s="16">
        <f t="shared" si="1"/>
        <v>0</v>
      </c>
      <c r="BX14" s="23">
        <v>9</v>
      </c>
      <c r="BY14" s="16">
        <f t="shared" si="10"/>
        <v>0</v>
      </c>
      <c r="BZ14" s="16">
        <f t="shared" si="2"/>
        <v>0</v>
      </c>
      <c r="CA14" s="16">
        <f t="shared" si="2"/>
        <v>0</v>
      </c>
      <c r="CB14" s="16">
        <f t="shared" si="2"/>
        <v>2.4082246852806923</v>
      </c>
      <c r="CC14" s="19">
        <f t="shared" si="2"/>
        <v>0</v>
      </c>
    </row>
    <row r="15" spans="2:81" x14ac:dyDescent="0.3">
      <c r="B15" s="41">
        <v>10</v>
      </c>
      <c r="C15" s="65">
        <v>11</v>
      </c>
      <c r="E15" s="42">
        <v>10</v>
      </c>
      <c r="F15" s="66">
        <v>10</v>
      </c>
      <c r="H15" s="42">
        <v>10</v>
      </c>
      <c r="I15" s="64">
        <v>9</v>
      </c>
      <c r="K15" s="42">
        <v>10</v>
      </c>
      <c r="L15" s="64">
        <v>3</v>
      </c>
      <c r="N15" s="42">
        <v>10</v>
      </c>
      <c r="O15" s="64">
        <v>0.8</v>
      </c>
      <c r="Q15" s="42">
        <v>10</v>
      </c>
      <c r="R15" s="64">
        <v>1</v>
      </c>
      <c r="T15" s="42">
        <v>10</v>
      </c>
      <c r="U15" s="65">
        <v>11</v>
      </c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0"/>
        <v>0</v>
      </c>
      <c r="BM15" s="16">
        <f t="shared" si="0"/>
        <v>0</v>
      </c>
      <c r="BN15" s="16">
        <f t="shared" si="0"/>
        <v>0</v>
      </c>
      <c r="BO15" s="16">
        <f t="shared" si="0"/>
        <v>1</v>
      </c>
      <c r="BQ15" s="23">
        <v>10</v>
      </c>
      <c r="BR15" s="16">
        <f t="shared" si="9"/>
        <v>0</v>
      </c>
      <c r="BS15" s="16">
        <f t="shared" si="1"/>
        <v>0</v>
      </c>
      <c r="BT15" s="16">
        <f t="shared" si="1"/>
        <v>0</v>
      </c>
      <c r="BU15" s="16">
        <f t="shared" si="1"/>
        <v>0</v>
      </c>
      <c r="BV15" s="16">
        <f t="shared" si="1"/>
        <v>3</v>
      </c>
      <c r="BX15" s="23">
        <v>10</v>
      </c>
      <c r="BY15" s="16">
        <f t="shared" si="10"/>
        <v>0</v>
      </c>
      <c r="BZ15" s="16">
        <f t="shared" si="2"/>
        <v>0</v>
      </c>
      <c r="CA15" s="16">
        <f t="shared" si="2"/>
        <v>0</v>
      </c>
      <c r="CB15" s="16">
        <f t="shared" si="2"/>
        <v>0</v>
      </c>
      <c r="CC15" s="19">
        <f t="shared" si="2"/>
        <v>2.4082246852806923</v>
      </c>
    </row>
    <row r="16" spans="2:81" x14ac:dyDescent="0.3">
      <c r="B16" s="41">
        <v>11</v>
      </c>
      <c r="C16" s="65">
        <v>12</v>
      </c>
      <c r="E16" s="42">
        <v>11</v>
      </c>
      <c r="F16" s="67">
        <v>7</v>
      </c>
      <c r="H16" s="42">
        <v>11</v>
      </c>
      <c r="I16" s="64">
        <v>5</v>
      </c>
      <c r="K16" s="42">
        <v>11</v>
      </c>
      <c r="L16" s="64">
        <v>4</v>
      </c>
      <c r="N16" s="42">
        <v>11</v>
      </c>
      <c r="O16" s="64">
        <v>0.1</v>
      </c>
      <c r="Q16" s="42">
        <v>11</v>
      </c>
      <c r="R16" s="64">
        <v>2</v>
      </c>
      <c r="T16" s="42">
        <v>11</v>
      </c>
      <c r="U16" s="65">
        <v>17</v>
      </c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1</v>
      </c>
      <c r="AJ16" s="16">
        <v>0</v>
      </c>
      <c r="AK16" s="16">
        <v>0</v>
      </c>
      <c r="AL16" s="16">
        <v>0</v>
      </c>
      <c r="AM16" s="16">
        <v>0</v>
      </c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1</v>
      </c>
      <c r="BL16" s="16">
        <f t="shared" si="0"/>
        <v>0</v>
      </c>
      <c r="BM16" s="16">
        <f t="shared" si="0"/>
        <v>0</v>
      </c>
      <c r="BN16" s="16">
        <f t="shared" si="0"/>
        <v>0</v>
      </c>
      <c r="BO16" s="16">
        <f t="shared" si="0"/>
        <v>0</v>
      </c>
      <c r="BQ16" s="23">
        <v>11</v>
      </c>
      <c r="BR16" s="16">
        <f t="shared" si="9"/>
        <v>1</v>
      </c>
      <c r="BS16" s="16">
        <f t="shared" si="1"/>
        <v>0</v>
      </c>
      <c r="BT16" s="16">
        <f t="shared" si="1"/>
        <v>0</v>
      </c>
      <c r="BU16" s="16">
        <f t="shared" si="1"/>
        <v>0</v>
      </c>
      <c r="BV16" s="16">
        <f t="shared" si="1"/>
        <v>0</v>
      </c>
      <c r="BX16" s="23">
        <v>11</v>
      </c>
      <c r="BY16" s="16">
        <f t="shared" si="10"/>
        <v>1</v>
      </c>
      <c r="BZ16" s="16">
        <f t="shared" si="2"/>
        <v>0</v>
      </c>
      <c r="CA16" s="16">
        <f t="shared" si="2"/>
        <v>0</v>
      </c>
      <c r="CB16" s="16">
        <f t="shared" si="2"/>
        <v>0</v>
      </c>
      <c r="CC16" s="19">
        <f t="shared" si="2"/>
        <v>0</v>
      </c>
    </row>
    <row r="17" spans="2:81" x14ac:dyDescent="0.3">
      <c r="B17" s="41">
        <v>12</v>
      </c>
      <c r="C17" s="65">
        <v>8</v>
      </c>
      <c r="E17" s="42">
        <v>12</v>
      </c>
      <c r="F17" s="67">
        <v>5</v>
      </c>
      <c r="H17" s="42">
        <v>12</v>
      </c>
      <c r="I17" s="64">
        <v>6</v>
      </c>
      <c r="K17" s="42">
        <v>12</v>
      </c>
      <c r="L17" s="64">
        <v>7</v>
      </c>
      <c r="N17" s="42">
        <v>12</v>
      </c>
      <c r="O17" s="64">
        <v>0.8</v>
      </c>
      <c r="Q17" s="42">
        <v>12</v>
      </c>
      <c r="R17" s="64">
        <v>2</v>
      </c>
      <c r="T17" s="42">
        <v>12</v>
      </c>
      <c r="U17" s="65">
        <v>22</v>
      </c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0"/>
        <v>0</v>
      </c>
      <c r="BM17" s="16">
        <f t="shared" si="0"/>
        <v>0</v>
      </c>
      <c r="BN17" s="16">
        <f t="shared" si="0"/>
        <v>1</v>
      </c>
      <c r="BO17" s="16">
        <f t="shared" si="0"/>
        <v>0</v>
      </c>
      <c r="BQ17" s="23">
        <v>12</v>
      </c>
      <c r="BR17" s="16">
        <f t="shared" si="9"/>
        <v>0</v>
      </c>
      <c r="BS17" s="16">
        <f t="shared" si="1"/>
        <v>0</v>
      </c>
      <c r="BT17" s="16">
        <f t="shared" si="1"/>
        <v>0</v>
      </c>
      <c r="BU17" s="16">
        <f t="shared" si="1"/>
        <v>4</v>
      </c>
      <c r="BV17" s="16">
        <f t="shared" si="1"/>
        <v>0</v>
      </c>
      <c r="BX17" s="23">
        <v>12</v>
      </c>
      <c r="BY17" s="16">
        <f t="shared" si="10"/>
        <v>0</v>
      </c>
      <c r="BZ17" s="16">
        <f t="shared" si="2"/>
        <v>0</v>
      </c>
      <c r="CA17" s="16">
        <f t="shared" si="2"/>
        <v>0</v>
      </c>
      <c r="CB17" s="16">
        <f t="shared" si="2"/>
        <v>3.031433133020796</v>
      </c>
      <c r="CC17" s="19">
        <f t="shared" si="2"/>
        <v>0</v>
      </c>
    </row>
    <row r="18" spans="2:81" x14ac:dyDescent="0.3">
      <c r="B18" s="41">
        <v>13</v>
      </c>
      <c r="C18" s="65">
        <v>11</v>
      </c>
      <c r="E18" s="42">
        <v>13</v>
      </c>
      <c r="F18" s="67">
        <v>7</v>
      </c>
      <c r="H18" s="42">
        <v>13</v>
      </c>
      <c r="I18" s="64">
        <v>6</v>
      </c>
      <c r="K18" s="42">
        <v>13</v>
      </c>
      <c r="L18" s="64">
        <v>2</v>
      </c>
      <c r="N18" s="42">
        <v>13</v>
      </c>
      <c r="O18" s="64">
        <v>0.1</v>
      </c>
      <c r="Q18" s="42">
        <v>13</v>
      </c>
      <c r="R18" s="64">
        <v>1</v>
      </c>
      <c r="T18" s="42">
        <v>13</v>
      </c>
      <c r="U18" s="65">
        <v>12</v>
      </c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0"/>
        <v>0</v>
      </c>
      <c r="BM18" s="16">
        <f t="shared" si="0"/>
        <v>0</v>
      </c>
      <c r="BN18" s="16">
        <f t="shared" si="0"/>
        <v>0</v>
      </c>
      <c r="BO18" s="16">
        <f t="shared" si="0"/>
        <v>0</v>
      </c>
      <c r="BQ18" s="23">
        <v>13</v>
      </c>
      <c r="BR18" s="16">
        <f t="shared" si="9"/>
        <v>0</v>
      </c>
      <c r="BS18" s="16">
        <f t="shared" si="1"/>
        <v>0</v>
      </c>
      <c r="BT18" s="16">
        <f t="shared" si="1"/>
        <v>0</v>
      </c>
      <c r="BU18" s="16">
        <f t="shared" si="1"/>
        <v>0</v>
      </c>
      <c r="BV18" s="16">
        <f t="shared" si="1"/>
        <v>0</v>
      </c>
      <c r="BX18" s="23">
        <v>13</v>
      </c>
      <c r="BY18" s="16">
        <f t="shared" si="10"/>
        <v>0</v>
      </c>
      <c r="BZ18" s="16">
        <f t="shared" si="2"/>
        <v>0</v>
      </c>
      <c r="CA18" s="16">
        <f t="shared" si="2"/>
        <v>0</v>
      </c>
      <c r="CB18" s="16">
        <f t="shared" si="2"/>
        <v>0</v>
      </c>
      <c r="CC18" s="19">
        <f t="shared" si="2"/>
        <v>0</v>
      </c>
    </row>
    <row r="19" spans="2:81" x14ac:dyDescent="0.3">
      <c r="B19" s="41">
        <v>14</v>
      </c>
      <c r="C19" s="65">
        <v>13</v>
      </c>
      <c r="E19" s="42">
        <v>14</v>
      </c>
      <c r="F19" s="67">
        <v>8</v>
      </c>
      <c r="H19" s="42">
        <v>14</v>
      </c>
      <c r="I19" s="64">
        <v>9</v>
      </c>
      <c r="K19" s="42">
        <v>14</v>
      </c>
      <c r="L19" s="64">
        <v>9</v>
      </c>
      <c r="N19" s="42">
        <v>14</v>
      </c>
      <c r="O19" s="64">
        <v>0.8</v>
      </c>
      <c r="Q19" s="42">
        <v>14</v>
      </c>
      <c r="R19" s="64">
        <v>3</v>
      </c>
      <c r="T19" s="42">
        <v>14</v>
      </c>
      <c r="U19" s="65">
        <v>12</v>
      </c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0"/>
        <v>0</v>
      </c>
      <c r="BM19" s="16">
        <f t="shared" si="0"/>
        <v>1</v>
      </c>
      <c r="BN19" s="16">
        <f t="shared" si="0"/>
        <v>0</v>
      </c>
      <c r="BO19" s="16">
        <f t="shared" si="0"/>
        <v>0</v>
      </c>
      <c r="BQ19" s="23">
        <v>14</v>
      </c>
      <c r="BR19" s="16">
        <f t="shared" si="9"/>
        <v>0</v>
      </c>
      <c r="BS19" s="16">
        <f t="shared" si="1"/>
        <v>0</v>
      </c>
      <c r="BT19" s="16">
        <f t="shared" si="1"/>
        <v>4</v>
      </c>
      <c r="BU19" s="16">
        <f t="shared" si="1"/>
        <v>0</v>
      </c>
      <c r="BV19" s="16">
        <f t="shared" si="1"/>
        <v>0</v>
      </c>
      <c r="BX19" s="23">
        <v>14</v>
      </c>
      <c r="BY19" s="16">
        <f t="shared" si="10"/>
        <v>0</v>
      </c>
      <c r="BZ19" s="16">
        <f t="shared" si="2"/>
        <v>0</v>
      </c>
      <c r="CA19" s="16">
        <f t="shared" si="2"/>
        <v>3.031433133020796</v>
      </c>
      <c r="CB19" s="16">
        <f t="shared" si="2"/>
        <v>0</v>
      </c>
      <c r="CC19" s="19">
        <f t="shared" si="2"/>
        <v>0</v>
      </c>
    </row>
    <row r="20" spans="2:81" x14ac:dyDescent="0.3">
      <c r="B20" s="41">
        <v>15</v>
      </c>
      <c r="C20" s="65">
        <v>7</v>
      </c>
      <c r="E20" s="42">
        <v>15</v>
      </c>
      <c r="F20" s="67">
        <v>9</v>
      </c>
      <c r="H20" s="42">
        <v>15</v>
      </c>
      <c r="I20" s="64">
        <v>8</v>
      </c>
      <c r="K20" s="42">
        <v>15</v>
      </c>
      <c r="L20" s="64">
        <v>11</v>
      </c>
      <c r="N20" s="42">
        <v>15</v>
      </c>
      <c r="O20" s="64">
        <v>0.8</v>
      </c>
      <c r="Q20" s="42">
        <v>15</v>
      </c>
      <c r="R20" s="64">
        <v>3</v>
      </c>
      <c r="T20" s="42">
        <v>15</v>
      </c>
      <c r="U20" s="65">
        <v>19</v>
      </c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0"/>
        <v>0</v>
      </c>
      <c r="BM20" s="16">
        <f t="shared" si="0"/>
        <v>0</v>
      </c>
      <c r="BN20" s="16">
        <f t="shared" si="0"/>
        <v>1</v>
      </c>
      <c r="BO20" s="16">
        <f t="shared" si="0"/>
        <v>0</v>
      </c>
      <c r="BQ20" s="23">
        <v>15</v>
      </c>
      <c r="BR20" s="16">
        <f t="shared" si="9"/>
        <v>0</v>
      </c>
      <c r="BS20" s="16">
        <f t="shared" si="1"/>
        <v>0</v>
      </c>
      <c r="BT20" s="16">
        <f t="shared" si="1"/>
        <v>0</v>
      </c>
      <c r="BU20" s="16">
        <f t="shared" si="1"/>
        <v>4</v>
      </c>
      <c r="BV20" s="16">
        <f t="shared" si="1"/>
        <v>0</v>
      </c>
      <c r="BX20" s="23">
        <v>15</v>
      </c>
      <c r="BY20" s="16">
        <f t="shared" si="10"/>
        <v>0</v>
      </c>
      <c r="BZ20" s="16">
        <f t="shared" si="2"/>
        <v>0</v>
      </c>
      <c r="CA20" s="16">
        <f t="shared" si="2"/>
        <v>0</v>
      </c>
      <c r="CB20" s="16">
        <f t="shared" si="2"/>
        <v>3.031433133020796</v>
      </c>
      <c r="CC20" s="19">
        <f t="shared" si="2"/>
        <v>0</v>
      </c>
    </row>
    <row r="21" spans="2:81" x14ac:dyDescent="0.3">
      <c r="B21" s="41">
        <v>16</v>
      </c>
      <c r="C21" s="65">
        <v>14</v>
      </c>
      <c r="E21" s="42">
        <v>16</v>
      </c>
      <c r="F21" s="66">
        <v>23</v>
      </c>
      <c r="H21" s="42">
        <v>16</v>
      </c>
      <c r="I21" s="64">
        <v>5</v>
      </c>
      <c r="K21" s="42">
        <v>16</v>
      </c>
      <c r="L21" s="64">
        <v>2</v>
      </c>
      <c r="N21" s="42">
        <v>16</v>
      </c>
      <c r="O21" s="64">
        <v>0.1</v>
      </c>
      <c r="Q21" s="42">
        <v>16</v>
      </c>
      <c r="R21" s="64">
        <v>2</v>
      </c>
      <c r="T21" s="42">
        <v>16</v>
      </c>
      <c r="U21" s="65">
        <v>16</v>
      </c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0"/>
        <v>0</v>
      </c>
      <c r="BM21" s="16">
        <f t="shared" si="0"/>
        <v>0</v>
      </c>
      <c r="BN21" s="16">
        <f t="shared" si="0"/>
        <v>0</v>
      </c>
      <c r="BO21" s="16">
        <f t="shared" si="0"/>
        <v>0</v>
      </c>
      <c r="BQ21" s="23">
        <v>16</v>
      </c>
      <c r="BR21" s="16">
        <f t="shared" si="9"/>
        <v>0</v>
      </c>
      <c r="BS21" s="16">
        <f t="shared" si="1"/>
        <v>0</v>
      </c>
      <c r="BT21" s="16">
        <f t="shared" si="1"/>
        <v>0</v>
      </c>
      <c r="BU21" s="16">
        <f t="shared" si="1"/>
        <v>0</v>
      </c>
      <c r="BV21" s="16">
        <f t="shared" si="1"/>
        <v>0</v>
      </c>
      <c r="BX21" s="23">
        <v>16</v>
      </c>
      <c r="BY21" s="16">
        <f t="shared" si="10"/>
        <v>0</v>
      </c>
      <c r="BZ21" s="16">
        <f t="shared" si="2"/>
        <v>0</v>
      </c>
      <c r="CA21" s="16">
        <f t="shared" si="2"/>
        <v>0</v>
      </c>
      <c r="CB21" s="16">
        <f t="shared" si="2"/>
        <v>0</v>
      </c>
      <c r="CC21" s="19">
        <f t="shared" si="2"/>
        <v>0</v>
      </c>
    </row>
    <row r="22" spans="2:81" x14ac:dyDescent="0.3">
      <c r="B22" s="41">
        <v>17</v>
      </c>
      <c r="C22" s="65">
        <v>9</v>
      </c>
      <c r="E22" s="42">
        <v>17</v>
      </c>
      <c r="F22" s="66">
        <v>25</v>
      </c>
      <c r="H22" s="42">
        <v>17</v>
      </c>
      <c r="I22" s="64">
        <v>6</v>
      </c>
      <c r="K22" s="42">
        <v>17</v>
      </c>
      <c r="L22" s="64">
        <v>9</v>
      </c>
      <c r="N22" s="42">
        <v>17</v>
      </c>
      <c r="O22" s="64">
        <v>0.1</v>
      </c>
      <c r="Q22" s="42">
        <v>17</v>
      </c>
      <c r="R22" s="64">
        <v>1</v>
      </c>
      <c r="T22" s="42">
        <v>17</v>
      </c>
      <c r="U22" s="65">
        <v>10</v>
      </c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8"/>
        <v>0</v>
      </c>
      <c r="BM22" s="16">
        <f t="shared" si="8"/>
        <v>0</v>
      </c>
      <c r="BN22" s="16">
        <f t="shared" si="8"/>
        <v>0</v>
      </c>
      <c r="BO22" s="16">
        <f t="shared" si="8"/>
        <v>0</v>
      </c>
      <c r="BQ22" s="23">
        <v>17</v>
      </c>
      <c r="BR22" s="16">
        <f t="shared" si="9"/>
        <v>0</v>
      </c>
      <c r="BS22" s="16">
        <f t="shared" si="9"/>
        <v>0</v>
      </c>
      <c r="BT22" s="16">
        <f t="shared" si="9"/>
        <v>0</v>
      </c>
      <c r="BU22" s="16">
        <f t="shared" si="9"/>
        <v>0</v>
      </c>
      <c r="BV22" s="16">
        <f t="shared" si="9"/>
        <v>0</v>
      </c>
      <c r="BX22" s="23">
        <v>17</v>
      </c>
      <c r="BY22" s="16">
        <f t="shared" si="10"/>
        <v>0</v>
      </c>
      <c r="BZ22" s="16">
        <f t="shared" si="10"/>
        <v>0</v>
      </c>
      <c r="CA22" s="16">
        <f t="shared" si="10"/>
        <v>0</v>
      </c>
      <c r="CB22" s="16">
        <f t="shared" si="10"/>
        <v>0</v>
      </c>
      <c r="CC22" s="19">
        <f t="shared" si="10"/>
        <v>0</v>
      </c>
    </row>
    <row r="23" spans="2:81" x14ac:dyDescent="0.3">
      <c r="B23" s="41">
        <v>18</v>
      </c>
      <c r="C23" s="65">
        <v>10</v>
      </c>
      <c r="E23" s="42">
        <v>18</v>
      </c>
      <c r="F23" s="66">
        <v>17</v>
      </c>
      <c r="H23" s="42">
        <v>18</v>
      </c>
      <c r="I23" s="64">
        <v>8</v>
      </c>
      <c r="K23" s="42">
        <v>18</v>
      </c>
      <c r="L23" s="64">
        <v>1</v>
      </c>
      <c r="N23" s="42">
        <v>18</v>
      </c>
      <c r="O23" s="64">
        <v>0.8</v>
      </c>
      <c r="Q23" s="42">
        <v>18</v>
      </c>
      <c r="R23" s="64">
        <v>2</v>
      </c>
      <c r="T23" s="42">
        <v>18</v>
      </c>
      <c r="U23" s="65">
        <v>16</v>
      </c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8"/>
        <v>0</v>
      </c>
      <c r="BM23" s="16">
        <f t="shared" si="8"/>
        <v>0</v>
      </c>
      <c r="BN23" s="16">
        <f t="shared" si="8"/>
        <v>0</v>
      </c>
      <c r="BO23" s="16">
        <f t="shared" si="8"/>
        <v>0</v>
      </c>
      <c r="BQ23" s="23">
        <v>18</v>
      </c>
      <c r="BR23" s="16">
        <f t="shared" si="9"/>
        <v>0</v>
      </c>
      <c r="BS23" s="16">
        <f t="shared" si="9"/>
        <v>0</v>
      </c>
      <c r="BT23" s="16">
        <f t="shared" si="9"/>
        <v>0</v>
      </c>
      <c r="BU23" s="16">
        <f t="shared" si="9"/>
        <v>0</v>
      </c>
      <c r="BV23" s="16">
        <f t="shared" si="9"/>
        <v>0</v>
      </c>
      <c r="BX23" s="23">
        <v>18</v>
      </c>
      <c r="BY23" s="16">
        <f t="shared" si="10"/>
        <v>0</v>
      </c>
      <c r="BZ23" s="16">
        <f t="shared" si="10"/>
        <v>0</v>
      </c>
      <c r="CA23" s="16">
        <f t="shared" si="10"/>
        <v>0</v>
      </c>
      <c r="CB23" s="16">
        <f t="shared" si="10"/>
        <v>0</v>
      </c>
      <c r="CC23" s="19">
        <f t="shared" si="10"/>
        <v>0</v>
      </c>
    </row>
    <row r="24" spans="2:81" x14ac:dyDescent="0.3">
      <c r="B24" s="41">
        <v>19</v>
      </c>
      <c r="C24" s="65">
        <v>13</v>
      </c>
      <c r="E24" s="42">
        <v>19</v>
      </c>
      <c r="F24" s="66">
        <v>15</v>
      </c>
      <c r="H24" s="42">
        <v>19</v>
      </c>
      <c r="I24" s="64">
        <v>9</v>
      </c>
      <c r="K24" s="42">
        <v>19</v>
      </c>
      <c r="L24" s="64">
        <v>4</v>
      </c>
      <c r="N24" s="42">
        <v>19</v>
      </c>
      <c r="O24" s="64">
        <v>0.2</v>
      </c>
      <c r="Q24" s="42">
        <v>19</v>
      </c>
      <c r="R24" s="64">
        <v>2</v>
      </c>
      <c r="T24" s="42">
        <v>19</v>
      </c>
      <c r="U24" s="65">
        <v>20</v>
      </c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8"/>
        <v>0</v>
      </c>
      <c r="BM24" s="16">
        <f t="shared" si="8"/>
        <v>0</v>
      </c>
      <c r="BN24" s="16">
        <f t="shared" si="8"/>
        <v>0</v>
      </c>
      <c r="BO24" s="16">
        <f t="shared" si="8"/>
        <v>0</v>
      </c>
      <c r="BQ24" s="23">
        <v>19</v>
      </c>
      <c r="BR24" s="16">
        <f t="shared" si="9"/>
        <v>0</v>
      </c>
      <c r="BS24" s="16">
        <f t="shared" si="9"/>
        <v>0</v>
      </c>
      <c r="BT24" s="16">
        <f t="shared" si="9"/>
        <v>0</v>
      </c>
      <c r="BU24" s="16">
        <f t="shared" si="9"/>
        <v>0</v>
      </c>
      <c r="BV24" s="16">
        <f t="shared" si="9"/>
        <v>0</v>
      </c>
      <c r="BX24" s="23">
        <v>19</v>
      </c>
      <c r="BY24" s="16">
        <f t="shared" si="10"/>
        <v>0</v>
      </c>
      <c r="BZ24" s="16">
        <f t="shared" si="10"/>
        <v>0</v>
      </c>
      <c r="CA24" s="16">
        <f t="shared" si="10"/>
        <v>0</v>
      </c>
      <c r="CB24" s="16">
        <f t="shared" si="10"/>
        <v>0</v>
      </c>
      <c r="CC24" s="19">
        <f t="shared" si="10"/>
        <v>0</v>
      </c>
    </row>
    <row r="25" spans="2:81" x14ac:dyDescent="0.3">
      <c r="B25" s="41">
        <v>20</v>
      </c>
      <c r="C25" s="65">
        <v>5</v>
      </c>
      <c r="E25" s="42">
        <v>20</v>
      </c>
      <c r="F25" s="66">
        <v>23</v>
      </c>
      <c r="H25" s="42">
        <v>20</v>
      </c>
      <c r="I25" s="64">
        <v>6</v>
      </c>
      <c r="K25" s="42">
        <v>20</v>
      </c>
      <c r="L25" s="64">
        <v>2</v>
      </c>
      <c r="N25" s="42">
        <v>20</v>
      </c>
      <c r="O25" s="64">
        <v>0.6</v>
      </c>
      <c r="Q25" s="42">
        <v>20</v>
      </c>
      <c r="R25" s="64">
        <v>3</v>
      </c>
      <c r="T25" s="42">
        <v>20</v>
      </c>
      <c r="U25" s="65">
        <v>19</v>
      </c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8"/>
        <v>0</v>
      </c>
      <c r="BM25" s="16">
        <f t="shared" si="8"/>
        <v>0</v>
      </c>
      <c r="BN25" s="16">
        <f t="shared" si="8"/>
        <v>0</v>
      </c>
      <c r="BO25" s="16">
        <f t="shared" si="8"/>
        <v>0</v>
      </c>
      <c r="BQ25" s="23">
        <v>20</v>
      </c>
      <c r="BR25" s="16">
        <f t="shared" si="9"/>
        <v>0</v>
      </c>
      <c r="BS25" s="16">
        <f t="shared" si="9"/>
        <v>0</v>
      </c>
      <c r="BT25" s="16">
        <f t="shared" si="9"/>
        <v>0</v>
      </c>
      <c r="BU25" s="16">
        <f t="shared" si="9"/>
        <v>0</v>
      </c>
      <c r="BV25" s="16">
        <f t="shared" si="9"/>
        <v>0</v>
      </c>
      <c r="BX25" s="23">
        <v>20</v>
      </c>
      <c r="BY25" s="16">
        <f t="shared" si="10"/>
        <v>0</v>
      </c>
      <c r="BZ25" s="16">
        <f t="shared" si="10"/>
        <v>0</v>
      </c>
      <c r="CA25" s="16">
        <f t="shared" si="10"/>
        <v>0</v>
      </c>
      <c r="CB25" s="16">
        <f t="shared" si="10"/>
        <v>0</v>
      </c>
      <c r="CC25" s="19">
        <f t="shared" si="10"/>
        <v>0</v>
      </c>
    </row>
    <row r="26" spans="2:81" x14ac:dyDescent="0.3">
      <c r="B26" s="41">
        <v>21</v>
      </c>
      <c r="C26" s="65">
        <v>11</v>
      </c>
      <c r="E26" s="42">
        <v>21</v>
      </c>
      <c r="F26" s="66">
        <v>19</v>
      </c>
      <c r="H26" s="42">
        <v>21</v>
      </c>
      <c r="I26" s="64">
        <v>8</v>
      </c>
      <c r="K26" s="42">
        <v>21</v>
      </c>
      <c r="L26" s="64">
        <v>6</v>
      </c>
      <c r="N26" s="42">
        <v>21</v>
      </c>
      <c r="O26" s="64">
        <v>0.6</v>
      </c>
      <c r="Q26" s="42">
        <v>21</v>
      </c>
      <c r="R26" s="64">
        <v>2</v>
      </c>
      <c r="T26" s="42">
        <v>21</v>
      </c>
      <c r="U26" s="65">
        <v>24</v>
      </c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1</v>
      </c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8"/>
        <v>0</v>
      </c>
      <c r="BM26" s="16">
        <f t="shared" si="8"/>
        <v>0</v>
      </c>
      <c r="BN26" s="16">
        <f t="shared" si="8"/>
        <v>0</v>
      </c>
      <c r="BO26" s="16">
        <f t="shared" si="8"/>
        <v>1</v>
      </c>
      <c r="BQ26" s="23">
        <v>21</v>
      </c>
      <c r="BR26" s="16">
        <f t="shared" si="9"/>
        <v>0</v>
      </c>
      <c r="BS26" s="16">
        <f t="shared" si="9"/>
        <v>0</v>
      </c>
      <c r="BT26" s="16">
        <f t="shared" si="9"/>
        <v>0</v>
      </c>
      <c r="BU26" s="16">
        <f t="shared" si="9"/>
        <v>0</v>
      </c>
      <c r="BV26" s="16">
        <f t="shared" si="9"/>
        <v>2</v>
      </c>
      <c r="BX26" s="23">
        <v>21</v>
      </c>
      <c r="BY26" s="16">
        <f t="shared" si="10"/>
        <v>0</v>
      </c>
      <c r="BZ26" s="16">
        <f t="shared" si="10"/>
        <v>0</v>
      </c>
      <c r="CA26" s="16">
        <f t="shared" si="10"/>
        <v>0</v>
      </c>
      <c r="CB26" s="16">
        <f t="shared" si="10"/>
        <v>0</v>
      </c>
      <c r="CC26" s="19">
        <f t="shared" si="10"/>
        <v>1.515716566510398</v>
      </c>
    </row>
    <row r="27" spans="2:81" x14ac:dyDescent="0.3">
      <c r="B27" s="41">
        <v>22</v>
      </c>
      <c r="C27" s="65">
        <v>11</v>
      </c>
      <c r="E27" s="42">
        <v>22</v>
      </c>
      <c r="F27" s="66">
        <v>19</v>
      </c>
      <c r="H27" s="42">
        <v>22</v>
      </c>
      <c r="I27" s="64">
        <v>9</v>
      </c>
      <c r="K27" s="42">
        <v>22</v>
      </c>
      <c r="L27" s="64">
        <v>6</v>
      </c>
      <c r="N27" s="42">
        <v>22</v>
      </c>
      <c r="O27" s="64">
        <v>0.4</v>
      </c>
      <c r="Q27" s="42">
        <v>22</v>
      </c>
      <c r="R27" s="64">
        <v>1</v>
      </c>
      <c r="T27" s="42">
        <v>22</v>
      </c>
      <c r="U27" s="65">
        <v>16</v>
      </c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0</v>
      </c>
      <c r="AJ27" s="16">
        <v>0</v>
      </c>
      <c r="AK27" s="16">
        <v>0</v>
      </c>
      <c r="AL27" s="16">
        <v>0</v>
      </c>
      <c r="AM27" s="16">
        <v>1</v>
      </c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0</v>
      </c>
      <c r="BL27" s="16">
        <f t="shared" si="8"/>
        <v>0</v>
      </c>
      <c r="BM27" s="16">
        <f t="shared" si="8"/>
        <v>0</v>
      </c>
      <c r="BN27" s="16">
        <f t="shared" si="8"/>
        <v>0</v>
      </c>
      <c r="BO27" s="16">
        <f t="shared" si="8"/>
        <v>1</v>
      </c>
      <c r="BQ27" s="23">
        <v>22</v>
      </c>
      <c r="BR27" s="16">
        <f t="shared" si="9"/>
        <v>0</v>
      </c>
      <c r="BS27" s="16">
        <f t="shared" si="9"/>
        <v>0</v>
      </c>
      <c r="BT27" s="16">
        <f t="shared" si="9"/>
        <v>0</v>
      </c>
      <c r="BU27" s="16">
        <f t="shared" si="9"/>
        <v>0</v>
      </c>
      <c r="BV27" s="16">
        <f t="shared" si="9"/>
        <v>1</v>
      </c>
      <c r="BX27" s="23">
        <v>22</v>
      </c>
      <c r="BY27" s="16">
        <f t="shared" si="10"/>
        <v>0</v>
      </c>
      <c r="BZ27" s="16">
        <f t="shared" si="10"/>
        <v>0</v>
      </c>
      <c r="CA27" s="16">
        <f t="shared" si="10"/>
        <v>0</v>
      </c>
      <c r="CB27" s="16">
        <f t="shared" si="10"/>
        <v>0</v>
      </c>
      <c r="CC27" s="19">
        <f t="shared" si="10"/>
        <v>1</v>
      </c>
    </row>
    <row r="28" spans="2:81" x14ac:dyDescent="0.3">
      <c r="B28" s="41">
        <v>23</v>
      </c>
      <c r="C28" s="65">
        <v>7</v>
      </c>
      <c r="E28" s="42">
        <v>23</v>
      </c>
      <c r="F28" s="66">
        <v>16</v>
      </c>
      <c r="H28" s="42">
        <v>23</v>
      </c>
      <c r="I28" s="64">
        <v>7</v>
      </c>
      <c r="K28" s="42">
        <v>23</v>
      </c>
      <c r="L28" s="64">
        <v>8</v>
      </c>
      <c r="N28" s="42">
        <v>23</v>
      </c>
      <c r="O28" s="64">
        <v>0.5</v>
      </c>
      <c r="Q28" s="42">
        <v>23</v>
      </c>
      <c r="R28" s="64">
        <v>2</v>
      </c>
      <c r="T28" s="42">
        <v>23</v>
      </c>
      <c r="U28" s="65">
        <v>13</v>
      </c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0</v>
      </c>
      <c r="AJ28" s="16">
        <v>0</v>
      </c>
      <c r="AK28" s="16">
        <v>0</v>
      </c>
      <c r="AL28" s="16">
        <v>0</v>
      </c>
      <c r="AM28" s="16">
        <v>1</v>
      </c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0</v>
      </c>
      <c r="BL28" s="16">
        <f t="shared" si="8"/>
        <v>0</v>
      </c>
      <c r="BM28" s="16">
        <f t="shared" si="8"/>
        <v>0</v>
      </c>
      <c r="BN28" s="16">
        <f t="shared" si="8"/>
        <v>0</v>
      </c>
      <c r="BO28" s="16">
        <f t="shared" si="8"/>
        <v>1</v>
      </c>
      <c r="BQ28" s="23">
        <v>23</v>
      </c>
      <c r="BR28" s="16">
        <f t="shared" si="9"/>
        <v>0</v>
      </c>
      <c r="BS28" s="16">
        <f t="shared" si="9"/>
        <v>0</v>
      </c>
      <c r="BT28" s="16">
        <f t="shared" si="9"/>
        <v>0</v>
      </c>
      <c r="BU28" s="16">
        <f t="shared" si="9"/>
        <v>0</v>
      </c>
      <c r="BV28" s="16">
        <f t="shared" si="9"/>
        <v>1</v>
      </c>
      <c r="BX28" s="23">
        <v>23</v>
      </c>
      <c r="BY28" s="16">
        <f t="shared" si="10"/>
        <v>0</v>
      </c>
      <c r="BZ28" s="16">
        <f t="shared" si="10"/>
        <v>0</v>
      </c>
      <c r="CA28" s="16">
        <f t="shared" si="10"/>
        <v>0</v>
      </c>
      <c r="CB28" s="16">
        <f t="shared" si="10"/>
        <v>0</v>
      </c>
      <c r="CC28" s="19">
        <f t="shared" si="10"/>
        <v>1</v>
      </c>
    </row>
    <row r="29" spans="2:81" x14ac:dyDescent="0.3">
      <c r="B29" s="41">
        <v>24</v>
      </c>
      <c r="C29" s="65">
        <v>10</v>
      </c>
      <c r="E29" s="42">
        <v>24</v>
      </c>
      <c r="F29" s="66">
        <v>14</v>
      </c>
      <c r="H29" s="42">
        <v>24</v>
      </c>
      <c r="I29" s="64">
        <v>5</v>
      </c>
      <c r="K29" s="42">
        <v>24</v>
      </c>
      <c r="L29" s="64">
        <v>2</v>
      </c>
      <c r="N29" s="42">
        <v>24</v>
      </c>
      <c r="O29" s="64">
        <v>0.8</v>
      </c>
      <c r="Q29" s="42">
        <v>24</v>
      </c>
      <c r="R29" s="64">
        <v>1</v>
      </c>
      <c r="T29" s="42">
        <v>24</v>
      </c>
      <c r="U29" s="65">
        <v>16</v>
      </c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O29" s="23">
        <v>24</v>
      </c>
      <c r="AP29" s="16">
        <v>1</v>
      </c>
      <c r="AQ29" s="16">
        <v>0</v>
      </c>
      <c r="AR29" s="16">
        <v>0</v>
      </c>
      <c r="AS29" s="16">
        <v>0</v>
      </c>
      <c r="AT29" s="16">
        <v>0</v>
      </c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1</v>
      </c>
      <c r="BL29" s="16">
        <f t="shared" si="8"/>
        <v>0</v>
      </c>
      <c r="BM29" s="16">
        <f t="shared" si="8"/>
        <v>0</v>
      </c>
      <c r="BN29" s="16">
        <f t="shared" si="8"/>
        <v>0</v>
      </c>
      <c r="BO29" s="16">
        <f t="shared" si="8"/>
        <v>0</v>
      </c>
      <c r="BQ29" s="23">
        <v>24</v>
      </c>
      <c r="BR29" s="16">
        <f t="shared" si="9"/>
        <v>2</v>
      </c>
      <c r="BS29" s="16">
        <f t="shared" si="9"/>
        <v>0</v>
      </c>
      <c r="BT29" s="16">
        <f t="shared" si="9"/>
        <v>0</v>
      </c>
      <c r="BU29" s="16">
        <f t="shared" si="9"/>
        <v>0</v>
      </c>
      <c r="BV29" s="16">
        <f t="shared" si="9"/>
        <v>0</v>
      </c>
      <c r="BX29" s="23">
        <v>24</v>
      </c>
      <c r="BY29" s="16">
        <f t="shared" si="10"/>
        <v>1.7411011265922482</v>
      </c>
      <c r="BZ29" s="16">
        <f t="shared" si="10"/>
        <v>0</v>
      </c>
      <c r="CA29" s="16">
        <f t="shared" si="10"/>
        <v>0</v>
      </c>
      <c r="CB29" s="16">
        <f t="shared" si="10"/>
        <v>0</v>
      </c>
      <c r="CC29" s="19">
        <f t="shared" si="10"/>
        <v>0</v>
      </c>
    </row>
    <row r="30" spans="2:81" x14ac:dyDescent="0.3">
      <c r="B30" s="41">
        <v>25</v>
      </c>
      <c r="C30" s="65">
        <v>13</v>
      </c>
      <c r="E30" s="42">
        <v>25</v>
      </c>
      <c r="F30" s="66">
        <v>16</v>
      </c>
      <c r="H30" s="42">
        <v>25</v>
      </c>
      <c r="I30" s="64">
        <v>10</v>
      </c>
      <c r="K30" s="42">
        <v>25</v>
      </c>
      <c r="L30" s="64">
        <v>4</v>
      </c>
      <c r="N30" s="42">
        <v>25</v>
      </c>
      <c r="O30" s="64">
        <v>0.9</v>
      </c>
      <c r="Q30" s="42">
        <v>25</v>
      </c>
      <c r="R30" s="64">
        <v>2</v>
      </c>
      <c r="T30" s="42">
        <v>25</v>
      </c>
      <c r="U30" s="65">
        <v>14</v>
      </c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8"/>
        <v>1</v>
      </c>
      <c r="BM30" s="16">
        <f t="shared" si="8"/>
        <v>0</v>
      </c>
      <c r="BN30" s="16">
        <f t="shared" si="8"/>
        <v>0</v>
      </c>
      <c r="BO30" s="16">
        <f t="shared" si="8"/>
        <v>0</v>
      </c>
      <c r="BQ30" s="23">
        <v>25</v>
      </c>
      <c r="BR30" s="16">
        <f t="shared" si="9"/>
        <v>0</v>
      </c>
      <c r="BS30" s="16">
        <f t="shared" si="9"/>
        <v>4</v>
      </c>
      <c r="BT30" s="16">
        <f t="shared" si="9"/>
        <v>0</v>
      </c>
      <c r="BU30" s="16">
        <f t="shared" si="9"/>
        <v>0</v>
      </c>
      <c r="BV30" s="16">
        <f t="shared" si="9"/>
        <v>0</v>
      </c>
      <c r="BX30" s="23">
        <v>25</v>
      </c>
      <c r="BY30" s="16">
        <f t="shared" si="10"/>
        <v>0</v>
      </c>
      <c r="BZ30" s="16">
        <f t="shared" si="10"/>
        <v>3.4822022531844965</v>
      </c>
      <c r="CA30" s="16">
        <f t="shared" si="10"/>
        <v>0</v>
      </c>
      <c r="CB30" s="16">
        <f t="shared" si="10"/>
        <v>0</v>
      </c>
      <c r="CC30" s="19">
        <f t="shared" si="10"/>
        <v>0</v>
      </c>
    </row>
    <row r="31" spans="2:81" x14ac:dyDescent="0.3">
      <c r="B31" s="7"/>
      <c r="AF31" s="9"/>
      <c r="AH31" s="7" t="s">
        <v>32</v>
      </c>
      <c r="AI31" s="1">
        <v>1</v>
      </c>
      <c r="AO31" s="1" t="s">
        <v>32</v>
      </c>
      <c r="AP31" s="1">
        <v>2</v>
      </c>
      <c r="AV31" s="1" t="s">
        <v>32</v>
      </c>
      <c r="AW31" s="1">
        <v>3</v>
      </c>
      <c r="BC31" s="1" t="s">
        <v>32</v>
      </c>
      <c r="BD31" s="1">
        <v>4</v>
      </c>
      <c r="BH31" s="9"/>
      <c r="BJ31" s="7"/>
      <c r="BV31" s="57"/>
      <c r="CC31" s="9"/>
    </row>
    <row r="32" spans="2:81" x14ac:dyDescent="0.3">
      <c r="B32" s="7"/>
      <c r="C32" s="38" t="s">
        <v>16</v>
      </c>
      <c r="D32" s="38"/>
      <c r="F32" s="38" t="s">
        <v>17</v>
      </c>
      <c r="G32" s="38"/>
      <c r="I32" s="38" t="s">
        <v>18</v>
      </c>
      <c r="AF32" s="9"/>
      <c r="AH32" s="7"/>
      <c r="BH32" s="9"/>
      <c r="BJ32" s="7"/>
      <c r="CC32" s="9"/>
    </row>
    <row r="33" spans="2:81" ht="16.2" thickBot="1" x14ac:dyDescent="0.35">
      <c r="B33" s="41">
        <v>1</v>
      </c>
      <c r="C33" s="68">
        <v>50</v>
      </c>
      <c r="D33" s="38"/>
      <c r="E33" s="42">
        <v>1</v>
      </c>
      <c r="F33" s="68">
        <v>34</v>
      </c>
      <c r="G33" s="69"/>
      <c r="H33" s="42">
        <v>1</v>
      </c>
      <c r="I33" s="68">
        <v>0.25</v>
      </c>
      <c r="J33" s="64"/>
      <c r="K33" s="65"/>
      <c r="L33" s="64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68">
        <v>65</v>
      </c>
      <c r="D34" s="38"/>
      <c r="E34" s="42">
        <v>2</v>
      </c>
      <c r="F34" s="68">
        <v>30</v>
      </c>
      <c r="G34" s="69"/>
      <c r="H34" s="42">
        <v>2</v>
      </c>
      <c r="I34" s="68">
        <v>0.6</v>
      </c>
      <c r="AA34" s="1" t="s">
        <v>26</v>
      </c>
      <c r="AF34" s="9"/>
      <c r="AI34" s="1" t="s">
        <v>26</v>
      </c>
      <c r="AP34" s="1" t="s">
        <v>26</v>
      </c>
      <c r="AW34" s="1" t="s">
        <v>26</v>
      </c>
      <c r="BD34" s="1" t="s">
        <v>26</v>
      </c>
      <c r="BK34" s="1" t="s">
        <v>26</v>
      </c>
      <c r="BR34" s="1" t="s">
        <v>26</v>
      </c>
    </row>
    <row r="35" spans="2:81" x14ac:dyDescent="0.3">
      <c r="B35" s="41">
        <v>3</v>
      </c>
      <c r="C35" s="68">
        <v>80</v>
      </c>
      <c r="D35" s="38"/>
      <c r="E35" s="42">
        <v>3</v>
      </c>
      <c r="F35" s="1">
        <v>26</v>
      </c>
      <c r="G35" s="69"/>
      <c r="H35" s="42">
        <v>3</v>
      </c>
      <c r="I35" s="1">
        <v>1</v>
      </c>
      <c r="AA35" s="1">
        <f>COLUMN()</f>
        <v>27</v>
      </c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68">
        <v>95</v>
      </c>
      <c r="D36" s="38"/>
      <c r="E36" s="42">
        <v>4</v>
      </c>
      <c r="F36" s="1">
        <v>27</v>
      </c>
      <c r="G36" s="69"/>
      <c r="H36" s="42">
        <v>4</v>
      </c>
      <c r="I36" s="1">
        <v>0.6</v>
      </c>
      <c r="AF36" s="9"/>
    </row>
    <row r="37" spans="2:81" x14ac:dyDescent="0.3">
      <c r="B37" s="41">
        <v>5</v>
      </c>
      <c r="C37" s="68">
        <v>110</v>
      </c>
      <c r="D37" s="38"/>
      <c r="E37" s="42">
        <v>5</v>
      </c>
      <c r="F37" s="1">
        <v>29</v>
      </c>
      <c r="G37" s="69"/>
      <c r="H37" s="42">
        <v>5</v>
      </c>
      <c r="I37" s="1">
        <v>0.25</v>
      </c>
      <c r="AF37" s="9"/>
    </row>
    <row r="38" spans="2:81" x14ac:dyDescent="0.3">
      <c r="B38" s="32"/>
      <c r="C38" s="68"/>
      <c r="AF38" s="9"/>
    </row>
    <row r="39" spans="2:81" x14ac:dyDescent="0.3">
      <c r="B39" s="7"/>
      <c r="AF39" s="9"/>
    </row>
    <row r="40" spans="2:81" x14ac:dyDescent="0.3">
      <c r="B40" s="7"/>
      <c r="AF40" s="9"/>
    </row>
    <row r="41" spans="2:81" x14ac:dyDescent="0.3">
      <c r="B41" s="10" t="s">
        <v>19</v>
      </c>
      <c r="AF41" s="9"/>
    </row>
    <row r="42" spans="2:81" x14ac:dyDescent="0.3">
      <c r="B42" s="7">
        <v>2</v>
      </c>
      <c r="C42" s="1">
        <v>5</v>
      </c>
      <c r="AF42" s="9"/>
    </row>
    <row r="43" spans="2:81" x14ac:dyDescent="0.3">
      <c r="B43" s="7">
        <v>16</v>
      </c>
      <c r="C43" s="1">
        <v>20</v>
      </c>
      <c r="AF43" s="9"/>
    </row>
    <row r="44" spans="2:81" x14ac:dyDescent="0.3">
      <c r="AF44" s="9"/>
    </row>
    <row r="45" spans="2:81" x14ac:dyDescent="0.3">
      <c r="B45" s="7"/>
      <c r="AF45" s="9"/>
    </row>
    <row r="46" spans="2:81" x14ac:dyDescent="0.3">
      <c r="B46" s="10" t="s">
        <v>20</v>
      </c>
      <c r="AF46" s="9"/>
    </row>
    <row r="47" spans="2:81" x14ac:dyDescent="0.3">
      <c r="B47" s="7">
        <v>1</v>
      </c>
      <c r="C47" s="1">
        <v>12</v>
      </c>
      <c r="AF47" s="9"/>
    </row>
    <row r="48" spans="2:81" x14ac:dyDescent="0.3">
      <c r="B48" s="7">
        <v>3</v>
      </c>
      <c r="C48" s="1">
        <v>8</v>
      </c>
      <c r="AF48" s="9"/>
    </row>
    <row r="49" spans="2:39" x14ac:dyDescent="0.3">
      <c r="B49" s="7">
        <v>9</v>
      </c>
      <c r="C49" s="1">
        <v>15</v>
      </c>
      <c r="AF49" s="9"/>
    </row>
    <row r="50" spans="2:39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</row>
    <row r="51" spans="2:39" ht="16.2" thickBot="1" x14ac:dyDescent="0.35"/>
    <row r="52" spans="2:39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</row>
    <row r="53" spans="2:39" x14ac:dyDescent="0.3">
      <c r="B53" s="7"/>
      <c r="F53" s="9"/>
      <c r="H53" s="10" t="s">
        <v>2</v>
      </c>
      <c r="I53" s="38"/>
      <c r="J53" s="34"/>
    </row>
    <row r="54" spans="2:39" x14ac:dyDescent="0.3">
      <c r="B54" s="7"/>
      <c r="F54" s="9"/>
      <c r="H54" s="10" t="s">
        <v>1</v>
      </c>
      <c r="I54" s="38"/>
      <c r="J54" s="34"/>
    </row>
    <row r="55" spans="2:39" ht="16.2" thickBot="1" x14ac:dyDescent="0.35">
      <c r="B55" s="25" cm="1">
        <f t="array" ref="B55">SUMPRODUCT(MMULT(BY6:CC30*C6:C30*L6:L30*POWER(F6:F30,O6:O30),I33:I37))</f>
        <v>6943.0043927394327</v>
      </c>
      <c r="C55" s="26"/>
      <c r="D55" s="26"/>
      <c r="E55" s="26"/>
      <c r="F55" s="27"/>
      <c r="H55" s="25" t="s">
        <v>1160</v>
      </c>
      <c r="I55" s="26"/>
      <c r="J55" s="27"/>
    </row>
    <row r="56" spans="2:39" ht="16.2" thickBot="1" x14ac:dyDescent="0.35"/>
    <row r="57" spans="2:39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</row>
    <row r="58" spans="2:39" x14ac:dyDescent="0.3">
      <c r="B58" s="7"/>
      <c r="AM58" s="9"/>
    </row>
    <row r="59" spans="2:39" x14ac:dyDescent="0.3">
      <c r="B59" s="7"/>
      <c r="AM59" s="9"/>
    </row>
    <row r="60" spans="2:39" x14ac:dyDescent="0.3">
      <c r="B60" s="7"/>
      <c r="AM60" s="9"/>
    </row>
    <row r="61" spans="2:39" x14ac:dyDescent="0.3">
      <c r="B61" s="7"/>
      <c r="AM61" s="9"/>
    </row>
    <row r="62" spans="2:39" x14ac:dyDescent="0.3">
      <c r="B62" s="7" t="s">
        <v>22</v>
      </c>
      <c r="G62" s="1" t="s">
        <v>33</v>
      </c>
      <c r="L62" s="1" t="s">
        <v>23</v>
      </c>
      <c r="Q62" s="1" t="s">
        <v>36</v>
      </c>
      <c r="V62" s="1" t="s">
        <v>37</v>
      </c>
      <c r="AA62" s="1" t="s">
        <v>38</v>
      </c>
      <c r="AM62" s="9"/>
    </row>
    <row r="63" spans="2:39" x14ac:dyDescent="0.3">
      <c r="B63" s="7"/>
      <c r="C63" s="1">
        <f>SUM(AI6:AM6,AP6:AT6,AW6:BA6,BD6:BH6)</f>
        <v>1</v>
      </c>
      <c r="D63" s="1" t="s">
        <v>21</v>
      </c>
      <c r="E63" s="1">
        <v>1</v>
      </c>
      <c r="H63" s="1" cm="1">
        <f t="array" ref="H63">SUM(AA6:AE6*BR6:BV6-R6*BK6:BO6)</f>
        <v>1</v>
      </c>
      <c r="I63" s="1" t="s">
        <v>24</v>
      </c>
      <c r="J63" s="1">
        <v>0</v>
      </c>
      <c r="M63" s="1" cm="1">
        <f t="array" ref="M63">SUM(AA6:AE6*BR6:BV6-U6*BK6:BO6)</f>
        <v>-12</v>
      </c>
      <c r="N63" s="1" t="s">
        <v>21</v>
      </c>
      <c r="O63" s="1">
        <v>0</v>
      </c>
      <c r="R63" s="1" cm="1">
        <f t="array" aca="1" ref="R63" ca="1">-C33+SUM(INDIRECT(ADDRESS(6,69+ROWS($A$1:A1))):INDIRECT(ADDRESS(30,69+ROWS($A$1:A1)))*$F$6:$F$30)</f>
        <v>0</v>
      </c>
      <c r="S63" s="1" t="s">
        <v>21</v>
      </c>
      <c r="T63" s="1">
        <v>0</v>
      </c>
      <c r="W63" s="1">
        <f ca="1">SUM(INDIRECT(ADDRESS(5+B47,63)):INDIRECT(ADDRESS(5+B47,67)))-SUM(INDIRECT(ADDRESS(5+C47,63)):INDIRECT(ADDRESS(5+C47,67)))</f>
        <v>0</v>
      </c>
      <c r="X63" s="1" t="s">
        <v>25</v>
      </c>
      <c r="Y63" s="1">
        <v>0</v>
      </c>
      <c r="AB63" s="1" cm="1">
        <f t="array" aca="1" ref="AB63" ca="1">INDIRECT(ADDRESS(5+$B42,62+COLUMNS($A1:A1)))+INDIRECT(ADDRESS(5+$C42,62+COLUMNS($A1:A1)))</f>
        <v>1</v>
      </c>
      <c r="AC63" s="1" cm="1">
        <f t="array" aca="1" ref="AC63" ca="1">INDIRECT(ADDRESS(5+$B42,62+COLUMNS($A1:B1)))+INDIRECT(ADDRESS(5+$C42,62+COLUMNS($A1:B1)))</f>
        <v>0</v>
      </c>
      <c r="AD63" s="1" cm="1">
        <f t="array" aca="1" ref="AD63" ca="1">INDIRECT(ADDRESS(5+$B42,62+COLUMNS($A1:C1)))+INDIRECT(ADDRESS(5+$C42,62+COLUMNS($A1:C1)))</f>
        <v>1</v>
      </c>
      <c r="AE63" s="1" cm="1">
        <f t="array" aca="1" ref="AE63" ca="1">INDIRECT(ADDRESS(5+$B42,62+COLUMNS($A1:D1)))+INDIRECT(ADDRESS(5+$C42,62+COLUMNS($A1:D1)))</f>
        <v>0</v>
      </c>
      <c r="AF63" s="1" cm="1">
        <f t="array" aca="1" ref="AF63" ca="1">INDIRECT(ADDRESS(5+$B42,62+COLUMNS($A1:E1)))+INDIRECT(ADDRESS(5+$C42,62+COLUMNS($A1:E1)))</f>
        <v>0</v>
      </c>
      <c r="AG63" s="1" t="s">
        <v>21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9"/>
    </row>
    <row r="64" spans="2:39" x14ac:dyDescent="0.3">
      <c r="B64" s="7"/>
      <c r="C64" s="1">
        <f t="shared" ref="C64:C86" si="11">SUM(AI7:AM7,AP7:AT7,AW7:BA7,BD7:BH7)</f>
        <v>1</v>
      </c>
      <c r="D64" s="1" t="s">
        <v>21</v>
      </c>
      <c r="E64" s="1">
        <v>1</v>
      </c>
      <c r="H64" s="1" cm="1">
        <f t="array" ref="H64">SUM(AA7:AE7*BR7:BV7-R7*BK7:BO7)</f>
        <v>4</v>
      </c>
      <c r="I64" s="1" t="s">
        <v>24</v>
      </c>
      <c r="J64" s="1">
        <v>0</v>
      </c>
      <c r="M64" s="1" cm="1">
        <f t="array" ref="M64">SUM(AA7:AE7*BR7:BV7-U7*BK7:BO7)</f>
        <v>-14</v>
      </c>
      <c r="N64" s="1" t="s">
        <v>21</v>
      </c>
      <c r="O64" s="1">
        <v>0</v>
      </c>
      <c r="R64" s="1" cm="1">
        <f t="array" aca="1" ref="R64" ca="1">-C34+SUM(INDIRECT(ADDRESS(6,69+ROWS($A$1:A2))):INDIRECT(ADDRESS(30,69+ROWS($A$1:A2)))*$F$6:$F$30)</f>
        <v>-1</v>
      </c>
      <c r="S64" s="1" t="s">
        <v>21</v>
      </c>
      <c r="T64" s="1">
        <v>0</v>
      </c>
      <c r="W64" s="1">
        <f ca="1">SUM(INDIRECT(ADDRESS(5+B48,63)):INDIRECT(ADDRESS(5+B48,67)))-SUM(INDIRECT(ADDRESS(5+C48,63)):INDIRECT(ADDRESS(5+C48,67)))</f>
        <v>0</v>
      </c>
      <c r="X64" s="1" t="s">
        <v>25</v>
      </c>
      <c r="Y64" s="1">
        <v>0</v>
      </c>
      <c r="AG64" s="1" t="s">
        <v>21</v>
      </c>
      <c r="AM64" s="9"/>
    </row>
    <row r="65" spans="2:39" x14ac:dyDescent="0.3">
      <c r="B65" s="7"/>
      <c r="C65" s="1">
        <f t="shared" si="11"/>
        <v>1</v>
      </c>
      <c r="D65" s="1" t="s">
        <v>21</v>
      </c>
      <c r="E65" s="1">
        <v>1</v>
      </c>
      <c r="H65" s="1" cm="1">
        <f t="array" ref="H65">SUM(AA8:AE8*BR8:BV8-R8*BK8:BO8)</f>
        <v>1</v>
      </c>
      <c r="I65" s="1" t="s">
        <v>24</v>
      </c>
      <c r="J65" s="1">
        <v>0</v>
      </c>
      <c r="M65" s="1" cm="1">
        <f t="array" ref="M65">SUM(AA8:AE8*BR8:BV8-U8*BK8:BO8)</f>
        <v>-21</v>
      </c>
      <c r="N65" s="1" t="s">
        <v>21</v>
      </c>
      <c r="O65" s="1">
        <v>0</v>
      </c>
      <c r="R65" s="1" cm="1">
        <f t="array" aca="1" ref="R65" ca="1">-C35+SUM(INDIRECT(ADDRESS(6,69+ROWS($A$1:A3))):INDIRECT(ADDRESS(30,69+ROWS($A$1:A3)))*$F$6:$F$30)</f>
        <v>-2</v>
      </c>
      <c r="S65" s="1" t="s">
        <v>21</v>
      </c>
      <c r="T65" s="1">
        <v>0</v>
      </c>
      <c r="W65" s="1">
        <f ca="1">SUM(INDIRECT(ADDRESS(5+B49,63)):INDIRECT(ADDRESS(5+B49,67)))-SUM(INDIRECT(ADDRESS(5+C49,63)):INDIRECT(ADDRESS(5+C49,67)))</f>
        <v>0</v>
      </c>
      <c r="X65" s="1" t="s">
        <v>25</v>
      </c>
      <c r="Y65" s="1">
        <v>0</v>
      </c>
      <c r="AB65" s="1" cm="1">
        <f t="array" aca="1" ref="AB65" ca="1">INDIRECT(ADDRESS(5+$B43,62+COLUMNS($A3:A3)))+INDIRECT(ADDRESS(5+$C43,62+COLUMNS($A3:A3)))</f>
        <v>0</v>
      </c>
      <c r="AC65" s="1" cm="1">
        <f t="array" aca="1" ref="AC65" ca="1">INDIRECT(ADDRESS(5+$B43,62+COLUMNS($A3:B3)))+INDIRECT(ADDRESS(5+$C43,62+COLUMNS($A3:B3)))</f>
        <v>0</v>
      </c>
      <c r="AD65" s="1" cm="1">
        <f t="array" aca="1" ref="AD65" ca="1">INDIRECT(ADDRESS(5+$B43,62+COLUMNS($A3:C3)))+INDIRECT(ADDRESS(5+$C43,62+COLUMNS($A3:C3)))</f>
        <v>0</v>
      </c>
      <c r="AE65" s="1" cm="1">
        <f t="array" aca="1" ref="AE65" ca="1">INDIRECT(ADDRESS(5+$B43,62+COLUMNS($A3:D3)))+INDIRECT(ADDRESS(5+$C43,62+COLUMNS($A3:D3)))</f>
        <v>0</v>
      </c>
      <c r="AF65" s="1" cm="1">
        <f t="array" aca="1" ref="AF65" ca="1">INDIRECT(ADDRESS(5+$B43,62+COLUMNS($A3:E3)))+INDIRECT(ADDRESS(5+$C43,62+COLUMNS($A3:E3)))</f>
        <v>0</v>
      </c>
      <c r="AG65" s="1" t="s">
        <v>21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9"/>
    </row>
    <row r="66" spans="2:39" x14ac:dyDescent="0.3">
      <c r="B66" s="7"/>
      <c r="C66" s="1">
        <f t="shared" si="11"/>
        <v>1</v>
      </c>
      <c r="D66" s="1" t="s">
        <v>21</v>
      </c>
      <c r="E66" s="1">
        <v>1</v>
      </c>
      <c r="H66" s="1" cm="1">
        <f t="array" ref="H66">SUM(AA9:AE9*BR9:BV9-R9*BK9:BO9)</f>
        <v>3</v>
      </c>
      <c r="I66" s="1" t="s">
        <v>24</v>
      </c>
      <c r="J66" s="1">
        <v>0</v>
      </c>
      <c r="M66" s="1" cm="1">
        <f t="array" ref="M66">SUM(AA9:AE9*BR9:BV9-U9*BK9:BO9)</f>
        <v>-5</v>
      </c>
      <c r="N66" s="1" t="s">
        <v>21</v>
      </c>
      <c r="O66" s="1">
        <v>0</v>
      </c>
      <c r="R66" s="1" cm="1">
        <f t="array" aca="1" ref="R66" ca="1">-C36+SUM(INDIRECT(ADDRESS(6,69+ROWS($A$1:A4))):INDIRECT(ADDRESS(30,69+ROWS($A$1:A4)))*$F$6:$F$30)</f>
        <v>-2</v>
      </c>
      <c r="S66" s="1" t="s">
        <v>21</v>
      </c>
      <c r="T66" s="1">
        <v>0</v>
      </c>
      <c r="W66" s="1">
        <f ca="1">SUM(INDIRECT(ADDRESS(5+B50,63)):INDIRECT(ADDRESS(5+B50,67)))-SUM(INDIRECT(ADDRESS(5+C50,63)):INDIRECT(ADDRESS(5+C50,67)))</f>
        <v>0</v>
      </c>
      <c r="X66" s="1" t="s">
        <v>25</v>
      </c>
      <c r="Y66" s="1">
        <v>0</v>
      </c>
      <c r="AM66" s="9"/>
    </row>
    <row r="67" spans="2:39" x14ac:dyDescent="0.3">
      <c r="B67" s="7"/>
      <c r="C67" s="1">
        <f t="shared" si="11"/>
        <v>1</v>
      </c>
      <c r="D67" s="1" t="s">
        <v>21</v>
      </c>
      <c r="E67" s="1">
        <v>1</v>
      </c>
      <c r="F67" s="38"/>
      <c r="H67" s="1" cm="1">
        <f t="array" ref="H67">SUM(AA10:AE10*BR10:BV10-R10*BK10:BO10)</f>
        <v>7</v>
      </c>
      <c r="I67" s="1" t="s">
        <v>24</v>
      </c>
      <c r="J67" s="1">
        <v>0</v>
      </c>
      <c r="M67" s="1" cm="1">
        <f t="array" ref="M67">SUM(AA10:AE10*BR10:BV10-U10*BK10:BO10)</f>
        <v>-8</v>
      </c>
      <c r="N67" s="1" t="s">
        <v>21</v>
      </c>
      <c r="O67" s="1">
        <v>0</v>
      </c>
      <c r="R67" s="1" cm="1">
        <f t="array" aca="1" ref="R67" ca="1">-C37+SUM(INDIRECT(ADDRESS(6,69+ROWS($A$1:A5))):INDIRECT(ADDRESS(30,69+ROWS($A$1:A5)))*$F$6:$F$30)</f>
        <v>0</v>
      </c>
      <c r="S67" s="1" t="s">
        <v>21</v>
      </c>
      <c r="T67" s="1">
        <v>0</v>
      </c>
      <c r="AM67" s="9"/>
    </row>
    <row r="68" spans="2:39" x14ac:dyDescent="0.3">
      <c r="B68" s="10"/>
      <c r="C68" s="1">
        <f t="shared" si="11"/>
        <v>1</v>
      </c>
      <c r="D68" s="1" t="s">
        <v>21</v>
      </c>
      <c r="E68" s="1">
        <v>1</v>
      </c>
      <c r="F68" s="38"/>
      <c r="H68" s="1" cm="1">
        <f t="array" ref="H68">SUM(AA11:AE11*BR11:BV11-R11*BK11:BO11)</f>
        <v>3</v>
      </c>
      <c r="I68" s="1" t="s">
        <v>24</v>
      </c>
      <c r="J68" s="1">
        <v>0</v>
      </c>
      <c r="M68" s="1" cm="1">
        <f t="array" ref="M68">SUM(AA11:AE11*BR11:BV11-U11*BK11:BO11)</f>
        <v>-17</v>
      </c>
      <c r="N68" s="1" t="s">
        <v>21</v>
      </c>
      <c r="O68" s="1">
        <v>0</v>
      </c>
      <c r="AM68" s="9"/>
    </row>
    <row r="69" spans="2:39" x14ac:dyDescent="0.3">
      <c r="B69" s="10"/>
      <c r="C69" s="1">
        <f t="shared" si="11"/>
        <v>0</v>
      </c>
      <c r="D69" s="1" t="s">
        <v>21</v>
      </c>
      <c r="E69" s="1">
        <v>1</v>
      </c>
      <c r="F69" s="38"/>
      <c r="H69" s="1" cm="1">
        <f t="array" ref="H69">SUM(AA12:AE12*BR12:BV12-R12*BK12:BO12)</f>
        <v>0</v>
      </c>
      <c r="I69" s="1" t="s">
        <v>24</v>
      </c>
      <c r="J69" s="1">
        <v>0</v>
      </c>
      <c r="M69" s="1" cm="1">
        <f t="array" ref="M69">SUM(AA12:AE12*BR12:BV12-U12*BK12:BO12)</f>
        <v>0</v>
      </c>
      <c r="N69" s="1" t="s">
        <v>21</v>
      </c>
      <c r="O69" s="1">
        <v>0</v>
      </c>
      <c r="AM69" s="9"/>
    </row>
    <row r="70" spans="2:39" x14ac:dyDescent="0.3">
      <c r="B70" s="10"/>
      <c r="C70" s="1">
        <f t="shared" si="11"/>
        <v>1</v>
      </c>
      <c r="D70" s="1" t="s">
        <v>21</v>
      </c>
      <c r="E70" s="1">
        <v>1</v>
      </c>
      <c r="F70" s="38"/>
      <c r="H70" s="1" cm="1">
        <f t="array" ref="H70">SUM(AA13:AE13*BR13:BV13-R13*BK13:BO13)</f>
        <v>1</v>
      </c>
      <c r="I70" s="1" t="s">
        <v>24</v>
      </c>
      <c r="J70" s="1">
        <v>0</v>
      </c>
      <c r="M70" s="1" cm="1">
        <f t="array" ref="M70">SUM(AA13:AE13*BR13:BV13-U13*BK13:BO13)</f>
        <v>-16</v>
      </c>
      <c r="N70" s="1" t="s">
        <v>21</v>
      </c>
      <c r="O70" s="1">
        <v>0</v>
      </c>
      <c r="AM70" s="9"/>
    </row>
    <row r="71" spans="2:39" x14ac:dyDescent="0.3">
      <c r="B71" s="10"/>
      <c r="C71" s="1">
        <f t="shared" si="11"/>
        <v>1</v>
      </c>
      <c r="D71" s="1" t="s">
        <v>21</v>
      </c>
      <c r="E71" s="1">
        <v>1</v>
      </c>
      <c r="F71" s="38"/>
      <c r="H71" s="1" cm="1">
        <f t="array" ref="H71">SUM(AA14:AE14*BR14:BV14-R14*BK14:BO14)</f>
        <v>7</v>
      </c>
      <c r="I71" s="1" t="s">
        <v>24</v>
      </c>
      <c r="J71" s="1">
        <v>0</v>
      </c>
      <c r="M71" s="1" cm="1">
        <f t="array" ref="M71">SUM(AA14:AE14*BR14:BV14-U14*BK14:BO14)</f>
        <v>-2</v>
      </c>
      <c r="N71" s="1" t="s">
        <v>21</v>
      </c>
      <c r="O71" s="1">
        <v>0</v>
      </c>
      <c r="V71" s="1" t="s">
        <v>1173</v>
      </c>
      <c r="AM71" s="9"/>
    </row>
    <row r="72" spans="2:39" x14ac:dyDescent="0.3">
      <c r="B72" s="10"/>
      <c r="C72" s="1">
        <f t="shared" si="11"/>
        <v>1</v>
      </c>
      <c r="D72" s="1" t="s">
        <v>21</v>
      </c>
      <c r="E72" s="1">
        <v>1</v>
      </c>
      <c r="F72" s="38"/>
      <c r="H72" s="1" cm="1">
        <f t="array" ref="H72">SUM(AA15:AE15*BR15:BV15-R15*BK15:BO15)</f>
        <v>8</v>
      </c>
      <c r="I72" s="1" t="s">
        <v>24</v>
      </c>
      <c r="J72" s="1">
        <v>0</v>
      </c>
      <c r="M72" s="1" cm="1">
        <f t="array" ref="M72">SUM(AA15:AE15*BR15:BV15-U15*BK15:BO15)</f>
        <v>-2</v>
      </c>
      <c r="N72" s="1" t="s">
        <v>21</v>
      </c>
      <c r="O72" s="1">
        <v>0</v>
      </c>
      <c r="W72" s="1" cm="1">
        <f t="array" aca="1" ref="W72" ca="1">INDIRECT(ADDRESS(8,62+ROWS($A$1:A1)))-INDIRECT(ADDRESS(13,62+ROWS($A$1:A1)))</f>
        <v>0</v>
      </c>
      <c r="X72" s="1" t="s">
        <v>25</v>
      </c>
      <c r="Y72" s="1">
        <v>0</v>
      </c>
      <c r="AM72" s="9"/>
    </row>
    <row r="73" spans="2:39" x14ac:dyDescent="0.3">
      <c r="B73" s="10"/>
      <c r="C73" s="1">
        <f t="shared" si="11"/>
        <v>1</v>
      </c>
      <c r="D73" s="1" t="s">
        <v>21</v>
      </c>
      <c r="E73" s="1">
        <v>1</v>
      </c>
      <c r="F73" s="38"/>
      <c r="H73" s="1" cm="1">
        <f t="array" ref="H73">SUM(AA16:AE16*BR16:BV16-R16*BK16:BO16)</f>
        <v>4</v>
      </c>
      <c r="I73" s="1" t="s">
        <v>24</v>
      </c>
      <c r="J73" s="1">
        <v>0</v>
      </c>
      <c r="M73" s="1" cm="1">
        <f t="array" ref="M73">SUM(AA16:AE16*BR16:BV16-U16*BK16:BO16)</f>
        <v>-11</v>
      </c>
      <c r="N73" s="1" t="s">
        <v>21</v>
      </c>
      <c r="O73" s="1">
        <v>0</v>
      </c>
      <c r="W73" s="1" cm="1">
        <f t="array" aca="1" ref="W73" ca="1">INDIRECT(ADDRESS(8,62+ROWS($A$1:A2)))-INDIRECT(ADDRESS(13,62+ROWS($A$1:A2)))</f>
        <v>0</v>
      </c>
      <c r="X73" s="1" t="s">
        <v>25</v>
      </c>
      <c r="Y73" s="1">
        <v>0</v>
      </c>
      <c r="AM73" s="9"/>
    </row>
    <row r="74" spans="2:39" x14ac:dyDescent="0.3">
      <c r="B74" s="10"/>
      <c r="C74" s="1">
        <f t="shared" si="11"/>
        <v>1</v>
      </c>
      <c r="D74" s="1" t="s">
        <v>21</v>
      </c>
      <c r="E74" s="1">
        <v>1</v>
      </c>
      <c r="F74" s="38"/>
      <c r="H74" s="1" cm="1">
        <f t="array" ref="H74">SUM(AA17:AE17*BR17:BV17-R17*BK17:BO17)</f>
        <v>14</v>
      </c>
      <c r="I74" s="1" t="s">
        <v>24</v>
      </c>
      <c r="J74" s="1">
        <v>0</v>
      </c>
      <c r="M74" s="1" cm="1">
        <f t="array" ref="M74">SUM(AA17:AE17*BR17:BV17-U17*BK17:BO17)</f>
        <v>-6</v>
      </c>
      <c r="N74" s="1" t="s">
        <v>21</v>
      </c>
      <c r="O74" s="1">
        <v>0</v>
      </c>
      <c r="W74" s="1" cm="1">
        <f t="array" aca="1" ref="W74" ca="1">INDIRECT(ADDRESS(8,62+ROWS($A$1:A3)))-INDIRECT(ADDRESS(13,62+ROWS($A$1:A3)))</f>
        <v>0</v>
      </c>
      <c r="X74" s="1" t="s">
        <v>25</v>
      </c>
      <c r="Y74" s="1">
        <v>0</v>
      </c>
      <c r="AM74" s="9"/>
    </row>
    <row r="75" spans="2:39" x14ac:dyDescent="0.3">
      <c r="B75" s="10"/>
      <c r="C75" s="1">
        <f t="shared" si="11"/>
        <v>0</v>
      </c>
      <c r="D75" s="1" t="s">
        <v>21</v>
      </c>
      <c r="E75" s="1">
        <v>1</v>
      </c>
      <c r="F75" s="38"/>
      <c r="H75" s="1" cm="1">
        <f t="array" ref="H75">SUM(AA18:AE18*BR18:BV18-R18*BK18:BO18)</f>
        <v>0</v>
      </c>
      <c r="I75" s="1" t="s">
        <v>24</v>
      </c>
      <c r="J75" s="1">
        <v>0</v>
      </c>
      <c r="M75" s="1" cm="1">
        <f t="array" ref="M75">SUM(AA18:AE18*BR18:BV18-U18*BK18:BO18)</f>
        <v>0</v>
      </c>
      <c r="N75" s="1" t="s">
        <v>21</v>
      </c>
      <c r="O75" s="1">
        <v>0</v>
      </c>
      <c r="W75" s="1" cm="1">
        <f t="array" aca="1" ref="W75" ca="1">INDIRECT(ADDRESS(8,62+ROWS($A$1:A4)))-INDIRECT(ADDRESS(13,62+ROWS($A$1:A4)))</f>
        <v>0</v>
      </c>
      <c r="X75" s="1" t="s">
        <v>25</v>
      </c>
      <c r="Y75" s="1">
        <v>0</v>
      </c>
      <c r="AM75" s="9"/>
    </row>
    <row r="76" spans="2:39" x14ac:dyDescent="0.3">
      <c r="B76" s="7"/>
      <c r="C76" s="1">
        <f t="shared" si="11"/>
        <v>1</v>
      </c>
      <c r="D76" s="1" t="s">
        <v>21</v>
      </c>
      <c r="E76" s="1">
        <v>1</v>
      </c>
      <c r="H76" s="1" cm="1">
        <f t="array" ref="H76">SUM(AA19:AE19*BR19:BV19-R19*BK19:BO19)</f>
        <v>5</v>
      </c>
      <c r="I76" s="1" t="s">
        <v>24</v>
      </c>
      <c r="J76" s="1">
        <v>0</v>
      </c>
      <c r="M76" s="1" cm="1">
        <f t="array" ref="M76">SUM(AA19:AE19*BR19:BV19-U19*BK19:BO19)</f>
        <v>-4</v>
      </c>
      <c r="N76" s="1" t="s">
        <v>21</v>
      </c>
      <c r="O76" s="1">
        <v>0</v>
      </c>
      <c r="W76" s="1" cm="1">
        <f t="array" aca="1" ref="W76" ca="1">INDIRECT(ADDRESS(8,62+ROWS($A$1:A5)))-INDIRECT(ADDRESS(13,62+ROWS($A$1:A5)))</f>
        <v>0</v>
      </c>
      <c r="X76" s="1" t="s">
        <v>25</v>
      </c>
      <c r="Y76" s="1">
        <v>0</v>
      </c>
      <c r="AM76" s="9"/>
    </row>
    <row r="77" spans="2:39" x14ac:dyDescent="0.3">
      <c r="B77" s="7"/>
      <c r="C77" s="1">
        <f t="shared" si="11"/>
        <v>1</v>
      </c>
      <c r="D77" s="1" t="s">
        <v>21</v>
      </c>
      <c r="E77" s="1">
        <v>1</v>
      </c>
      <c r="H77" s="1" cm="1">
        <f t="array" ref="H77">SUM(AA20:AE20*BR20:BV20-R20*BK20:BO20)</f>
        <v>9</v>
      </c>
      <c r="I77" s="1" t="s">
        <v>24</v>
      </c>
      <c r="J77" s="1">
        <v>0</v>
      </c>
      <c r="M77" s="1" cm="1">
        <f t="array" ref="M77">SUM(AA20:AE20*BR20:BV20-U20*BK20:BO20)</f>
        <v>-7</v>
      </c>
      <c r="N77" s="1" t="s">
        <v>21</v>
      </c>
      <c r="O77" s="1">
        <v>0</v>
      </c>
      <c r="AM77" s="9"/>
    </row>
    <row r="78" spans="2:39" x14ac:dyDescent="0.3">
      <c r="B78" s="7"/>
      <c r="C78" s="1">
        <f t="shared" si="11"/>
        <v>0</v>
      </c>
      <c r="D78" s="1" t="s">
        <v>21</v>
      </c>
      <c r="E78" s="1">
        <v>1</v>
      </c>
      <c r="H78" s="1" cm="1">
        <f t="array" ref="H78">SUM(AA21:AE21*BR21:BV21-R21*BK21:BO21)</f>
        <v>0</v>
      </c>
      <c r="I78" s="1" t="s">
        <v>24</v>
      </c>
      <c r="J78" s="1">
        <v>0</v>
      </c>
      <c r="M78" s="1" cm="1">
        <f t="array" ref="M78">SUM(AA21:AE21*BR21:BV21-U21*BK21:BO21)</f>
        <v>0</v>
      </c>
      <c r="N78" s="1" t="s">
        <v>21</v>
      </c>
      <c r="O78" s="1">
        <v>0</v>
      </c>
      <c r="AM78" s="9"/>
    </row>
    <row r="79" spans="2:39" x14ac:dyDescent="0.3">
      <c r="B79" s="7"/>
      <c r="C79" s="1">
        <f t="shared" si="11"/>
        <v>0</v>
      </c>
      <c r="D79" s="1" t="s">
        <v>21</v>
      </c>
      <c r="E79" s="1">
        <v>1</v>
      </c>
      <c r="H79" s="1" cm="1">
        <f t="array" ref="H79">SUM(AA22:AE22*BR22:BV22-R22*BK22:BO22)</f>
        <v>0</v>
      </c>
      <c r="I79" s="1" t="s">
        <v>24</v>
      </c>
      <c r="J79" s="1">
        <v>0</v>
      </c>
      <c r="M79" s="1" cm="1">
        <f t="array" ref="M79">SUM(AA22:AE22*BR22:BV22-U22*BK22:BO22)</f>
        <v>0</v>
      </c>
      <c r="N79" s="1" t="s">
        <v>21</v>
      </c>
      <c r="O79" s="1">
        <v>0</v>
      </c>
      <c r="AM79" s="9"/>
    </row>
    <row r="80" spans="2:39" x14ac:dyDescent="0.3">
      <c r="B80" s="7"/>
      <c r="C80" s="1">
        <f t="shared" si="11"/>
        <v>0</v>
      </c>
      <c r="D80" s="1" t="s">
        <v>21</v>
      </c>
      <c r="E80" s="1">
        <v>1</v>
      </c>
      <c r="H80" s="1" cm="1">
        <f t="array" ref="H80">SUM(AA23:AE23*BR23:BV23-R23*BK23:BO23)</f>
        <v>0</v>
      </c>
      <c r="I80" s="1" t="s">
        <v>24</v>
      </c>
      <c r="J80" s="1">
        <v>0</v>
      </c>
      <c r="M80" s="1" cm="1">
        <f t="array" ref="M80">SUM(AA23:AE23*BR23:BV23-U23*BK23:BO23)</f>
        <v>0</v>
      </c>
      <c r="N80" s="1" t="s">
        <v>21</v>
      </c>
      <c r="O80" s="1">
        <v>0</v>
      </c>
      <c r="AM80" s="9"/>
    </row>
    <row r="81" spans="1:39" x14ac:dyDescent="0.3">
      <c r="B81" s="7"/>
      <c r="C81" s="1">
        <f t="shared" si="11"/>
        <v>0</v>
      </c>
      <c r="D81" s="1" t="s">
        <v>21</v>
      </c>
      <c r="E81" s="1">
        <v>1</v>
      </c>
      <c r="H81" s="1" cm="1">
        <f t="array" ref="H81">SUM(AA24:AE24*BR24:BV24-R24*BK24:BO24)</f>
        <v>0</v>
      </c>
      <c r="I81" s="1" t="s">
        <v>24</v>
      </c>
      <c r="J81" s="1">
        <v>0</v>
      </c>
      <c r="M81" s="1" cm="1">
        <f t="array" ref="M81">SUM(AA24:AE24*BR24:BV24-U24*BK24:BO24)</f>
        <v>0</v>
      </c>
      <c r="N81" s="1" t="s">
        <v>21</v>
      </c>
      <c r="O81" s="1">
        <v>0</v>
      </c>
      <c r="AM81" s="9"/>
    </row>
    <row r="82" spans="1:39" x14ac:dyDescent="0.3">
      <c r="B82" s="7"/>
      <c r="C82" s="1">
        <f t="shared" si="11"/>
        <v>0</v>
      </c>
      <c r="D82" s="1" t="s">
        <v>21</v>
      </c>
      <c r="E82" s="1">
        <v>1</v>
      </c>
      <c r="H82" s="1" cm="1">
        <f t="array" ref="H82">SUM(AA25:AE25*BR25:BV25-R25*BK25:BO25)</f>
        <v>0</v>
      </c>
      <c r="I82" s="1" t="s">
        <v>24</v>
      </c>
      <c r="J82" s="1">
        <v>0</v>
      </c>
      <c r="M82" s="1" cm="1">
        <f t="array" ref="M82">SUM(AA25:AE25*BR25:BV25-U25*BK25:BO25)</f>
        <v>0</v>
      </c>
      <c r="N82" s="1" t="s">
        <v>21</v>
      </c>
      <c r="O82" s="1">
        <v>0</v>
      </c>
      <c r="AM82" s="9"/>
    </row>
    <row r="83" spans="1:39" x14ac:dyDescent="0.3">
      <c r="B83" s="7"/>
      <c r="C83" s="1">
        <f t="shared" si="11"/>
        <v>1</v>
      </c>
      <c r="D83" s="1" t="s">
        <v>21</v>
      </c>
      <c r="E83" s="1">
        <v>1</v>
      </c>
      <c r="H83" s="1" cm="1">
        <f t="array" ref="H83">SUM(AA26:AE26*BR26:BV26-R26*BK26:BO26)</f>
        <v>4</v>
      </c>
      <c r="I83" s="1" t="s">
        <v>24</v>
      </c>
      <c r="J83" s="1">
        <v>0</v>
      </c>
      <c r="M83" s="1" cm="1">
        <f t="array" ref="M83">SUM(AA26:AE26*BR26:BV26-U26*BK26:BO26)</f>
        <v>-18</v>
      </c>
      <c r="N83" s="1" t="s">
        <v>21</v>
      </c>
      <c r="O83" s="1">
        <v>0</v>
      </c>
      <c r="AM83" s="9"/>
    </row>
    <row r="84" spans="1:39" x14ac:dyDescent="0.3">
      <c r="B84" s="7"/>
      <c r="C84" s="1">
        <f t="shared" si="11"/>
        <v>1</v>
      </c>
      <c r="D84" s="1" t="s">
        <v>21</v>
      </c>
      <c r="E84" s="1">
        <v>1</v>
      </c>
      <c r="H84" s="1" cm="1">
        <f t="array" ref="H84">SUM(AA27:AE27*BR27:BV27-R27*BK27:BO27)</f>
        <v>2</v>
      </c>
      <c r="I84" s="1" t="s">
        <v>24</v>
      </c>
      <c r="J84" s="1">
        <v>0</v>
      </c>
      <c r="M84" s="1" cm="1">
        <f t="array" ref="M84">SUM(AA27:AE27*BR27:BV27-U27*BK27:BO27)</f>
        <v>-13</v>
      </c>
      <c r="N84" s="1" t="s">
        <v>21</v>
      </c>
      <c r="O84" s="1">
        <v>0</v>
      </c>
      <c r="AM84" s="9"/>
    </row>
    <row r="85" spans="1:39" x14ac:dyDescent="0.3">
      <c r="B85" s="7"/>
      <c r="C85" s="1">
        <f t="shared" si="11"/>
        <v>1</v>
      </c>
      <c r="D85" s="1" t="s">
        <v>21</v>
      </c>
      <c r="E85" s="1">
        <v>1</v>
      </c>
      <c r="H85" s="1" cm="1">
        <f t="array" ref="H85">SUM(AA28:AE28*BR28:BV28-R28*BK28:BO28)</f>
        <v>2</v>
      </c>
      <c r="I85" s="1" t="s">
        <v>24</v>
      </c>
      <c r="J85" s="1">
        <v>0</v>
      </c>
      <c r="M85" s="1" cm="1">
        <f t="array" ref="M85">SUM(AA28:AE28*BR28:BV28-U28*BK28:BO28)</f>
        <v>-9</v>
      </c>
      <c r="N85" s="1" t="s">
        <v>21</v>
      </c>
      <c r="O85" s="1">
        <v>0</v>
      </c>
      <c r="AM85" s="9"/>
    </row>
    <row r="86" spans="1:39" x14ac:dyDescent="0.3">
      <c r="B86" s="7"/>
      <c r="C86" s="1">
        <f t="shared" si="11"/>
        <v>1</v>
      </c>
      <c r="D86" s="1" t="s">
        <v>21</v>
      </c>
      <c r="E86" s="1">
        <v>1</v>
      </c>
      <c r="H86" s="1" cm="1">
        <f t="array" ref="H86">SUM(AA29:AE29*BR29:BV29-R29*BK29:BO29)</f>
        <v>11</v>
      </c>
      <c r="I86" s="1" t="s">
        <v>24</v>
      </c>
      <c r="J86" s="1">
        <v>0</v>
      </c>
      <c r="M86" s="1" cm="1">
        <f t="array" ref="M86">SUM(AA29:AE29*BR29:BV29-U29*BK29:BO29)</f>
        <v>-4</v>
      </c>
      <c r="N86" s="1" t="s">
        <v>21</v>
      </c>
      <c r="O86" s="1">
        <v>0</v>
      </c>
      <c r="AM86" s="9"/>
    </row>
    <row r="87" spans="1:39" x14ac:dyDescent="0.3">
      <c r="A87" s="64"/>
      <c r="B87" s="7"/>
      <c r="C87" s="1">
        <f>SUM(AI30:AM30,AP30:AT30,AW30:BA30,BD30:BH30)</f>
        <v>1</v>
      </c>
      <c r="D87" s="1" t="s">
        <v>21</v>
      </c>
      <c r="E87" s="1">
        <v>1</v>
      </c>
      <c r="H87" s="1" cm="1">
        <f t="array" ref="H87">SUM(AA30:AE30*BR30:BV30-R30*BK30:BO30)</f>
        <v>10</v>
      </c>
      <c r="I87" s="1" t="s">
        <v>24</v>
      </c>
      <c r="J87" s="1">
        <v>0</v>
      </c>
      <c r="M87" s="1" cm="1">
        <f t="array" ref="M87">SUM(AA30:AE30*BR30:BV30-U30*BK30:BO30)</f>
        <v>-2</v>
      </c>
      <c r="N87" s="1" t="s">
        <v>21</v>
      </c>
      <c r="O87" s="1">
        <v>0</v>
      </c>
      <c r="AM87" s="9"/>
    </row>
    <row r="88" spans="1:39" x14ac:dyDescent="0.3">
      <c r="A88" s="70"/>
      <c r="B88" s="7"/>
      <c r="AM88" s="9"/>
    </row>
    <row r="89" spans="1:39" x14ac:dyDescent="0.3">
      <c r="A89" s="70"/>
      <c r="B89" s="7"/>
      <c r="AM89" s="9"/>
    </row>
    <row r="90" spans="1:39" ht="16.2" thickBot="1" x14ac:dyDescent="0.35">
      <c r="A90" s="70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</row>
    <row r="91" spans="1:39" x14ac:dyDescent="0.3">
      <c r="A91" s="70"/>
      <c r="E91" s="38"/>
      <c r="F91" s="38"/>
      <c r="G91" s="38"/>
      <c r="H91" s="38"/>
      <c r="I91" s="38"/>
      <c r="J91" s="38"/>
    </row>
    <row r="92" spans="1:39" x14ac:dyDescent="0.3">
      <c r="A92" s="70"/>
    </row>
    <row r="93" spans="1:39" x14ac:dyDescent="0.3">
      <c r="A93" s="70"/>
    </row>
    <row r="94" spans="1:39" x14ac:dyDescent="0.3">
      <c r="A94" s="70"/>
    </row>
    <row r="95" spans="1:39" x14ac:dyDescent="0.3">
      <c r="A95" s="70"/>
    </row>
    <row r="96" spans="1:39" x14ac:dyDescent="0.3">
      <c r="A96" s="70"/>
      <c r="B96" s="65"/>
      <c r="C96" s="67"/>
      <c r="D96" s="64"/>
      <c r="E96" s="64"/>
      <c r="F96" s="64"/>
      <c r="G96" s="64"/>
      <c r="H96" s="65"/>
    </row>
    <row r="97" spans="1:8" x14ac:dyDescent="0.3">
      <c r="A97" s="70"/>
      <c r="B97" s="65"/>
      <c r="C97" s="66"/>
      <c r="D97" s="64"/>
      <c r="E97" s="64"/>
      <c r="F97" s="64"/>
      <c r="G97" s="64"/>
      <c r="H97" s="65"/>
    </row>
    <row r="98" spans="1:8" x14ac:dyDescent="0.3">
      <c r="A98" s="70"/>
      <c r="B98" s="65"/>
      <c r="C98" s="67"/>
      <c r="D98" s="64"/>
      <c r="E98" s="64"/>
      <c r="F98" s="64"/>
      <c r="G98" s="64"/>
      <c r="H98" s="65"/>
    </row>
    <row r="99" spans="1:8" x14ac:dyDescent="0.3">
      <c r="A99" s="70"/>
      <c r="B99" s="65"/>
      <c r="C99" s="67"/>
      <c r="D99" s="64"/>
      <c r="E99" s="64"/>
      <c r="F99" s="64"/>
      <c r="G99" s="64"/>
      <c r="H99" s="65"/>
    </row>
    <row r="100" spans="1:8" x14ac:dyDescent="0.3">
      <c r="A100" s="70"/>
      <c r="B100" s="65"/>
      <c r="C100" s="67"/>
      <c r="D100" s="64"/>
      <c r="E100" s="64"/>
      <c r="F100" s="64"/>
      <c r="G100" s="64"/>
      <c r="H100" s="65"/>
    </row>
    <row r="101" spans="1:8" x14ac:dyDescent="0.3">
      <c r="A101" s="70"/>
      <c r="B101" s="65"/>
      <c r="C101" s="67"/>
      <c r="D101" s="64"/>
      <c r="E101" s="64"/>
      <c r="F101" s="64"/>
      <c r="G101" s="64"/>
      <c r="H101" s="65"/>
    </row>
    <row r="102" spans="1:8" x14ac:dyDescent="0.3">
      <c r="A102" s="70"/>
      <c r="B102" s="65"/>
      <c r="C102" s="67"/>
      <c r="D102" s="64"/>
      <c r="E102" s="64"/>
      <c r="F102" s="64"/>
      <c r="G102" s="64"/>
      <c r="H102" s="65"/>
    </row>
    <row r="103" spans="1:8" x14ac:dyDescent="0.3">
      <c r="A103" s="70"/>
      <c r="B103" s="65"/>
      <c r="C103" s="66"/>
      <c r="D103" s="64"/>
      <c r="E103" s="64"/>
      <c r="F103" s="64"/>
      <c r="G103" s="64"/>
      <c r="H103" s="65"/>
    </row>
    <row r="104" spans="1:8" x14ac:dyDescent="0.3">
      <c r="A104" s="70"/>
      <c r="B104" s="65"/>
      <c r="C104" s="66"/>
      <c r="D104" s="64"/>
      <c r="E104" s="64"/>
      <c r="F104" s="64"/>
      <c r="G104" s="64"/>
      <c r="H104" s="65"/>
    </row>
    <row r="105" spans="1:8" x14ac:dyDescent="0.3">
      <c r="A105" s="70"/>
      <c r="B105" s="65"/>
      <c r="C105" s="66"/>
      <c r="D105" s="64"/>
      <c r="E105" s="64"/>
      <c r="F105" s="64"/>
      <c r="G105" s="64"/>
      <c r="H105" s="65"/>
    </row>
    <row r="106" spans="1:8" x14ac:dyDescent="0.3">
      <c r="A106" s="70"/>
      <c r="B106" s="65"/>
      <c r="C106" s="66"/>
      <c r="D106" s="64"/>
      <c r="E106" s="64"/>
      <c r="F106" s="64"/>
      <c r="G106" s="64"/>
      <c r="H106" s="65"/>
    </row>
    <row r="107" spans="1:8" x14ac:dyDescent="0.3">
      <c r="A107" s="70"/>
      <c r="B107" s="65"/>
      <c r="C107" s="66"/>
      <c r="D107" s="64"/>
      <c r="E107" s="64"/>
      <c r="F107" s="64"/>
      <c r="G107" s="64"/>
      <c r="H107" s="65"/>
    </row>
    <row r="108" spans="1:8" x14ac:dyDescent="0.3">
      <c r="A108" s="70"/>
      <c r="B108" s="65"/>
      <c r="C108" s="66"/>
      <c r="D108" s="64"/>
      <c r="E108" s="64"/>
      <c r="F108" s="64"/>
      <c r="G108" s="64"/>
      <c r="H108" s="65"/>
    </row>
    <row r="109" spans="1:8" x14ac:dyDescent="0.3">
      <c r="A109" s="70"/>
      <c r="B109" s="65"/>
      <c r="C109" s="66"/>
      <c r="D109" s="64"/>
      <c r="E109" s="64"/>
      <c r="F109" s="64"/>
      <c r="G109" s="64"/>
      <c r="H109" s="65"/>
    </row>
    <row r="110" spans="1:8" x14ac:dyDescent="0.3">
      <c r="A110" s="70"/>
      <c r="B110" s="65"/>
      <c r="C110" s="66"/>
      <c r="D110" s="64"/>
      <c r="E110" s="64"/>
      <c r="F110" s="64"/>
      <c r="G110" s="64"/>
      <c r="H110" s="65"/>
    </row>
    <row r="111" spans="1:8" x14ac:dyDescent="0.3">
      <c r="A111" s="70"/>
      <c r="B111" s="65"/>
      <c r="C111" s="66"/>
      <c r="D111" s="64"/>
      <c r="E111" s="64"/>
      <c r="F111" s="64"/>
      <c r="G111" s="64"/>
      <c r="H111" s="65"/>
    </row>
    <row r="112" spans="1:8" x14ac:dyDescent="0.3">
      <c r="A112" s="70"/>
      <c r="B112" s="65"/>
      <c r="C112" s="66"/>
      <c r="D112" s="64"/>
      <c r="E112" s="64"/>
      <c r="F112" s="64"/>
      <c r="G112" s="64"/>
      <c r="H112" s="65"/>
    </row>
    <row r="115" spans="1:11" x14ac:dyDescent="0.3">
      <c r="A115" s="71"/>
      <c r="D115" s="72"/>
      <c r="F115" s="71"/>
      <c r="G115" s="64"/>
      <c r="H115" s="65"/>
      <c r="I115" s="64"/>
      <c r="J115" s="65"/>
      <c r="K115" s="64"/>
    </row>
    <row r="116" spans="1:11" x14ac:dyDescent="0.3">
      <c r="A116" s="68"/>
      <c r="B116" s="68"/>
      <c r="C116" s="68"/>
      <c r="D116" s="68"/>
      <c r="G116" s="68"/>
      <c r="H116" s="65"/>
    </row>
    <row r="117" spans="1:11" x14ac:dyDescent="0.3">
      <c r="A117" s="68"/>
      <c r="B117" s="68"/>
      <c r="C117" s="68"/>
      <c r="D117" s="68"/>
    </row>
    <row r="118" spans="1:11" x14ac:dyDescent="0.3">
      <c r="A118" s="68"/>
      <c r="B118" s="68"/>
      <c r="F118" s="72"/>
    </row>
    <row r="119" spans="1:11" x14ac:dyDescent="0.3">
      <c r="A119" s="68"/>
      <c r="B119" s="68"/>
    </row>
    <row r="120" spans="1:11" x14ac:dyDescent="0.3">
      <c r="A120" s="68"/>
      <c r="B120" s="6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105EF9-87DC-400D-AF3A-CEFE01235C70}">
  <ds:schemaRefs>
    <ds:schemaRef ds:uri="http://www.w3.org/XML/1998/namespace"/>
    <ds:schemaRef ds:uri="http://schemas.openxmlformats.org/package/2006/metadata/core-properties"/>
    <ds:schemaRef ds:uri="http://purl.org/dc/elements/1.1/"/>
    <ds:schemaRef ds:uri="b79073fe-1e48-4a97-9229-baaa8603d156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743BDCF-CD65-459D-B3C1-842DFFE4D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F82F3A-971A-4E00-BEE7-5E3A8CB8E8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Sayfa1 Sensitivity</vt:lpstr>
      <vt:lpstr>Q2</vt:lpstr>
      <vt:lpstr>Q4</vt:lpstr>
      <vt:lpstr>Q5</vt:lpstr>
      <vt:lpstr>Q6-115cm</vt:lpstr>
      <vt:lpstr>Q6-120cm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ersel hengrmen</cp:lastModifiedBy>
  <dcterms:created xsi:type="dcterms:W3CDTF">2021-01-09T17:11:28Z</dcterms:created>
  <dcterms:modified xsi:type="dcterms:W3CDTF">2021-01-23T18:16:59Z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