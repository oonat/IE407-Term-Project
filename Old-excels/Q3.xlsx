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28f8d26f624cd18d39-my.sharepoint.com/personal/e246801_metu_edu_tr/Documents/"/>
    </mc:Choice>
  </mc:AlternateContent>
  <xr:revisionPtr revIDLastSave="0" documentId="14_{2547FB59-4A9F-414D-B0C8-42798455C3A1}" xr6:coauthVersionLast="46" xr6:coauthVersionMax="46" xr10:uidLastSave="{00000000-0000-0000-0000-000000000000}"/>
  <bookViews>
    <workbookView xWindow="2652" yWindow="2652" windowWidth="17280" windowHeight="8964" xr2:uid="{DE9C318C-6C5E-40C7-9B27-2A02002AAE7B}"/>
  </bookViews>
  <sheets>
    <sheet name="Sayfa1" sheetId="1" r:id="rId1"/>
    <sheet name="Sheet2" sheetId="2" r:id="rId2"/>
  </sheets>
  <definedNames>
    <definedName name="OpenSolver_ChosenSolver" localSheetId="0" hidden="1">CBC</definedName>
    <definedName name="OpenSolver_DualsNewSheet" localSheetId="0" hidden="1">1</definedName>
    <definedName name="OpenSolver_LinearityCheck" localSheetId="0" hidden="1">1</definedName>
    <definedName name="OpenSolver_UpdateSensitivity" localSheetId="0" hidden="1">1</definedName>
    <definedName name="solver_adj" localSheetId="0" hidden="1">Sayfa1!$AL$3:$AP$102,Sayfa1!$AS$3:$AW$102,Sayfa1!$AZ$3:$BD$102,Sayfa1!$BG$3:$BK$102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Sayfa1!$C$149:$C$248</definedName>
    <definedName name="solver_lhs10" localSheetId="0" hidden="1">Sayfa1!$BG$3:$BK$102</definedName>
    <definedName name="solver_lhs11" localSheetId="0" hidden="1">Sayfa1!#REF!</definedName>
    <definedName name="solver_lhs12" localSheetId="0" hidden="1">Sayfa1!#REF!</definedName>
    <definedName name="solver_lhs13" localSheetId="0" hidden="1">Sayfa1!#REF!</definedName>
    <definedName name="solver_lhs14" localSheetId="0" hidden="1">Sayfa1!#REF!</definedName>
    <definedName name="solver_lhs15" localSheetId="0" hidden="1">Sayfa1!#REF!</definedName>
    <definedName name="solver_lhs16" localSheetId="0" hidden="1">Sayfa1!#REF!</definedName>
    <definedName name="solver_lhs17" localSheetId="0" hidden="1">Sayfa1!#REF!</definedName>
    <definedName name="solver_lhs18" localSheetId="0" hidden="1">Sayfa1!#REF!</definedName>
    <definedName name="solver_lhs19" localSheetId="0" hidden="1">Sayfa1!#REF!</definedName>
    <definedName name="solver_lhs2" localSheetId="0" hidden="1">Sayfa1!$H$149:$H$248</definedName>
    <definedName name="solver_lhs20" localSheetId="0" hidden="1">Sayfa1!#REF!</definedName>
    <definedName name="solver_lhs21" localSheetId="0" hidden="1">Sayfa1!#REF!</definedName>
    <definedName name="solver_lhs22" localSheetId="0" hidden="1">Sayfa1!#REF!</definedName>
    <definedName name="solver_lhs23" localSheetId="0" hidden="1">Sayfa1!#REF!</definedName>
    <definedName name="solver_lhs24" localSheetId="0" hidden="1">Sayfa1!#REF!</definedName>
    <definedName name="solver_lhs25" localSheetId="0" hidden="1">Sayfa1!#REF!</definedName>
    <definedName name="solver_lhs26" localSheetId="0" hidden="1">Sayfa1!#REF!</definedName>
    <definedName name="solver_lhs27" localSheetId="0" hidden="1">Sayfa1!#REF!</definedName>
    <definedName name="solver_lhs28" localSheetId="0" hidden="1">Sayfa1!#REF!</definedName>
    <definedName name="solver_lhs29" localSheetId="0" hidden="1">Sayfa1!#REF!</definedName>
    <definedName name="solver_lhs3" localSheetId="0" hidden="1">Sayfa1!$M$149:$M$248</definedName>
    <definedName name="solver_lhs30" localSheetId="0" hidden="1">Sayfa1!#REF!</definedName>
    <definedName name="solver_lhs31" localSheetId="0" hidden="1">Sayfa1!#REF!</definedName>
    <definedName name="solver_lhs32" localSheetId="0" hidden="1">Sayfa1!#REF!</definedName>
    <definedName name="solver_lhs33" localSheetId="0" hidden="1">Sayfa1!#REF!</definedName>
    <definedName name="solver_lhs4" localSheetId="0" hidden="1">Sayfa1!$R$149:$R$153</definedName>
    <definedName name="solver_lhs5" localSheetId="0" hidden="1">Sayfa1!$W$149:$W$161</definedName>
    <definedName name="solver_lhs6" localSheetId="0" hidden="1">Sayfa1!$AB$149:$AF$160</definedName>
    <definedName name="solver_lhs7" localSheetId="0" hidden="1">Sayfa1!$AL$3:$AP$102</definedName>
    <definedName name="solver_lhs8" localSheetId="0" hidden="1">Sayfa1!$AS$3:$AW$102</definedName>
    <definedName name="solver_lhs9" localSheetId="0" hidden="1">Sayfa1!$AZ$3:$BD$102</definedName>
    <definedName name="solver_neg" localSheetId="0" hidden="1">1</definedName>
    <definedName name="solver_num" localSheetId="0" hidden="1">10</definedName>
    <definedName name="solver_nwt" localSheetId="0" hidden="1">1</definedName>
    <definedName name="solver_opt" localSheetId="0" hidden="1">Sayfa1!$AH$113</definedName>
    <definedName name="solver_pre" localSheetId="0" hidden="1">0.000001</definedName>
    <definedName name="solver_rel1" localSheetId="0" hidden="1">1</definedName>
    <definedName name="solver_rel10" localSheetId="0" hidden="1">5</definedName>
    <definedName name="solver_rel11" localSheetId="0" hidden="1">5</definedName>
    <definedName name="solver_rel12" localSheetId="0" hidden="1">5</definedName>
    <definedName name="solver_rel13" localSheetId="0" hidden="1">5</definedName>
    <definedName name="solver_rel14" localSheetId="0" hidden="1">2</definedName>
    <definedName name="solver_rel15" localSheetId="0" hidden="1">3</definedName>
    <definedName name="solver_rel16" localSheetId="0" hidden="1">3</definedName>
    <definedName name="solver_rel17" localSheetId="0" hidden="1">3</definedName>
    <definedName name="solver_rel18" localSheetId="0" hidden="1">3</definedName>
    <definedName name="solver_rel19" localSheetId="0" hidden="1">3</definedName>
    <definedName name="solver_rel2" localSheetId="0" hidden="1">3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24" localSheetId="0" hidden="1">1</definedName>
    <definedName name="solver_rel25" localSheetId="0" hidden="1">1</definedName>
    <definedName name="solver_rel26" localSheetId="0" hidden="1">1</definedName>
    <definedName name="solver_rel27" localSheetId="0" hidden="1">1</definedName>
    <definedName name="solver_rel28" localSheetId="0" hidden="1">1</definedName>
    <definedName name="solver_rel29" localSheetId="0" hidden="1">1</definedName>
    <definedName name="solver_rel3" localSheetId="0" hidden="1">1</definedName>
    <definedName name="solver_rel30" localSheetId="0" hidden="1">1</definedName>
    <definedName name="solver_rel31" localSheetId="0" hidden="1">1</definedName>
    <definedName name="solver_rel32" localSheetId="0" hidden="1">1</definedName>
    <definedName name="solver_rel33" localSheetId="0" hidden="1">1</definedName>
    <definedName name="solver_rel4" localSheetId="0" hidden="1">1</definedName>
    <definedName name="solver_rel5" localSheetId="0" hidden="1">2</definedName>
    <definedName name="solver_rel6" localSheetId="0" hidden="1">1</definedName>
    <definedName name="solver_rel7" localSheetId="0" hidden="1">5</definedName>
    <definedName name="solver_rel8" localSheetId="0" hidden="1">5</definedName>
    <definedName name="solver_rel9" localSheetId="0" hidden="1">5</definedName>
    <definedName name="solver_rhs1" localSheetId="0" hidden="1">Sayfa1!$E$149:$E$248</definedName>
    <definedName name="solver_rhs10" localSheetId="0" hidden="1">binary</definedName>
    <definedName name="solver_rhs11" localSheetId="0" hidden="1">binary</definedName>
    <definedName name="solver_rhs12" localSheetId="0" hidden="1">binary</definedName>
    <definedName name="solver_rhs13" localSheetId="0" hidden="1">binary</definedName>
    <definedName name="solver_rhs14" localSheetId="0" hidden="1">Sayfa1!#REF!</definedName>
    <definedName name="solver_rhs15" localSheetId="0" hidden="1">Sayfa1!#REF!</definedName>
    <definedName name="solver_rhs16" localSheetId="0" hidden="1">Sayfa1!#REF!</definedName>
    <definedName name="solver_rhs17" localSheetId="0" hidden="1">Sayfa1!#REF!</definedName>
    <definedName name="solver_rhs18" localSheetId="0" hidden="1">Sayfa1!#REF!</definedName>
    <definedName name="solver_rhs19" localSheetId="0" hidden="1">Sayfa1!#REF!</definedName>
    <definedName name="solver_rhs2" localSheetId="0" hidden="1">Sayfa1!$J$149:$J$248</definedName>
    <definedName name="solver_rhs20" localSheetId="0" hidden="1">Sayfa1!#REF!</definedName>
    <definedName name="solver_rhs21" localSheetId="0" hidden="1">Sayfa1!#REF!</definedName>
    <definedName name="solver_rhs22" localSheetId="0" hidden="1">Sayfa1!#REF!</definedName>
    <definedName name="solver_rhs23" localSheetId="0" hidden="1">Sayfa1!#REF!</definedName>
    <definedName name="solver_rhs24" localSheetId="0" hidden="1">Sayfa1!#REF!</definedName>
    <definedName name="solver_rhs25" localSheetId="0" hidden="1">Sayfa1!#REF!</definedName>
    <definedName name="solver_rhs26" localSheetId="0" hidden="1">Sayfa1!#REF!</definedName>
    <definedName name="solver_rhs27" localSheetId="0" hidden="1">Sayfa1!#REF!</definedName>
    <definedName name="solver_rhs28" localSheetId="0" hidden="1">Sayfa1!#REF!</definedName>
    <definedName name="solver_rhs29" localSheetId="0" hidden="1">Sayfa1!#REF!</definedName>
    <definedName name="solver_rhs3" localSheetId="0" hidden="1">Sayfa1!$O$149:$O$248</definedName>
    <definedName name="solver_rhs30" localSheetId="0" hidden="1">Sayfa1!#REF!</definedName>
    <definedName name="solver_rhs31" localSheetId="0" hidden="1">Sayfa1!#REF!</definedName>
    <definedName name="solver_rhs32" localSheetId="0" hidden="1">Sayfa1!#REF!</definedName>
    <definedName name="solver_rhs33" localSheetId="0" hidden="1">Sayfa1!#REF!</definedName>
    <definedName name="solver_rhs4" localSheetId="0" hidden="1">Sayfa1!$T$149:$T$153</definedName>
    <definedName name="solver_rhs5" localSheetId="0" hidden="1">Sayfa1!$Y$149:$Y$161</definedName>
    <definedName name="solver_rhs6" localSheetId="0" hidden="1">Sayfa1!$AH$149:$AL$160</definedName>
    <definedName name="solver_rhs7" localSheetId="0" hidden="1">binary</definedName>
    <definedName name="solver_rhs8" localSheetId="0" hidden="1">binary</definedName>
    <definedName name="solver_rhs9" localSheetId="0" hidden="1">binary</definedName>
    <definedName name="solver_rlx" localSheetId="0" hidden="1">2</definedName>
    <definedName name="solver_scl" localSheetId="0" hidden="1">2</definedName>
    <definedName name="solver_sho" localSheetId="0" hidden="1">1</definedName>
    <definedName name="solver_tim" localSheetId="0" hidden="1">2147483647</definedName>
    <definedName name="solver_tol" localSheetId="0" hidden="1">0</definedName>
    <definedName name="solver_typ" localSheetId="0" hidden="1">1</definedName>
    <definedName name="solver_val" localSheetId="0" hidden="1">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4" i="1" l="1"/>
  <c r="CD4" i="1"/>
  <c r="CE4" i="1"/>
  <c r="CF4" i="1"/>
  <c r="CG4" i="1"/>
  <c r="CC5" i="1"/>
  <c r="CD5" i="1"/>
  <c r="CE5" i="1"/>
  <c r="CF5" i="1"/>
  <c r="CG5" i="1"/>
  <c r="CC6" i="1"/>
  <c r="CD6" i="1"/>
  <c r="CE6" i="1"/>
  <c r="CF6" i="1"/>
  <c r="CG6" i="1"/>
  <c r="CC7" i="1"/>
  <c r="CD7" i="1"/>
  <c r="CE7" i="1"/>
  <c r="CF7" i="1"/>
  <c r="CG7" i="1"/>
  <c r="CC8" i="1"/>
  <c r="CD8" i="1"/>
  <c r="CE8" i="1"/>
  <c r="CF8" i="1"/>
  <c r="CG8" i="1"/>
  <c r="CC9" i="1"/>
  <c r="CD9" i="1"/>
  <c r="CE9" i="1"/>
  <c r="CF9" i="1"/>
  <c r="CG9" i="1"/>
  <c r="CC10" i="1"/>
  <c r="CD10" i="1"/>
  <c r="CE10" i="1"/>
  <c r="CF10" i="1"/>
  <c r="CG10" i="1"/>
  <c r="CC11" i="1"/>
  <c r="CD11" i="1"/>
  <c r="CE11" i="1"/>
  <c r="CF11" i="1"/>
  <c r="CG11" i="1"/>
  <c r="CC12" i="1"/>
  <c r="CD12" i="1"/>
  <c r="CE12" i="1"/>
  <c r="CF12" i="1"/>
  <c r="CG12" i="1"/>
  <c r="CC13" i="1"/>
  <c r="CD13" i="1"/>
  <c r="CE13" i="1"/>
  <c r="CF13" i="1"/>
  <c r="CG13" i="1"/>
  <c r="CC14" i="1"/>
  <c r="CD14" i="1"/>
  <c r="CE14" i="1"/>
  <c r="CF14" i="1"/>
  <c r="CG14" i="1"/>
  <c r="CC15" i="1"/>
  <c r="CD15" i="1"/>
  <c r="CE15" i="1"/>
  <c r="CF15" i="1"/>
  <c r="CG15" i="1"/>
  <c r="CC16" i="1"/>
  <c r="CD16" i="1"/>
  <c r="CE16" i="1"/>
  <c r="CF16" i="1"/>
  <c r="CG16" i="1"/>
  <c r="CC17" i="1"/>
  <c r="CD17" i="1"/>
  <c r="CE17" i="1"/>
  <c r="CF17" i="1"/>
  <c r="CG17" i="1"/>
  <c r="CC18" i="1"/>
  <c r="CD18" i="1"/>
  <c r="CE18" i="1"/>
  <c r="CF18" i="1"/>
  <c r="CG18" i="1"/>
  <c r="CC19" i="1"/>
  <c r="CD19" i="1"/>
  <c r="CE19" i="1"/>
  <c r="CF19" i="1"/>
  <c r="CG19" i="1"/>
  <c r="CC20" i="1"/>
  <c r="CD20" i="1"/>
  <c r="CE20" i="1"/>
  <c r="CF20" i="1"/>
  <c r="CG20" i="1"/>
  <c r="CC21" i="1"/>
  <c r="CD21" i="1"/>
  <c r="CE21" i="1"/>
  <c r="CF21" i="1"/>
  <c r="CG21" i="1"/>
  <c r="CC22" i="1"/>
  <c r="CD22" i="1"/>
  <c r="CE22" i="1"/>
  <c r="CF22" i="1"/>
  <c r="CG22" i="1"/>
  <c r="CC23" i="1"/>
  <c r="CD23" i="1"/>
  <c r="CE23" i="1"/>
  <c r="CF23" i="1"/>
  <c r="CG23" i="1"/>
  <c r="CC24" i="1"/>
  <c r="CD24" i="1"/>
  <c r="CE24" i="1"/>
  <c r="CF24" i="1"/>
  <c r="CG24" i="1"/>
  <c r="CC25" i="1"/>
  <c r="CD25" i="1"/>
  <c r="CE25" i="1"/>
  <c r="CF25" i="1"/>
  <c r="CG25" i="1"/>
  <c r="CC26" i="1"/>
  <c r="CD26" i="1"/>
  <c r="CE26" i="1"/>
  <c r="CF26" i="1"/>
  <c r="CG26" i="1"/>
  <c r="CC27" i="1"/>
  <c r="CD27" i="1"/>
  <c r="CE27" i="1"/>
  <c r="CF27" i="1"/>
  <c r="CG27" i="1"/>
  <c r="CC28" i="1"/>
  <c r="CD28" i="1"/>
  <c r="CE28" i="1"/>
  <c r="CF28" i="1"/>
  <c r="CG28" i="1"/>
  <c r="CC29" i="1"/>
  <c r="CD29" i="1"/>
  <c r="CE29" i="1"/>
  <c r="CF29" i="1"/>
  <c r="CG29" i="1"/>
  <c r="CC30" i="1"/>
  <c r="CD30" i="1"/>
  <c r="CE30" i="1"/>
  <c r="CF30" i="1"/>
  <c r="CG30" i="1"/>
  <c r="CC31" i="1"/>
  <c r="CD31" i="1"/>
  <c r="CE31" i="1"/>
  <c r="CF31" i="1"/>
  <c r="CG31" i="1"/>
  <c r="CC32" i="1"/>
  <c r="CD32" i="1"/>
  <c r="CE32" i="1"/>
  <c r="CF32" i="1"/>
  <c r="CG32" i="1"/>
  <c r="CC33" i="1"/>
  <c r="CD33" i="1"/>
  <c r="CE33" i="1"/>
  <c r="CF33" i="1"/>
  <c r="CG33" i="1"/>
  <c r="CC34" i="1"/>
  <c r="CD34" i="1"/>
  <c r="CE34" i="1"/>
  <c r="CF34" i="1"/>
  <c r="CG34" i="1"/>
  <c r="CC35" i="1"/>
  <c r="CD35" i="1"/>
  <c r="CE35" i="1"/>
  <c r="CF35" i="1"/>
  <c r="CG35" i="1"/>
  <c r="CC36" i="1"/>
  <c r="CD36" i="1"/>
  <c r="CE36" i="1"/>
  <c r="CF36" i="1"/>
  <c r="CG36" i="1"/>
  <c r="CC37" i="1"/>
  <c r="CD37" i="1"/>
  <c r="CE37" i="1"/>
  <c r="CF37" i="1"/>
  <c r="CG37" i="1"/>
  <c r="CC38" i="1"/>
  <c r="CD38" i="1"/>
  <c r="CE38" i="1"/>
  <c r="CF38" i="1"/>
  <c r="CG38" i="1"/>
  <c r="CC39" i="1"/>
  <c r="CD39" i="1"/>
  <c r="CE39" i="1"/>
  <c r="CF39" i="1"/>
  <c r="CG39" i="1"/>
  <c r="CC40" i="1"/>
  <c r="CD40" i="1"/>
  <c r="CE40" i="1"/>
  <c r="CF40" i="1"/>
  <c r="CG40" i="1"/>
  <c r="CC41" i="1"/>
  <c r="CD41" i="1"/>
  <c r="CE41" i="1"/>
  <c r="CF41" i="1"/>
  <c r="CG41" i="1"/>
  <c r="CC42" i="1"/>
  <c r="CD42" i="1"/>
  <c r="CE42" i="1"/>
  <c r="CF42" i="1"/>
  <c r="CG42" i="1"/>
  <c r="CC43" i="1"/>
  <c r="CD43" i="1"/>
  <c r="CE43" i="1"/>
  <c r="CF43" i="1"/>
  <c r="CG43" i="1"/>
  <c r="CC44" i="1"/>
  <c r="CD44" i="1"/>
  <c r="CE44" i="1"/>
  <c r="CF44" i="1"/>
  <c r="CG44" i="1"/>
  <c r="CC45" i="1"/>
  <c r="CD45" i="1"/>
  <c r="CE45" i="1"/>
  <c r="CF45" i="1"/>
  <c r="CG45" i="1"/>
  <c r="CC46" i="1"/>
  <c r="CD46" i="1"/>
  <c r="CE46" i="1"/>
  <c r="CF46" i="1"/>
  <c r="CG46" i="1"/>
  <c r="CC47" i="1"/>
  <c r="CD47" i="1"/>
  <c r="CE47" i="1"/>
  <c r="CF47" i="1"/>
  <c r="CG47" i="1"/>
  <c r="CC48" i="1"/>
  <c r="CD48" i="1"/>
  <c r="CE48" i="1"/>
  <c r="CF48" i="1"/>
  <c r="CG48" i="1"/>
  <c r="CC49" i="1"/>
  <c r="CD49" i="1"/>
  <c r="CE49" i="1"/>
  <c r="CF49" i="1"/>
  <c r="CG49" i="1"/>
  <c r="CC50" i="1"/>
  <c r="CD50" i="1"/>
  <c r="CE50" i="1"/>
  <c r="CF50" i="1"/>
  <c r="CG50" i="1"/>
  <c r="CC51" i="1"/>
  <c r="CD51" i="1"/>
  <c r="CE51" i="1"/>
  <c r="CF51" i="1"/>
  <c r="CG51" i="1"/>
  <c r="CC52" i="1"/>
  <c r="CD52" i="1"/>
  <c r="CE52" i="1"/>
  <c r="CF52" i="1"/>
  <c r="CG52" i="1"/>
  <c r="CC53" i="1"/>
  <c r="CD53" i="1"/>
  <c r="CE53" i="1"/>
  <c r="CF53" i="1"/>
  <c r="CG53" i="1"/>
  <c r="CC54" i="1"/>
  <c r="CD54" i="1"/>
  <c r="CE54" i="1"/>
  <c r="CF54" i="1"/>
  <c r="CG54" i="1"/>
  <c r="CC55" i="1"/>
  <c r="CD55" i="1"/>
  <c r="CE55" i="1"/>
  <c r="CF55" i="1"/>
  <c r="CG55" i="1"/>
  <c r="CC56" i="1"/>
  <c r="CD56" i="1"/>
  <c r="CE56" i="1"/>
  <c r="CF56" i="1"/>
  <c r="CG56" i="1"/>
  <c r="CC57" i="1"/>
  <c r="CD57" i="1"/>
  <c r="CE57" i="1"/>
  <c r="CF57" i="1"/>
  <c r="CG57" i="1"/>
  <c r="CC58" i="1"/>
  <c r="CD58" i="1"/>
  <c r="CE58" i="1"/>
  <c r="CF58" i="1"/>
  <c r="CG58" i="1"/>
  <c r="CC59" i="1"/>
  <c r="CD59" i="1"/>
  <c r="CE59" i="1"/>
  <c r="CF59" i="1"/>
  <c r="CG59" i="1"/>
  <c r="CC60" i="1"/>
  <c r="CD60" i="1"/>
  <c r="CE60" i="1"/>
  <c r="CF60" i="1"/>
  <c r="CG60" i="1"/>
  <c r="CC61" i="1"/>
  <c r="CD61" i="1"/>
  <c r="CE61" i="1"/>
  <c r="CF61" i="1"/>
  <c r="CG61" i="1"/>
  <c r="CC62" i="1"/>
  <c r="CD62" i="1"/>
  <c r="CE62" i="1"/>
  <c r="CF62" i="1"/>
  <c r="CG62" i="1"/>
  <c r="CC63" i="1"/>
  <c r="CD63" i="1"/>
  <c r="CE63" i="1"/>
  <c r="CF63" i="1"/>
  <c r="CG63" i="1"/>
  <c r="CC64" i="1"/>
  <c r="CD64" i="1"/>
  <c r="CE64" i="1"/>
  <c r="CF64" i="1"/>
  <c r="CG64" i="1"/>
  <c r="CC65" i="1"/>
  <c r="CD65" i="1"/>
  <c r="CE65" i="1"/>
  <c r="CF65" i="1"/>
  <c r="CG65" i="1"/>
  <c r="CC66" i="1"/>
  <c r="CD66" i="1"/>
  <c r="CE66" i="1"/>
  <c r="CF66" i="1"/>
  <c r="CG66" i="1"/>
  <c r="CC67" i="1"/>
  <c r="CD67" i="1"/>
  <c r="CE67" i="1"/>
  <c r="CF67" i="1"/>
  <c r="CG67" i="1"/>
  <c r="CC68" i="1"/>
  <c r="CD68" i="1"/>
  <c r="CE68" i="1"/>
  <c r="CF68" i="1"/>
  <c r="CG68" i="1"/>
  <c r="CC69" i="1"/>
  <c r="CD69" i="1"/>
  <c r="CE69" i="1"/>
  <c r="CF69" i="1"/>
  <c r="CG69" i="1"/>
  <c r="CC70" i="1"/>
  <c r="CD70" i="1"/>
  <c r="CE70" i="1"/>
  <c r="CF70" i="1"/>
  <c r="CG70" i="1"/>
  <c r="CC71" i="1"/>
  <c r="CD71" i="1"/>
  <c r="CE71" i="1"/>
  <c r="CF71" i="1"/>
  <c r="CG71" i="1"/>
  <c r="CC72" i="1"/>
  <c r="CD72" i="1"/>
  <c r="CE72" i="1"/>
  <c r="CF72" i="1"/>
  <c r="CG72" i="1"/>
  <c r="CC73" i="1"/>
  <c r="CD73" i="1"/>
  <c r="CE73" i="1"/>
  <c r="CF73" i="1"/>
  <c r="CG73" i="1"/>
  <c r="CC74" i="1"/>
  <c r="CD74" i="1"/>
  <c r="CE74" i="1"/>
  <c r="CF74" i="1"/>
  <c r="CG74" i="1"/>
  <c r="CC75" i="1"/>
  <c r="CD75" i="1"/>
  <c r="CE75" i="1"/>
  <c r="CF75" i="1"/>
  <c r="CG75" i="1"/>
  <c r="CC76" i="1"/>
  <c r="CD76" i="1"/>
  <c r="CE76" i="1"/>
  <c r="CF76" i="1"/>
  <c r="CG76" i="1"/>
  <c r="CC77" i="1"/>
  <c r="CD77" i="1"/>
  <c r="CE77" i="1"/>
  <c r="CF77" i="1"/>
  <c r="CG77" i="1"/>
  <c r="CC78" i="1"/>
  <c r="CD78" i="1"/>
  <c r="CE78" i="1"/>
  <c r="CF78" i="1"/>
  <c r="CG78" i="1"/>
  <c r="CC79" i="1"/>
  <c r="CD79" i="1"/>
  <c r="CE79" i="1"/>
  <c r="CF79" i="1"/>
  <c r="CG79" i="1"/>
  <c r="CC80" i="1"/>
  <c r="CD80" i="1"/>
  <c r="CE80" i="1"/>
  <c r="CF80" i="1"/>
  <c r="CG80" i="1"/>
  <c r="CC81" i="1"/>
  <c r="CD81" i="1"/>
  <c r="CE81" i="1"/>
  <c r="CF81" i="1"/>
  <c r="CG81" i="1"/>
  <c r="CC82" i="1"/>
  <c r="CD82" i="1"/>
  <c r="CE82" i="1"/>
  <c r="CF82" i="1"/>
  <c r="CG82" i="1"/>
  <c r="CC83" i="1"/>
  <c r="CD83" i="1"/>
  <c r="CE83" i="1"/>
  <c r="CF83" i="1"/>
  <c r="CG83" i="1"/>
  <c r="CC84" i="1"/>
  <c r="CD84" i="1"/>
  <c r="CE84" i="1"/>
  <c r="CF84" i="1"/>
  <c r="CG84" i="1"/>
  <c r="CC85" i="1"/>
  <c r="CD85" i="1"/>
  <c r="CE85" i="1"/>
  <c r="CF85" i="1"/>
  <c r="CG85" i="1"/>
  <c r="CC86" i="1"/>
  <c r="CD86" i="1"/>
  <c r="CE86" i="1"/>
  <c r="CF86" i="1"/>
  <c r="CG86" i="1"/>
  <c r="CC87" i="1"/>
  <c r="CD87" i="1"/>
  <c r="CE87" i="1"/>
  <c r="CF87" i="1"/>
  <c r="CG87" i="1"/>
  <c r="CC88" i="1"/>
  <c r="CD88" i="1"/>
  <c r="CE88" i="1"/>
  <c r="CF88" i="1"/>
  <c r="CG88" i="1"/>
  <c r="CC89" i="1"/>
  <c r="CD89" i="1"/>
  <c r="CE89" i="1"/>
  <c r="CF89" i="1"/>
  <c r="CG89" i="1"/>
  <c r="CC90" i="1"/>
  <c r="CD90" i="1"/>
  <c r="CE90" i="1"/>
  <c r="CF90" i="1"/>
  <c r="CG90" i="1"/>
  <c r="CC91" i="1"/>
  <c r="CD91" i="1"/>
  <c r="CE91" i="1"/>
  <c r="CF91" i="1"/>
  <c r="CG91" i="1"/>
  <c r="CC92" i="1"/>
  <c r="CD92" i="1"/>
  <c r="CE92" i="1"/>
  <c r="CF92" i="1"/>
  <c r="CG92" i="1"/>
  <c r="CC93" i="1"/>
  <c r="CD93" i="1"/>
  <c r="CE93" i="1"/>
  <c r="CF93" i="1"/>
  <c r="CG93" i="1"/>
  <c r="CC94" i="1"/>
  <c r="CD94" i="1"/>
  <c r="CE94" i="1"/>
  <c r="CF94" i="1"/>
  <c r="CG94" i="1"/>
  <c r="CC95" i="1"/>
  <c r="CD95" i="1"/>
  <c r="CE95" i="1"/>
  <c r="CF95" i="1"/>
  <c r="CG95" i="1"/>
  <c r="CC96" i="1"/>
  <c r="CD96" i="1"/>
  <c r="CE96" i="1"/>
  <c r="CF96" i="1"/>
  <c r="CG96" i="1"/>
  <c r="CC97" i="1"/>
  <c r="CD97" i="1"/>
  <c r="CE97" i="1"/>
  <c r="CF97" i="1"/>
  <c r="CG97" i="1"/>
  <c r="CC98" i="1"/>
  <c r="CD98" i="1"/>
  <c r="CE98" i="1"/>
  <c r="CF98" i="1"/>
  <c r="CG98" i="1"/>
  <c r="CC99" i="1"/>
  <c r="CD99" i="1"/>
  <c r="CE99" i="1"/>
  <c r="CF99" i="1"/>
  <c r="CG99" i="1"/>
  <c r="CC100" i="1"/>
  <c r="CD100" i="1"/>
  <c r="CE100" i="1"/>
  <c r="CF100" i="1"/>
  <c r="CG100" i="1"/>
  <c r="CC101" i="1"/>
  <c r="CD101" i="1"/>
  <c r="CE101" i="1"/>
  <c r="CF101" i="1"/>
  <c r="CG101" i="1"/>
  <c r="CC102" i="1"/>
  <c r="CD102" i="1"/>
  <c r="CE102" i="1"/>
  <c r="CF102" i="1"/>
  <c r="CG102" i="1"/>
  <c r="CD3" i="1"/>
  <c r="CE3" i="1"/>
  <c r="CF3" i="1"/>
  <c r="CG3" i="1"/>
  <c r="CC3" i="1"/>
  <c r="BV4" i="1"/>
  <c r="BW4" i="1"/>
  <c r="BX4" i="1"/>
  <c r="BY4" i="1"/>
  <c r="BZ4" i="1"/>
  <c r="BV5" i="1"/>
  <c r="BW5" i="1"/>
  <c r="BX5" i="1"/>
  <c r="BY5" i="1"/>
  <c r="BZ5" i="1"/>
  <c r="BV6" i="1"/>
  <c r="BW6" i="1"/>
  <c r="BX6" i="1"/>
  <c r="BY6" i="1"/>
  <c r="BZ6" i="1"/>
  <c r="BV7" i="1"/>
  <c r="BW7" i="1"/>
  <c r="BX7" i="1"/>
  <c r="BY7" i="1"/>
  <c r="BZ7" i="1"/>
  <c r="BV8" i="1"/>
  <c r="BW8" i="1"/>
  <c r="BX8" i="1"/>
  <c r="BY8" i="1"/>
  <c r="BZ8" i="1"/>
  <c r="BV9" i="1"/>
  <c r="BW9" i="1"/>
  <c r="BX9" i="1"/>
  <c r="BY9" i="1"/>
  <c r="BZ9" i="1"/>
  <c r="BV10" i="1"/>
  <c r="BW10" i="1"/>
  <c r="BX10" i="1"/>
  <c r="BY10" i="1"/>
  <c r="BZ10" i="1"/>
  <c r="BV11" i="1"/>
  <c r="BW11" i="1"/>
  <c r="BX11" i="1"/>
  <c r="BY11" i="1"/>
  <c r="BZ11" i="1"/>
  <c r="BV12" i="1"/>
  <c r="BW12" i="1"/>
  <c r="BX12" i="1"/>
  <c r="BY12" i="1"/>
  <c r="BZ12" i="1"/>
  <c r="BV13" i="1"/>
  <c r="BW13" i="1"/>
  <c r="BX13" i="1"/>
  <c r="BY13" i="1"/>
  <c r="BZ13" i="1"/>
  <c r="BV14" i="1"/>
  <c r="BW14" i="1"/>
  <c r="BX14" i="1"/>
  <c r="BY14" i="1"/>
  <c r="BZ14" i="1"/>
  <c r="BV15" i="1"/>
  <c r="BW15" i="1"/>
  <c r="BX15" i="1"/>
  <c r="BY15" i="1"/>
  <c r="BZ15" i="1"/>
  <c r="BV16" i="1"/>
  <c r="BW16" i="1"/>
  <c r="BX16" i="1"/>
  <c r="BY16" i="1"/>
  <c r="BZ16" i="1"/>
  <c r="BV17" i="1"/>
  <c r="BW17" i="1"/>
  <c r="BX17" i="1"/>
  <c r="BY17" i="1"/>
  <c r="BZ17" i="1"/>
  <c r="BV18" i="1"/>
  <c r="BW18" i="1"/>
  <c r="BX18" i="1"/>
  <c r="BY18" i="1"/>
  <c r="BZ18" i="1"/>
  <c r="BV19" i="1"/>
  <c r="BW19" i="1"/>
  <c r="BX19" i="1"/>
  <c r="BY19" i="1"/>
  <c r="BZ19" i="1"/>
  <c r="BV20" i="1"/>
  <c r="BW20" i="1"/>
  <c r="BX20" i="1"/>
  <c r="BY20" i="1"/>
  <c r="BZ20" i="1"/>
  <c r="BV21" i="1"/>
  <c r="BW21" i="1"/>
  <c r="BX21" i="1"/>
  <c r="BY21" i="1"/>
  <c r="BZ21" i="1"/>
  <c r="BV22" i="1"/>
  <c r="BW22" i="1"/>
  <c r="BX22" i="1"/>
  <c r="BY22" i="1"/>
  <c r="BZ22" i="1"/>
  <c r="BV23" i="1"/>
  <c r="BW23" i="1"/>
  <c r="BX23" i="1"/>
  <c r="BY23" i="1"/>
  <c r="BZ23" i="1"/>
  <c r="BV24" i="1"/>
  <c r="BW24" i="1"/>
  <c r="BX24" i="1"/>
  <c r="BY24" i="1"/>
  <c r="BZ24" i="1"/>
  <c r="BV25" i="1"/>
  <c r="BW25" i="1"/>
  <c r="BX25" i="1"/>
  <c r="BY25" i="1"/>
  <c r="BZ25" i="1"/>
  <c r="BV26" i="1"/>
  <c r="BW26" i="1"/>
  <c r="BX26" i="1"/>
  <c r="BY26" i="1"/>
  <c r="BZ26" i="1"/>
  <c r="BV27" i="1"/>
  <c r="BW27" i="1"/>
  <c r="BX27" i="1"/>
  <c r="BY27" i="1"/>
  <c r="BZ27" i="1"/>
  <c r="BV28" i="1"/>
  <c r="BW28" i="1"/>
  <c r="BX28" i="1"/>
  <c r="BY28" i="1"/>
  <c r="BZ28" i="1"/>
  <c r="BV29" i="1"/>
  <c r="BW29" i="1"/>
  <c r="BX29" i="1"/>
  <c r="BY29" i="1"/>
  <c r="BZ29" i="1"/>
  <c r="BV30" i="1"/>
  <c r="BW30" i="1"/>
  <c r="BX30" i="1"/>
  <c r="BY30" i="1"/>
  <c r="BZ30" i="1"/>
  <c r="BV31" i="1"/>
  <c r="BW31" i="1"/>
  <c r="BX31" i="1"/>
  <c r="BY31" i="1"/>
  <c r="BZ31" i="1"/>
  <c r="BV32" i="1"/>
  <c r="BW32" i="1"/>
  <c r="BX32" i="1"/>
  <c r="BY32" i="1"/>
  <c r="BZ32" i="1"/>
  <c r="BV33" i="1"/>
  <c r="BW33" i="1"/>
  <c r="BX33" i="1"/>
  <c r="BY33" i="1"/>
  <c r="BZ33" i="1"/>
  <c r="BV34" i="1"/>
  <c r="BW34" i="1"/>
  <c r="BX34" i="1"/>
  <c r="BY34" i="1"/>
  <c r="BZ34" i="1"/>
  <c r="BV35" i="1"/>
  <c r="BW35" i="1"/>
  <c r="BX35" i="1"/>
  <c r="BY35" i="1"/>
  <c r="BZ35" i="1"/>
  <c r="BV36" i="1"/>
  <c r="BW36" i="1"/>
  <c r="BX36" i="1"/>
  <c r="BY36" i="1"/>
  <c r="BZ36" i="1"/>
  <c r="BV37" i="1"/>
  <c r="BW37" i="1"/>
  <c r="BX37" i="1"/>
  <c r="BY37" i="1"/>
  <c r="BZ37" i="1"/>
  <c r="BV38" i="1"/>
  <c r="BW38" i="1"/>
  <c r="BX38" i="1"/>
  <c r="BY38" i="1"/>
  <c r="BZ38" i="1"/>
  <c r="BV39" i="1"/>
  <c r="BW39" i="1"/>
  <c r="BX39" i="1"/>
  <c r="BY39" i="1"/>
  <c r="BZ39" i="1"/>
  <c r="BV40" i="1"/>
  <c r="BW40" i="1"/>
  <c r="BX40" i="1"/>
  <c r="BY40" i="1"/>
  <c r="BZ40" i="1"/>
  <c r="BV41" i="1"/>
  <c r="BW41" i="1"/>
  <c r="BX41" i="1"/>
  <c r="BY41" i="1"/>
  <c r="BZ41" i="1"/>
  <c r="BV42" i="1"/>
  <c r="BW42" i="1"/>
  <c r="BX42" i="1"/>
  <c r="BY42" i="1"/>
  <c r="BZ42" i="1"/>
  <c r="BV43" i="1"/>
  <c r="BW43" i="1"/>
  <c r="BX43" i="1"/>
  <c r="BY43" i="1"/>
  <c r="BZ43" i="1"/>
  <c r="BV44" i="1"/>
  <c r="BW44" i="1"/>
  <c r="BX44" i="1"/>
  <c r="BY44" i="1"/>
  <c r="BZ44" i="1"/>
  <c r="BV45" i="1"/>
  <c r="BW45" i="1"/>
  <c r="BX45" i="1"/>
  <c r="BY45" i="1"/>
  <c r="BZ45" i="1"/>
  <c r="BV46" i="1"/>
  <c r="BW46" i="1"/>
  <c r="BX46" i="1"/>
  <c r="BY46" i="1"/>
  <c r="BZ46" i="1"/>
  <c r="BV47" i="1"/>
  <c r="BW47" i="1"/>
  <c r="BX47" i="1"/>
  <c r="BY47" i="1"/>
  <c r="BZ47" i="1"/>
  <c r="BV48" i="1"/>
  <c r="BW48" i="1"/>
  <c r="BX48" i="1"/>
  <c r="BY48" i="1"/>
  <c r="BZ48" i="1"/>
  <c r="BV49" i="1"/>
  <c r="BW49" i="1"/>
  <c r="BX49" i="1"/>
  <c r="BY49" i="1"/>
  <c r="BZ49" i="1"/>
  <c r="BV50" i="1"/>
  <c r="BW50" i="1"/>
  <c r="BX50" i="1"/>
  <c r="BY50" i="1"/>
  <c r="BZ50" i="1"/>
  <c r="BV51" i="1"/>
  <c r="BW51" i="1"/>
  <c r="BX51" i="1"/>
  <c r="BY51" i="1"/>
  <c r="BZ51" i="1"/>
  <c r="BV52" i="1"/>
  <c r="BW52" i="1"/>
  <c r="BX52" i="1"/>
  <c r="BY52" i="1"/>
  <c r="BZ52" i="1"/>
  <c r="BV53" i="1"/>
  <c r="BW53" i="1"/>
  <c r="BX53" i="1"/>
  <c r="BY53" i="1"/>
  <c r="BZ53" i="1"/>
  <c r="BV54" i="1"/>
  <c r="BW54" i="1"/>
  <c r="BX54" i="1"/>
  <c r="BY54" i="1"/>
  <c r="BZ54" i="1"/>
  <c r="BV55" i="1"/>
  <c r="BW55" i="1"/>
  <c r="BX55" i="1"/>
  <c r="BY55" i="1"/>
  <c r="BZ55" i="1"/>
  <c r="BV56" i="1"/>
  <c r="BW56" i="1"/>
  <c r="BX56" i="1"/>
  <c r="BY56" i="1"/>
  <c r="BZ56" i="1"/>
  <c r="BV57" i="1"/>
  <c r="BW57" i="1"/>
  <c r="BX57" i="1"/>
  <c r="BY57" i="1"/>
  <c r="BZ57" i="1"/>
  <c r="BV58" i="1"/>
  <c r="BW58" i="1"/>
  <c r="BX58" i="1"/>
  <c r="BY58" i="1"/>
  <c r="BZ58" i="1"/>
  <c r="BV59" i="1"/>
  <c r="BW59" i="1"/>
  <c r="BX59" i="1"/>
  <c r="BY59" i="1"/>
  <c r="BZ59" i="1"/>
  <c r="BV60" i="1"/>
  <c r="BW60" i="1"/>
  <c r="BX60" i="1"/>
  <c r="BY60" i="1"/>
  <c r="BZ60" i="1"/>
  <c r="BV61" i="1"/>
  <c r="BW61" i="1"/>
  <c r="BX61" i="1"/>
  <c r="BY61" i="1"/>
  <c r="BZ61" i="1"/>
  <c r="BV62" i="1"/>
  <c r="BW62" i="1"/>
  <c r="BX62" i="1"/>
  <c r="BY62" i="1"/>
  <c r="BZ62" i="1"/>
  <c r="BV63" i="1"/>
  <c r="BW63" i="1"/>
  <c r="BX63" i="1"/>
  <c r="BY63" i="1"/>
  <c r="BZ63" i="1"/>
  <c r="BV64" i="1"/>
  <c r="BW64" i="1"/>
  <c r="BX64" i="1"/>
  <c r="BY64" i="1"/>
  <c r="BZ64" i="1"/>
  <c r="BV65" i="1"/>
  <c r="BW65" i="1"/>
  <c r="BX65" i="1"/>
  <c r="BY65" i="1"/>
  <c r="BZ65" i="1"/>
  <c r="BV66" i="1"/>
  <c r="BW66" i="1"/>
  <c r="BX66" i="1"/>
  <c r="BY66" i="1"/>
  <c r="BZ66" i="1"/>
  <c r="BV67" i="1"/>
  <c r="BW67" i="1"/>
  <c r="BX67" i="1"/>
  <c r="BY67" i="1"/>
  <c r="BZ67" i="1"/>
  <c r="BV68" i="1"/>
  <c r="BW68" i="1"/>
  <c r="BX68" i="1"/>
  <c r="BY68" i="1"/>
  <c r="BZ68" i="1"/>
  <c r="BV69" i="1"/>
  <c r="BW69" i="1"/>
  <c r="BX69" i="1"/>
  <c r="BY69" i="1"/>
  <c r="BZ69" i="1"/>
  <c r="BV70" i="1"/>
  <c r="BW70" i="1"/>
  <c r="BX70" i="1"/>
  <c r="BY70" i="1"/>
  <c r="BZ70" i="1"/>
  <c r="BV71" i="1"/>
  <c r="BW71" i="1"/>
  <c r="BX71" i="1"/>
  <c r="BY71" i="1"/>
  <c r="BZ71" i="1"/>
  <c r="BV72" i="1"/>
  <c r="BW72" i="1"/>
  <c r="BX72" i="1"/>
  <c r="BY72" i="1"/>
  <c r="BZ72" i="1"/>
  <c r="BV73" i="1"/>
  <c r="BW73" i="1"/>
  <c r="BX73" i="1"/>
  <c r="BY73" i="1"/>
  <c r="BZ73" i="1"/>
  <c r="BV74" i="1"/>
  <c r="BW74" i="1"/>
  <c r="BX74" i="1"/>
  <c r="BY74" i="1"/>
  <c r="BZ74" i="1"/>
  <c r="BV75" i="1"/>
  <c r="BW75" i="1"/>
  <c r="BX75" i="1"/>
  <c r="BY75" i="1"/>
  <c r="BZ75" i="1"/>
  <c r="BV76" i="1"/>
  <c r="BW76" i="1"/>
  <c r="BX76" i="1"/>
  <c r="BY76" i="1"/>
  <c r="BZ76" i="1"/>
  <c r="BV77" i="1"/>
  <c r="BW77" i="1"/>
  <c r="BX77" i="1"/>
  <c r="BY77" i="1"/>
  <c r="BZ77" i="1"/>
  <c r="BV78" i="1"/>
  <c r="BW78" i="1"/>
  <c r="BX78" i="1"/>
  <c r="BY78" i="1"/>
  <c r="BZ78" i="1"/>
  <c r="BV79" i="1"/>
  <c r="BW79" i="1"/>
  <c r="BX79" i="1"/>
  <c r="BY79" i="1"/>
  <c r="BZ79" i="1"/>
  <c r="BV80" i="1"/>
  <c r="BW80" i="1"/>
  <c r="BX80" i="1"/>
  <c r="BY80" i="1"/>
  <c r="BZ80" i="1"/>
  <c r="BV81" i="1"/>
  <c r="BW81" i="1"/>
  <c r="BX81" i="1"/>
  <c r="BY81" i="1"/>
  <c r="BZ81" i="1"/>
  <c r="BV82" i="1"/>
  <c r="BW82" i="1"/>
  <c r="BX82" i="1"/>
  <c r="BY82" i="1"/>
  <c r="BZ82" i="1"/>
  <c r="BV83" i="1"/>
  <c r="BW83" i="1"/>
  <c r="BX83" i="1"/>
  <c r="BY83" i="1"/>
  <c r="BZ83" i="1"/>
  <c r="BV84" i="1"/>
  <c r="BW84" i="1"/>
  <c r="BX84" i="1"/>
  <c r="BY84" i="1"/>
  <c r="BZ84" i="1"/>
  <c r="BV85" i="1"/>
  <c r="BW85" i="1"/>
  <c r="BX85" i="1"/>
  <c r="BY85" i="1"/>
  <c r="BZ85" i="1"/>
  <c r="BV86" i="1"/>
  <c r="BW86" i="1"/>
  <c r="BX86" i="1"/>
  <c r="BY86" i="1"/>
  <c r="BZ86" i="1"/>
  <c r="BV87" i="1"/>
  <c r="BW87" i="1"/>
  <c r="BX87" i="1"/>
  <c r="BY87" i="1"/>
  <c r="BZ87" i="1"/>
  <c r="BV88" i="1"/>
  <c r="BW88" i="1"/>
  <c r="BX88" i="1"/>
  <c r="BY88" i="1"/>
  <c r="BZ88" i="1"/>
  <c r="BV89" i="1"/>
  <c r="BW89" i="1"/>
  <c r="BX89" i="1"/>
  <c r="BY89" i="1"/>
  <c r="BZ89" i="1"/>
  <c r="BV90" i="1"/>
  <c r="BW90" i="1"/>
  <c r="BX90" i="1"/>
  <c r="BY90" i="1"/>
  <c r="BZ90" i="1"/>
  <c r="BV91" i="1"/>
  <c r="BW91" i="1"/>
  <c r="BX91" i="1"/>
  <c r="BY91" i="1"/>
  <c r="BZ91" i="1"/>
  <c r="BV92" i="1"/>
  <c r="BW92" i="1"/>
  <c r="BX92" i="1"/>
  <c r="BY92" i="1"/>
  <c r="BZ92" i="1"/>
  <c r="BV93" i="1"/>
  <c r="BW93" i="1"/>
  <c r="BX93" i="1"/>
  <c r="BY93" i="1"/>
  <c r="BZ93" i="1"/>
  <c r="BV94" i="1"/>
  <c r="BW94" i="1"/>
  <c r="BX94" i="1"/>
  <c r="BY94" i="1"/>
  <c r="BZ94" i="1"/>
  <c r="BV95" i="1"/>
  <c r="BW95" i="1"/>
  <c r="BX95" i="1"/>
  <c r="BY95" i="1"/>
  <c r="BZ95" i="1"/>
  <c r="BV96" i="1"/>
  <c r="BW96" i="1"/>
  <c r="BX96" i="1"/>
  <c r="BY96" i="1"/>
  <c r="BZ96" i="1"/>
  <c r="BV97" i="1"/>
  <c r="BW97" i="1"/>
  <c r="BX97" i="1"/>
  <c r="BY97" i="1"/>
  <c r="BZ97" i="1"/>
  <c r="BV98" i="1"/>
  <c r="BW98" i="1"/>
  <c r="BX98" i="1"/>
  <c r="BY98" i="1"/>
  <c r="BZ98" i="1"/>
  <c r="BV99" i="1"/>
  <c r="BW99" i="1"/>
  <c r="BX99" i="1"/>
  <c r="BY99" i="1"/>
  <c r="BZ99" i="1"/>
  <c r="BV100" i="1"/>
  <c r="BW100" i="1"/>
  <c r="BX100" i="1"/>
  <c r="BY100" i="1"/>
  <c r="BZ100" i="1"/>
  <c r="BV101" i="1"/>
  <c r="BW101" i="1"/>
  <c r="BX101" i="1"/>
  <c r="BY101" i="1"/>
  <c r="BZ101" i="1"/>
  <c r="BV102" i="1"/>
  <c r="BW102" i="1"/>
  <c r="BX102" i="1"/>
  <c r="BY102" i="1"/>
  <c r="BZ102" i="1"/>
  <c r="BW3" i="1"/>
  <c r="BX3" i="1"/>
  <c r="BY3" i="1"/>
  <c r="BZ3" i="1"/>
  <c r="BV3" i="1"/>
  <c r="BO4" i="1"/>
  <c r="BP4" i="1"/>
  <c r="BQ4" i="1"/>
  <c r="BR4" i="1"/>
  <c r="BS4" i="1"/>
  <c r="BO5" i="1"/>
  <c r="BP5" i="1"/>
  <c r="BQ5" i="1"/>
  <c r="BR5" i="1"/>
  <c r="BS5" i="1"/>
  <c r="BO6" i="1"/>
  <c r="BP6" i="1"/>
  <c r="BQ6" i="1"/>
  <c r="BR6" i="1"/>
  <c r="BS6" i="1"/>
  <c r="BO7" i="1"/>
  <c r="BP7" i="1"/>
  <c r="BQ7" i="1"/>
  <c r="BR7" i="1"/>
  <c r="BS7" i="1"/>
  <c r="BO8" i="1"/>
  <c r="BP8" i="1"/>
  <c r="BQ8" i="1"/>
  <c r="BR8" i="1"/>
  <c r="BS8" i="1"/>
  <c r="BO9" i="1"/>
  <c r="BP9" i="1"/>
  <c r="BQ9" i="1"/>
  <c r="BR9" i="1"/>
  <c r="BS9" i="1"/>
  <c r="BO10" i="1"/>
  <c r="BP10" i="1"/>
  <c r="BQ10" i="1"/>
  <c r="BR10" i="1"/>
  <c r="BS10" i="1"/>
  <c r="BO11" i="1"/>
  <c r="BP11" i="1"/>
  <c r="BQ11" i="1"/>
  <c r="BR11" i="1"/>
  <c r="BS11" i="1"/>
  <c r="BO12" i="1"/>
  <c r="BP12" i="1"/>
  <c r="BQ12" i="1"/>
  <c r="BR12" i="1"/>
  <c r="BS12" i="1"/>
  <c r="BO13" i="1"/>
  <c r="BP13" i="1"/>
  <c r="BQ13" i="1"/>
  <c r="BR13" i="1"/>
  <c r="BS13" i="1"/>
  <c r="BO14" i="1"/>
  <c r="BP14" i="1"/>
  <c r="BQ14" i="1"/>
  <c r="BR14" i="1"/>
  <c r="BS14" i="1"/>
  <c r="BO15" i="1"/>
  <c r="BP15" i="1"/>
  <c r="BQ15" i="1"/>
  <c r="BR15" i="1"/>
  <c r="BS15" i="1"/>
  <c r="BO16" i="1"/>
  <c r="BP16" i="1"/>
  <c r="BQ16" i="1"/>
  <c r="BR16" i="1"/>
  <c r="BS16" i="1"/>
  <c r="BO17" i="1"/>
  <c r="BP17" i="1"/>
  <c r="BQ17" i="1"/>
  <c r="BR17" i="1"/>
  <c r="BS17" i="1"/>
  <c r="BO18" i="1"/>
  <c r="BP18" i="1"/>
  <c r="BQ18" i="1"/>
  <c r="BR18" i="1"/>
  <c r="BS18" i="1"/>
  <c r="BO19" i="1"/>
  <c r="BP19" i="1"/>
  <c r="BQ19" i="1"/>
  <c r="BR19" i="1"/>
  <c r="BS19" i="1"/>
  <c r="BO20" i="1"/>
  <c r="BP20" i="1"/>
  <c r="BQ20" i="1"/>
  <c r="BR20" i="1"/>
  <c r="BS20" i="1"/>
  <c r="BO21" i="1"/>
  <c r="BP21" i="1"/>
  <c r="BQ21" i="1"/>
  <c r="BR21" i="1"/>
  <c r="BS21" i="1"/>
  <c r="BO22" i="1"/>
  <c r="BP22" i="1"/>
  <c r="BQ22" i="1"/>
  <c r="BR22" i="1"/>
  <c r="BS22" i="1"/>
  <c r="BO23" i="1"/>
  <c r="BP23" i="1"/>
  <c r="BQ23" i="1"/>
  <c r="BR23" i="1"/>
  <c r="BS23" i="1"/>
  <c r="BO24" i="1"/>
  <c r="BP24" i="1"/>
  <c r="BQ24" i="1"/>
  <c r="BR24" i="1"/>
  <c r="BS24" i="1"/>
  <c r="BO25" i="1"/>
  <c r="BP25" i="1"/>
  <c r="BQ25" i="1"/>
  <c r="BR25" i="1"/>
  <c r="BS25" i="1"/>
  <c r="BO26" i="1"/>
  <c r="BP26" i="1"/>
  <c r="BQ26" i="1"/>
  <c r="BR26" i="1"/>
  <c r="BS26" i="1"/>
  <c r="BO27" i="1"/>
  <c r="BP27" i="1"/>
  <c r="BQ27" i="1"/>
  <c r="BR27" i="1"/>
  <c r="BS27" i="1"/>
  <c r="BO28" i="1"/>
  <c r="BP28" i="1"/>
  <c r="BQ28" i="1"/>
  <c r="BR28" i="1"/>
  <c r="BS28" i="1"/>
  <c r="BO29" i="1"/>
  <c r="BP29" i="1"/>
  <c r="BQ29" i="1"/>
  <c r="BR29" i="1"/>
  <c r="BS29" i="1"/>
  <c r="BO30" i="1"/>
  <c r="BP30" i="1"/>
  <c r="BQ30" i="1"/>
  <c r="BR30" i="1"/>
  <c r="BS30" i="1"/>
  <c r="BO31" i="1"/>
  <c r="BP31" i="1"/>
  <c r="BQ31" i="1"/>
  <c r="BR31" i="1"/>
  <c r="BS31" i="1"/>
  <c r="BO32" i="1"/>
  <c r="BP32" i="1"/>
  <c r="BQ32" i="1"/>
  <c r="BR32" i="1"/>
  <c r="BS32" i="1"/>
  <c r="BO33" i="1"/>
  <c r="BP33" i="1"/>
  <c r="BQ33" i="1"/>
  <c r="BR33" i="1"/>
  <c r="BS33" i="1"/>
  <c r="BO34" i="1"/>
  <c r="BP34" i="1"/>
  <c r="BQ34" i="1"/>
  <c r="BR34" i="1"/>
  <c r="BS34" i="1"/>
  <c r="BO35" i="1"/>
  <c r="BP35" i="1"/>
  <c r="BQ35" i="1"/>
  <c r="BR35" i="1"/>
  <c r="BS35" i="1"/>
  <c r="BO36" i="1"/>
  <c r="BP36" i="1"/>
  <c r="BQ36" i="1"/>
  <c r="BR36" i="1"/>
  <c r="BS36" i="1"/>
  <c r="BO37" i="1"/>
  <c r="BP37" i="1"/>
  <c r="BQ37" i="1"/>
  <c r="BR37" i="1"/>
  <c r="BS37" i="1"/>
  <c r="BO38" i="1"/>
  <c r="BP38" i="1"/>
  <c r="BQ38" i="1"/>
  <c r="BR38" i="1"/>
  <c r="BS38" i="1"/>
  <c r="BO39" i="1"/>
  <c r="BP39" i="1"/>
  <c r="BQ39" i="1"/>
  <c r="BR39" i="1"/>
  <c r="BS39" i="1"/>
  <c r="BO40" i="1"/>
  <c r="BP40" i="1"/>
  <c r="BQ40" i="1"/>
  <c r="BR40" i="1"/>
  <c r="BS40" i="1"/>
  <c r="BO41" i="1"/>
  <c r="BP41" i="1"/>
  <c r="BQ41" i="1"/>
  <c r="BR41" i="1"/>
  <c r="BS41" i="1"/>
  <c r="BO42" i="1"/>
  <c r="BP42" i="1"/>
  <c r="BQ42" i="1"/>
  <c r="BR42" i="1"/>
  <c r="BS42" i="1"/>
  <c r="BO43" i="1"/>
  <c r="BP43" i="1"/>
  <c r="BQ43" i="1"/>
  <c r="BR43" i="1"/>
  <c r="BS43" i="1"/>
  <c r="BO44" i="1"/>
  <c r="BP44" i="1"/>
  <c r="BQ44" i="1"/>
  <c r="BR44" i="1"/>
  <c r="BS44" i="1"/>
  <c r="BO45" i="1"/>
  <c r="BP45" i="1"/>
  <c r="BQ45" i="1"/>
  <c r="BR45" i="1"/>
  <c r="BS45" i="1"/>
  <c r="BO46" i="1"/>
  <c r="BP46" i="1"/>
  <c r="BQ46" i="1"/>
  <c r="BR46" i="1"/>
  <c r="BS46" i="1"/>
  <c r="BO47" i="1"/>
  <c r="BP47" i="1"/>
  <c r="BQ47" i="1"/>
  <c r="BR47" i="1"/>
  <c r="BS47" i="1"/>
  <c r="BO48" i="1"/>
  <c r="BP48" i="1"/>
  <c r="BQ48" i="1"/>
  <c r="BR48" i="1"/>
  <c r="BS48" i="1"/>
  <c r="BO49" i="1"/>
  <c r="BP49" i="1"/>
  <c r="BQ49" i="1"/>
  <c r="BR49" i="1"/>
  <c r="BS49" i="1"/>
  <c r="BO50" i="1"/>
  <c r="BP50" i="1"/>
  <c r="BQ50" i="1"/>
  <c r="BR50" i="1"/>
  <c r="BS50" i="1"/>
  <c r="BO51" i="1"/>
  <c r="BP51" i="1"/>
  <c r="BQ51" i="1"/>
  <c r="BR51" i="1"/>
  <c r="BS51" i="1"/>
  <c r="BO52" i="1"/>
  <c r="BP52" i="1"/>
  <c r="BQ52" i="1"/>
  <c r="BR52" i="1"/>
  <c r="BS52" i="1"/>
  <c r="BO53" i="1"/>
  <c r="BP53" i="1"/>
  <c r="BQ53" i="1"/>
  <c r="BR53" i="1"/>
  <c r="BS53" i="1"/>
  <c r="BO54" i="1"/>
  <c r="BP54" i="1"/>
  <c r="BQ54" i="1"/>
  <c r="BR54" i="1"/>
  <c r="BS54" i="1"/>
  <c r="BO55" i="1"/>
  <c r="BP55" i="1"/>
  <c r="BQ55" i="1"/>
  <c r="BR55" i="1"/>
  <c r="BS55" i="1"/>
  <c r="BO56" i="1"/>
  <c r="BP56" i="1"/>
  <c r="BQ56" i="1"/>
  <c r="BR56" i="1"/>
  <c r="BS56" i="1"/>
  <c r="BO57" i="1"/>
  <c r="BP57" i="1"/>
  <c r="BQ57" i="1"/>
  <c r="BR57" i="1"/>
  <c r="BS57" i="1"/>
  <c r="BO58" i="1"/>
  <c r="BP58" i="1"/>
  <c r="BQ58" i="1"/>
  <c r="BR58" i="1"/>
  <c r="BS58" i="1"/>
  <c r="BO59" i="1"/>
  <c r="BP59" i="1"/>
  <c r="BQ59" i="1"/>
  <c r="BR59" i="1"/>
  <c r="BS59" i="1"/>
  <c r="BO60" i="1"/>
  <c r="BP60" i="1"/>
  <c r="BQ60" i="1"/>
  <c r="BR60" i="1"/>
  <c r="BS60" i="1"/>
  <c r="BO61" i="1"/>
  <c r="BP61" i="1"/>
  <c r="BQ61" i="1"/>
  <c r="BR61" i="1"/>
  <c r="BS61" i="1"/>
  <c r="BO62" i="1"/>
  <c r="BP62" i="1"/>
  <c r="BQ62" i="1"/>
  <c r="BR62" i="1"/>
  <c r="BS62" i="1"/>
  <c r="BO63" i="1"/>
  <c r="BP63" i="1"/>
  <c r="BQ63" i="1"/>
  <c r="BR63" i="1"/>
  <c r="BS63" i="1"/>
  <c r="BO64" i="1"/>
  <c r="BP64" i="1"/>
  <c r="BQ64" i="1"/>
  <c r="BR64" i="1"/>
  <c r="BS64" i="1"/>
  <c r="BO65" i="1"/>
  <c r="BP65" i="1"/>
  <c r="BQ65" i="1"/>
  <c r="BR65" i="1"/>
  <c r="BS65" i="1"/>
  <c r="BO66" i="1"/>
  <c r="BP66" i="1"/>
  <c r="BQ66" i="1"/>
  <c r="BR66" i="1"/>
  <c r="BS66" i="1"/>
  <c r="BO67" i="1"/>
  <c r="BP67" i="1"/>
  <c r="BQ67" i="1"/>
  <c r="BR67" i="1"/>
  <c r="BS67" i="1"/>
  <c r="BO68" i="1"/>
  <c r="BP68" i="1"/>
  <c r="BQ68" i="1"/>
  <c r="BR68" i="1"/>
  <c r="BS68" i="1"/>
  <c r="BO69" i="1"/>
  <c r="BP69" i="1"/>
  <c r="BQ69" i="1"/>
  <c r="BR69" i="1"/>
  <c r="BS69" i="1"/>
  <c r="BO70" i="1"/>
  <c r="BP70" i="1"/>
  <c r="BQ70" i="1"/>
  <c r="BR70" i="1"/>
  <c r="BS70" i="1"/>
  <c r="BO71" i="1"/>
  <c r="BP71" i="1"/>
  <c r="BQ71" i="1"/>
  <c r="BR71" i="1"/>
  <c r="BS71" i="1"/>
  <c r="BO72" i="1"/>
  <c r="BP72" i="1"/>
  <c r="BQ72" i="1"/>
  <c r="BR72" i="1"/>
  <c r="BS72" i="1"/>
  <c r="BO73" i="1"/>
  <c r="BP73" i="1"/>
  <c r="BQ73" i="1"/>
  <c r="BR73" i="1"/>
  <c r="BS73" i="1"/>
  <c r="BO74" i="1"/>
  <c r="BP74" i="1"/>
  <c r="BQ74" i="1"/>
  <c r="BR74" i="1"/>
  <c r="BS74" i="1"/>
  <c r="BO75" i="1"/>
  <c r="BP75" i="1"/>
  <c r="BQ75" i="1"/>
  <c r="BR75" i="1"/>
  <c r="BS75" i="1"/>
  <c r="BO76" i="1"/>
  <c r="BP76" i="1"/>
  <c r="BQ76" i="1"/>
  <c r="BR76" i="1"/>
  <c r="BS76" i="1"/>
  <c r="BO77" i="1"/>
  <c r="BP77" i="1"/>
  <c r="BQ77" i="1"/>
  <c r="BR77" i="1"/>
  <c r="BS77" i="1"/>
  <c r="BO78" i="1"/>
  <c r="BP78" i="1"/>
  <c r="BQ78" i="1"/>
  <c r="BR78" i="1"/>
  <c r="BS78" i="1"/>
  <c r="BO79" i="1"/>
  <c r="BP79" i="1"/>
  <c r="BQ79" i="1"/>
  <c r="BR79" i="1"/>
  <c r="BS79" i="1"/>
  <c r="BO80" i="1"/>
  <c r="BP80" i="1"/>
  <c r="BQ80" i="1"/>
  <c r="BR80" i="1"/>
  <c r="BS80" i="1"/>
  <c r="BO81" i="1"/>
  <c r="BP81" i="1"/>
  <c r="BQ81" i="1"/>
  <c r="BR81" i="1"/>
  <c r="BS81" i="1"/>
  <c r="BO82" i="1"/>
  <c r="BP82" i="1"/>
  <c r="BQ82" i="1"/>
  <c r="BR82" i="1"/>
  <c r="BS82" i="1"/>
  <c r="BO83" i="1"/>
  <c r="BP83" i="1"/>
  <c r="BQ83" i="1"/>
  <c r="BR83" i="1"/>
  <c r="BS83" i="1"/>
  <c r="BO84" i="1"/>
  <c r="BP84" i="1"/>
  <c r="BQ84" i="1"/>
  <c r="BR84" i="1"/>
  <c r="BS84" i="1"/>
  <c r="BO85" i="1"/>
  <c r="BP85" i="1"/>
  <c r="BQ85" i="1"/>
  <c r="BR85" i="1"/>
  <c r="BS85" i="1"/>
  <c r="BO86" i="1"/>
  <c r="BP86" i="1"/>
  <c r="BQ86" i="1"/>
  <c r="BR86" i="1"/>
  <c r="BS86" i="1"/>
  <c r="BO87" i="1"/>
  <c r="BP87" i="1"/>
  <c r="BQ87" i="1"/>
  <c r="BR87" i="1"/>
  <c r="BS87" i="1"/>
  <c r="BO88" i="1"/>
  <c r="BP88" i="1"/>
  <c r="BQ88" i="1"/>
  <c r="BR88" i="1"/>
  <c r="BS88" i="1"/>
  <c r="BO89" i="1"/>
  <c r="BP89" i="1"/>
  <c r="BQ89" i="1"/>
  <c r="BR89" i="1"/>
  <c r="BS89" i="1"/>
  <c r="BO90" i="1"/>
  <c r="BP90" i="1"/>
  <c r="BQ90" i="1"/>
  <c r="BR90" i="1"/>
  <c r="BS90" i="1"/>
  <c r="BO91" i="1"/>
  <c r="BP91" i="1"/>
  <c r="BQ91" i="1"/>
  <c r="BR91" i="1"/>
  <c r="BS91" i="1"/>
  <c r="BO92" i="1"/>
  <c r="BP92" i="1"/>
  <c r="BQ92" i="1"/>
  <c r="BR92" i="1"/>
  <c r="BS92" i="1"/>
  <c r="BO93" i="1"/>
  <c r="BP93" i="1"/>
  <c r="BQ93" i="1"/>
  <c r="BR93" i="1"/>
  <c r="BS93" i="1"/>
  <c r="BO94" i="1"/>
  <c r="BP94" i="1"/>
  <c r="BQ94" i="1"/>
  <c r="BR94" i="1"/>
  <c r="BS94" i="1"/>
  <c r="BO95" i="1"/>
  <c r="BP95" i="1"/>
  <c r="BQ95" i="1"/>
  <c r="BR95" i="1"/>
  <c r="BS95" i="1"/>
  <c r="BO96" i="1"/>
  <c r="BP96" i="1"/>
  <c r="BQ96" i="1"/>
  <c r="BR96" i="1"/>
  <c r="BS96" i="1"/>
  <c r="BO97" i="1"/>
  <c r="BP97" i="1"/>
  <c r="BQ97" i="1"/>
  <c r="BR97" i="1"/>
  <c r="BS97" i="1"/>
  <c r="BO98" i="1"/>
  <c r="BP98" i="1"/>
  <c r="BQ98" i="1"/>
  <c r="BR98" i="1"/>
  <c r="BS98" i="1"/>
  <c r="BO99" i="1"/>
  <c r="BP99" i="1"/>
  <c r="BQ99" i="1"/>
  <c r="BR99" i="1"/>
  <c r="BS99" i="1"/>
  <c r="BO100" i="1"/>
  <c r="BP100" i="1"/>
  <c r="BQ100" i="1"/>
  <c r="BR100" i="1"/>
  <c r="BS100" i="1"/>
  <c r="BO101" i="1"/>
  <c r="BP101" i="1"/>
  <c r="BQ101" i="1"/>
  <c r="BR101" i="1"/>
  <c r="BS101" i="1"/>
  <c r="BO102" i="1"/>
  <c r="BP102" i="1"/>
  <c r="BQ102" i="1"/>
  <c r="BR102" i="1"/>
  <c r="BS102" i="1"/>
  <c r="BP3" i="1"/>
  <c r="BQ3" i="1"/>
  <c r="BR3" i="1"/>
  <c r="BS3" i="1"/>
  <c r="W107" i="1"/>
  <c r="BV107" i="1"/>
  <c r="BO107" i="1"/>
  <c r="BG107" i="1"/>
  <c r="AZ107" i="1"/>
  <c r="AS107" i="1"/>
  <c r="AL107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149" i="1"/>
  <c r="BO3" i="1"/>
  <c r="W4" i="1"/>
  <c r="X4" i="1"/>
  <c r="Y4" i="1"/>
  <c r="Z4" i="1"/>
  <c r="AA4" i="1"/>
  <c r="W5" i="1"/>
  <c r="X5" i="1"/>
  <c r="Y5" i="1"/>
  <c r="Z5" i="1"/>
  <c r="AA5" i="1"/>
  <c r="W6" i="1"/>
  <c r="X6" i="1"/>
  <c r="Y6" i="1"/>
  <c r="Z6" i="1"/>
  <c r="AA6" i="1"/>
  <c r="W7" i="1"/>
  <c r="X7" i="1"/>
  <c r="Y7" i="1"/>
  <c r="Z7" i="1"/>
  <c r="AA7" i="1"/>
  <c r="W8" i="1"/>
  <c r="X8" i="1"/>
  <c r="Y8" i="1"/>
  <c r="Z8" i="1"/>
  <c r="AA8" i="1"/>
  <c r="W9" i="1"/>
  <c r="X9" i="1"/>
  <c r="Y9" i="1"/>
  <c r="Z9" i="1"/>
  <c r="AA9" i="1"/>
  <c r="W10" i="1"/>
  <c r="X10" i="1"/>
  <c r="Y10" i="1"/>
  <c r="Z10" i="1"/>
  <c r="AA10" i="1"/>
  <c r="W11" i="1"/>
  <c r="X11" i="1"/>
  <c r="Y11" i="1"/>
  <c r="Z11" i="1"/>
  <c r="AA11" i="1"/>
  <c r="W12" i="1"/>
  <c r="X12" i="1"/>
  <c r="Y12" i="1"/>
  <c r="Z12" i="1"/>
  <c r="AA12" i="1"/>
  <c r="W13" i="1"/>
  <c r="X13" i="1"/>
  <c r="Y13" i="1"/>
  <c r="Z13" i="1"/>
  <c r="AA13" i="1"/>
  <c r="W14" i="1"/>
  <c r="X14" i="1"/>
  <c r="Y14" i="1"/>
  <c r="Z14" i="1"/>
  <c r="AA14" i="1"/>
  <c r="W15" i="1"/>
  <c r="X15" i="1"/>
  <c r="Y15" i="1"/>
  <c r="Z15" i="1"/>
  <c r="AA15" i="1"/>
  <c r="W16" i="1"/>
  <c r="X16" i="1"/>
  <c r="Y16" i="1"/>
  <c r="Z16" i="1"/>
  <c r="AA16" i="1"/>
  <c r="W17" i="1"/>
  <c r="X17" i="1"/>
  <c r="Y17" i="1"/>
  <c r="Z17" i="1"/>
  <c r="AA17" i="1"/>
  <c r="W18" i="1"/>
  <c r="X18" i="1"/>
  <c r="Y18" i="1"/>
  <c r="Z18" i="1"/>
  <c r="AA18" i="1"/>
  <c r="W19" i="1"/>
  <c r="X19" i="1"/>
  <c r="Y19" i="1"/>
  <c r="Z19" i="1"/>
  <c r="AA19" i="1"/>
  <c r="W20" i="1"/>
  <c r="X20" i="1"/>
  <c r="Y20" i="1"/>
  <c r="Z20" i="1"/>
  <c r="AA20" i="1"/>
  <c r="W21" i="1"/>
  <c r="X21" i="1"/>
  <c r="Y21" i="1"/>
  <c r="Z21" i="1"/>
  <c r="AA21" i="1"/>
  <c r="W22" i="1"/>
  <c r="X22" i="1"/>
  <c r="Y22" i="1"/>
  <c r="Z22" i="1"/>
  <c r="AA22" i="1"/>
  <c r="W23" i="1"/>
  <c r="X23" i="1"/>
  <c r="Y23" i="1"/>
  <c r="Z23" i="1"/>
  <c r="AA23" i="1"/>
  <c r="W24" i="1"/>
  <c r="X24" i="1"/>
  <c r="Y24" i="1"/>
  <c r="Z24" i="1"/>
  <c r="AA24" i="1"/>
  <c r="W25" i="1"/>
  <c r="X25" i="1"/>
  <c r="Y25" i="1"/>
  <c r="Z25" i="1"/>
  <c r="AA25" i="1"/>
  <c r="W26" i="1"/>
  <c r="X26" i="1"/>
  <c r="Y26" i="1"/>
  <c r="Z26" i="1"/>
  <c r="AA26" i="1"/>
  <c r="W27" i="1"/>
  <c r="X27" i="1"/>
  <c r="Y27" i="1"/>
  <c r="Z27" i="1"/>
  <c r="AA27" i="1"/>
  <c r="W28" i="1"/>
  <c r="X28" i="1"/>
  <c r="Y28" i="1"/>
  <c r="Z28" i="1"/>
  <c r="AA28" i="1"/>
  <c r="W29" i="1"/>
  <c r="X29" i="1"/>
  <c r="Y29" i="1"/>
  <c r="Z29" i="1"/>
  <c r="AA29" i="1"/>
  <c r="W30" i="1"/>
  <c r="X30" i="1"/>
  <c r="Y30" i="1"/>
  <c r="Z30" i="1"/>
  <c r="AA30" i="1"/>
  <c r="W31" i="1"/>
  <c r="X31" i="1"/>
  <c r="Y31" i="1"/>
  <c r="Z31" i="1"/>
  <c r="AA31" i="1"/>
  <c r="W32" i="1"/>
  <c r="X32" i="1"/>
  <c r="Y32" i="1"/>
  <c r="Z32" i="1"/>
  <c r="AA32" i="1"/>
  <c r="W33" i="1"/>
  <c r="X33" i="1"/>
  <c r="Y33" i="1"/>
  <c r="Z33" i="1"/>
  <c r="AA33" i="1"/>
  <c r="W34" i="1"/>
  <c r="X34" i="1"/>
  <c r="Y34" i="1"/>
  <c r="Z34" i="1"/>
  <c r="AA34" i="1"/>
  <c r="W35" i="1"/>
  <c r="X35" i="1"/>
  <c r="Y35" i="1"/>
  <c r="Z35" i="1"/>
  <c r="AA35" i="1"/>
  <c r="W36" i="1"/>
  <c r="X36" i="1"/>
  <c r="Y36" i="1"/>
  <c r="Z36" i="1"/>
  <c r="AA36" i="1"/>
  <c r="W37" i="1"/>
  <c r="X37" i="1"/>
  <c r="Y37" i="1"/>
  <c r="Z37" i="1"/>
  <c r="AA37" i="1"/>
  <c r="W38" i="1"/>
  <c r="X38" i="1"/>
  <c r="Y38" i="1"/>
  <c r="Z38" i="1"/>
  <c r="AA38" i="1"/>
  <c r="W39" i="1"/>
  <c r="X39" i="1"/>
  <c r="Y39" i="1"/>
  <c r="Z39" i="1"/>
  <c r="AA39" i="1"/>
  <c r="W40" i="1"/>
  <c r="X40" i="1"/>
  <c r="Y40" i="1"/>
  <c r="Z40" i="1"/>
  <c r="AA40" i="1"/>
  <c r="W41" i="1"/>
  <c r="X41" i="1"/>
  <c r="Y41" i="1"/>
  <c r="Z41" i="1"/>
  <c r="AA41" i="1"/>
  <c r="W42" i="1"/>
  <c r="X42" i="1"/>
  <c r="Y42" i="1"/>
  <c r="Z42" i="1"/>
  <c r="AA42" i="1"/>
  <c r="W43" i="1"/>
  <c r="X43" i="1"/>
  <c r="Y43" i="1"/>
  <c r="Z43" i="1"/>
  <c r="AA43" i="1"/>
  <c r="W44" i="1"/>
  <c r="X44" i="1"/>
  <c r="Y44" i="1"/>
  <c r="Z44" i="1"/>
  <c r="AA44" i="1"/>
  <c r="W45" i="1"/>
  <c r="X45" i="1"/>
  <c r="Y45" i="1"/>
  <c r="Z45" i="1"/>
  <c r="AA45" i="1"/>
  <c r="W46" i="1"/>
  <c r="X46" i="1"/>
  <c r="Y46" i="1"/>
  <c r="Z46" i="1"/>
  <c r="AA46" i="1"/>
  <c r="W47" i="1"/>
  <c r="X47" i="1"/>
  <c r="Y47" i="1"/>
  <c r="Z47" i="1"/>
  <c r="AA47" i="1"/>
  <c r="W48" i="1"/>
  <c r="X48" i="1"/>
  <c r="Y48" i="1"/>
  <c r="Z48" i="1"/>
  <c r="AA48" i="1"/>
  <c r="W49" i="1"/>
  <c r="X49" i="1"/>
  <c r="Y49" i="1"/>
  <c r="Z49" i="1"/>
  <c r="AA49" i="1"/>
  <c r="W50" i="1"/>
  <c r="X50" i="1"/>
  <c r="Y50" i="1"/>
  <c r="Z50" i="1"/>
  <c r="AA50" i="1"/>
  <c r="W51" i="1"/>
  <c r="X51" i="1"/>
  <c r="Y51" i="1"/>
  <c r="Z51" i="1"/>
  <c r="AA51" i="1"/>
  <c r="W52" i="1"/>
  <c r="X52" i="1"/>
  <c r="Y52" i="1"/>
  <c r="Z52" i="1"/>
  <c r="AA52" i="1"/>
  <c r="W53" i="1"/>
  <c r="X53" i="1"/>
  <c r="Y53" i="1"/>
  <c r="Z53" i="1"/>
  <c r="AA53" i="1"/>
  <c r="W54" i="1"/>
  <c r="X54" i="1"/>
  <c r="Y54" i="1"/>
  <c r="Z54" i="1"/>
  <c r="AA54" i="1"/>
  <c r="W55" i="1"/>
  <c r="X55" i="1"/>
  <c r="Y55" i="1"/>
  <c r="Z55" i="1"/>
  <c r="AA55" i="1"/>
  <c r="W56" i="1"/>
  <c r="X56" i="1"/>
  <c r="Y56" i="1"/>
  <c r="Z56" i="1"/>
  <c r="AA56" i="1"/>
  <c r="W57" i="1"/>
  <c r="X57" i="1"/>
  <c r="Y57" i="1"/>
  <c r="Z57" i="1"/>
  <c r="AA57" i="1"/>
  <c r="W58" i="1"/>
  <c r="X58" i="1"/>
  <c r="Y58" i="1"/>
  <c r="Z58" i="1"/>
  <c r="AA58" i="1"/>
  <c r="W59" i="1"/>
  <c r="X59" i="1"/>
  <c r="Y59" i="1"/>
  <c r="Z59" i="1"/>
  <c r="AA59" i="1"/>
  <c r="W60" i="1"/>
  <c r="X60" i="1"/>
  <c r="Y60" i="1"/>
  <c r="Z60" i="1"/>
  <c r="AA60" i="1"/>
  <c r="W61" i="1"/>
  <c r="X61" i="1"/>
  <c r="Y61" i="1"/>
  <c r="Z61" i="1"/>
  <c r="AA61" i="1"/>
  <c r="W62" i="1"/>
  <c r="X62" i="1"/>
  <c r="Y62" i="1"/>
  <c r="Z62" i="1"/>
  <c r="AA62" i="1"/>
  <c r="W63" i="1"/>
  <c r="X63" i="1"/>
  <c r="Y63" i="1"/>
  <c r="Z63" i="1"/>
  <c r="AA63" i="1"/>
  <c r="W64" i="1"/>
  <c r="X64" i="1"/>
  <c r="Y64" i="1"/>
  <c r="Z64" i="1"/>
  <c r="AA64" i="1"/>
  <c r="W65" i="1"/>
  <c r="X65" i="1"/>
  <c r="Y65" i="1"/>
  <c r="Z65" i="1"/>
  <c r="AA65" i="1"/>
  <c r="W66" i="1"/>
  <c r="X66" i="1"/>
  <c r="Y66" i="1"/>
  <c r="Z66" i="1"/>
  <c r="AA66" i="1"/>
  <c r="W67" i="1"/>
  <c r="X67" i="1"/>
  <c r="Y67" i="1"/>
  <c r="Z67" i="1"/>
  <c r="AA67" i="1"/>
  <c r="W68" i="1"/>
  <c r="X68" i="1"/>
  <c r="Y68" i="1"/>
  <c r="Z68" i="1"/>
  <c r="AA68" i="1"/>
  <c r="W69" i="1"/>
  <c r="X69" i="1"/>
  <c r="Y69" i="1"/>
  <c r="Z69" i="1"/>
  <c r="AA69" i="1"/>
  <c r="W70" i="1"/>
  <c r="X70" i="1"/>
  <c r="Y70" i="1"/>
  <c r="Z70" i="1"/>
  <c r="AA70" i="1"/>
  <c r="W71" i="1"/>
  <c r="X71" i="1"/>
  <c r="Y71" i="1"/>
  <c r="Z71" i="1"/>
  <c r="AA71" i="1"/>
  <c r="W72" i="1"/>
  <c r="X72" i="1"/>
  <c r="Y72" i="1"/>
  <c r="Z72" i="1"/>
  <c r="AA72" i="1"/>
  <c r="W73" i="1"/>
  <c r="X73" i="1"/>
  <c r="Y73" i="1"/>
  <c r="Z73" i="1"/>
  <c r="AA73" i="1"/>
  <c r="W74" i="1"/>
  <c r="X74" i="1"/>
  <c r="Y74" i="1"/>
  <c r="Z74" i="1"/>
  <c r="AA74" i="1"/>
  <c r="W75" i="1"/>
  <c r="X75" i="1"/>
  <c r="Y75" i="1"/>
  <c r="Z75" i="1"/>
  <c r="AA75" i="1"/>
  <c r="W76" i="1"/>
  <c r="X76" i="1"/>
  <c r="Y76" i="1"/>
  <c r="Z76" i="1"/>
  <c r="AA76" i="1"/>
  <c r="W77" i="1"/>
  <c r="X77" i="1"/>
  <c r="Y77" i="1"/>
  <c r="Z77" i="1"/>
  <c r="AA77" i="1"/>
  <c r="W78" i="1"/>
  <c r="X78" i="1"/>
  <c r="Y78" i="1"/>
  <c r="Z78" i="1"/>
  <c r="AA78" i="1"/>
  <c r="W79" i="1"/>
  <c r="X79" i="1"/>
  <c r="Y79" i="1"/>
  <c r="Z79" i="1"/>
  <c r="AA79" i="1"/>
  <c r="W80" i="1"/>
  <c r="X80" i="1"/>
  <c r="Y80" i="1"/>
  <c r="Z80" i="1"/>
  <c r="AA80" i="1"/>
  <c r="W81" i="1"/>
  <c r="X81" i="1"/>
  <c r="Y81" i="1"/>
  <c r="Z81" i="1"/>
  <c r="AA81" i="1"/>
  <c r="W82" i="1"/>
  <c r="X82" i="1"/>
  <c r="Y82" i="1"/>
  <c r="Z82" i="1"/>
  <c r="AA82" i="1"/>
  <c r="W83" i="1"/>
  <c r="X83" i="1"/>
  <c r="Y83" i="1"/>
  <c r="Z83" i="1"/>
  <c r="AA83" i="1"/>
  <c r="W84" i="1"/>
  <c r="X84" i="1"/>
  <c r="Y84" i="1"/>
  <c r="Z84" i="1"/>
  <c r="AA84" i="1"/>
  <c r="W85" i="1"/>
  <c r="X85" i="1"/>
  <c r="Y85" i="1"/>
  <c r="Z85" i="1"/>
  <c r="AA85" i="1"/>
  <c r="W86" i="1"/>
  <c r="X86" i="1"/>
  <c r="Y86" i="1"/>
  <c r="Z86" i="1"/>
  <c r="AA86" i="1"/>
  <c r="W87" i="1"/>
  <c r="X87" i="1"/>
  <c r="Y87" i="1"/>
  <c r="Z87" i="1"/>
  <c r="AA87" i="1"/>
  <c r="W88" i="1"/>
  <c r="X88" i="1"/>
  <c r="Y88" i="1"/>
  <c r="Z88" i="1"/>
  <c r="AA88" i="1"/>
  <c r="W89" i="1"/>
  <c r="X89" i="1"/>
  <c r="Y89" i="1"/>
  <c r="Z89" i="1"/>
  <c r="AA89" i="1"/>
  <c r="W90" i="1"/>
  <c r="X90" i="1"/>
  <c r="Y90" i="1"/>
  <c r="Z90" i="1"/>
  <c r="AA90" i="1"/>
  <c r="W91" i="1"/>
  <c r="X91" i="1"/>
  <c r="Y91" i="1"/>
  <c r="Z91" i="1"/>
  <c r="AA91" i="1"/>
  <c r="W92" i="1"/>
  <c r="X92" i="1"/>
  <c r="Y92" i="1"/>
  <c r="Z92" i="1"/>
  <c r="AA92" i="1"/>
  <c r="W93" i="1"/>
  <c r="X93" i="1"/>
  <c r="Y93" i="1"/>
  <c r="Z93" i="1"/>
  <c r="AA93" i="1"/>
  <c r="W94" i="1"/>
  <c r="X94" i="1"/>
  <c r="Y94" i="1"/>
  <c r="Z94" i="1"/>
  <c r="AA94" i="1"/>
  <c r="W95" i="1"/>
  <c r="X95" i="1"/>
  <c r="Y95" i="1"/>
  <c r="Z95" i="1"/>
  <c r="AA95" i="1"/>
  <c r="W96" i="1"/>
  <c r="X96" i="1"/>
  <c r="Y96" i="1"/>
  <c r="Z96" i="1"/>
  <c r="AA96" i="1"/>
  <c r="W97" i="1"/>
  <c r="X97" i="1"/>
  <c r="Y97" i="1"/>
  <c r="Z97" i="1"/>
  <c r="AA97" i="1"/>
  <c r="W98" i="1"/>
  <c r="X98" i="1"/>
  <c r="Y98" i="1"/>
  <c r="Z98" i="1"/>
  <c r="AA98" i="1"/>
  <c r="W99" i="1"/>
  <c r="X99" i="1"/>
  <c r="Y99" i="1"/>
  <c r="Z99" i="1"/>
  <c r="AA99" i="1"/>
  <c r="W100" i="1"/>
  <c r="X100" i="1"/>
  <c r="Y100" i="1"/>
  <c r="Z100" i="1"/>
  <c r="AA100" i="1"/>
  <c r="W101" i="1"/>
  <c r="X101" i="1"/>
  <c r="Y101" i="1"/>
  <c r="Z101" i="1"/>
  <c r="AA101" i="1"/>
  <c r="W102" i="1"/>
  <c r="X102" i="1"/>
  <c r="Y102" i="1"/>
  <c r="Z102" i="1"/>
  <c r="AA102" i="1"/>
  <c r="AA3" i="1"/>
  <c r="Z3" i="1"/>
  <c r="Y3" i="1"/>
  <c r="X3" i="1"/>
  <c r="W3" i="1"/>
  <c r="W152" i="1"/>
  <c r="AB149" i="1" a="1"/>
  <c r="AC156" i="1" a="1"/>
  <c r="W151" i="1"/>
  <c r="AD157" i="1" a="1"/>
  <c r="AB151" i="1" a="1"/>
  <c r="AB153" i="1" a="1"/>
  <c r="AB158" i="1" a="1"/>
  <c r="W159" i="1"/>
  <c r="AE160" i="1" a="1"/>
  <c r="AF149" i="1" a="1"/>
  <c r="AC152" i="1" a="1"/>
  <c r="W154" i="1"/>
  <c r="AF150" i="1" a="1"/>
  <c r="AE157" i="1" a="1"/>
  <c r="W150" i="1"/>
  <c r="AB159" i="1" a="1"/>
  <c r="AD151" i="1" a="1"/>
  <c r="AE150" i="1" a="1"/>
  <c r="W156" i="1"/>
  <c r="AF160" i="1" a="1"/>
  <c r="AF153" i="1" a="1"/>
  <c r="R149" i="1" a="1"/>
  <c r="AD153" i="1" a="1"/>
  <c r="AF158" i="1" a="1"/>
  <c r="W160" i="1"/>
  <c r="AC150" i="1" a="1"/>
  <c r="AE153" i="1" a="1"/>
  <c r="AC153" i="1" a="1"/>
  <c r="W158" i="1"/>
  <c r="AB157" i="1" a="1"/>
  <c r="AD149" i="1" a="1"/>
  <c r="AD156" i="1" a="1"/>
  <c r="AC149" i="1" a="1"/>
  <c r="R152" i="1" a="1"/>
  <c r="AE159" i="1" a="1"/>
  <c r="R150" i="1" a="1"/>
  <c r="AE151" i="1" a="1"/>
  <c r="AF151" i="1" a="1"/>
  <c r="AF154" i="1" a="1"/>
  <c r="AB156" i="1" a="1"/>
  <c r="AC159" i="1" a="1"/>
  <c r="AC155" i="1" a="1"/>
  <c r="AD159" i="1" a="1"/>
  <c r="AC157" i="1" a="1"/>
  <c r="AC154" i="1" a="1"/>
  <c r="AD158" i="1" a="1"/>
  <c r="R153" i="1" a="1"/>
  <c r="AB160" i="1" a="1"/>
  <c r="W155" i="1"/>
  <c r="AD150" i="1" a="1"/>
  <c r="AE152" i="1" a="1"/>
  <c r="AF152" i="1" a="1"/>
  <c r="AF157" i="1" a="1"/>
  <c r="W157" i="1"/>
  <c r="W149" i="1"/>
  <c r="AD152" i="1" a="1"/>
  <c r="AE149" i="1" a="1"/>
  <c r="AE155" i="1" a="1"/>
  <c r="AD155" i="1" a="1"/>
  <c r="AE154" i="1" a="1"/>
  <c r="AF159" i="1" a="1"/>
  <c r="AD160" i="1" a="1"/>
  <c r="AC158" i="1" a="1"/>
  <c r="AB152" i="1" a="1"/>
  <c r="AE158" i="1" a="1"/>
  <c r="AF156" i="1" a="1"/>
  <c r="W153" i="1"/>
  <c r="AB155" i="1" a="1"/>
  <c r="W161" i="1"/>
  <c r="R151" i="1" a="1"/>
  <c r="AC160" i="1" a="1"/>
  <c r="AB154" i="1" a="1"/>
  <c r="AF155" i="1" a="1"/>
  <c r="AB150" i="1" a="1"/>
  <c r="AE156" i="1" a="1"/>
  <c r="AD154" i="1" a="1"/>
  <c r="AC151" i="1" a="1"/>
  <c r="AH113" i="1" l="1" a="1"/>
  <c r="AH113" i="1" s="1"/>
  <c r="M242" i="1" a="1"/>
  <c r="M242" i="1" s="1"/>
  <c r="M202" i="1" a="1"/>
  <c r="M202" i="1" s="1"/>
  <c r="M226" i="1" a="1"/>
  <c r="M226" i="1" s="1"/>
  <c r="M210" i="1" a="1"/>
  <c r="M210" i="1" s="1"/>
  <c r="M203" i="1" a="1"/>
  <c r="M203" i="1" s="1"/>
  <c r="M219" i="1" a="1"/>
  <c r="M219" i="1" s="1"/>
  <c r="M238" i="1" a="1"/>
  <c r="M238" i="1" s="1"/>
  <c r="H214" i="1" a="1"/>
  <c r="H214" i="1" s="1"/>
  <c r="H227" i="1" a="1"/>
  <c r="H227" i="1" s="1"/>
  <c r="M211" i="1" a="1"/>
  <c r="M211" i="1" s="1"/>
  <c r="M230" i="1" a="1"/>
  <c r="M230" i="1" s="1"/>
  <c r="M243" i="1" a="1"/>
  <c r="M243" i="1" s="1"/>
  <c r="M240" i="1" a="1"/>
  <c r="M240" i="1" s="1"/>
  <c r="M213" i="1" a="1"/>
  <c r="M213" i="1" s="1"/>
  <c r="M208" i="1" a="1"/>
  <c r="M208" i="1" s="1"/>
  <c r="M205" i="1" a="1"/>
  <c r="M205" i="1" s="1"/>
  <c r="M197" i="1" a="1"/>
  <c r="M197" i="1" s="1"/>
  <c r="M181" i="1" a="1"/>
  <c r="M181" i="1" s="1"/>
  <c r="M173" i="1" a="1"/>
  <c r="M173" i="1" s="1"/>
  <c r="M157" i="1" a="1"/>
  <c r="M157" i="1" s="1"/>
  <c r="M248" i="1" a="1"/>
  <c r="M248" i="1" s="1"/>
  <c r="M237" i="1" a="1"/>
  <c r="M237" i="1" s="1"/>
  <c r="M229" i="1" a="1"/>
  <c r="M229" i="1" s="1"/>
  <c r="M245" i="1" a="1"/>
  <c r="M245" i="1" s="1"/>
  <c r="H240" i="1" a="1"/>
  <c r="H240" i="1" s="1"/>
  <c r="M241" i="1" a="1"/>
  <c r="M241" i="1" s="1"/>
  <c r="M247" i="1" a="1"/>
  <c r="M247" i="1" s="1"/>
  <c r="M232" i="1" a="1"/>
  <c r="M232" i="1" s="1"/>
  <c r="H226" i="1" a="1"/>
  <c r="H226" i="1" s="1"/>
  <c r="M225" i="1" a="1"/>
  <c r="M225" i="1" s="1"/>
  <c r="M224" i="1" a="1"/>
  <c r="M224" i="1" s="1"/>
  <c r="M235" i="1" a="1"/>
  <c r="M235" i="1" s="1"/>
  <c r="M234" i="1" a="1"/>
  <c r="M234" i="1" s="1"/>
  <c r="M206" i="1" a="1"/>
  <c r="M206" i="1" s="1"/>
  <c r="H189" i="1" a="1"/>
  <c r="H189" i="1" s="1"/>
  <c r="H246" i="1" a="1"/>
  <c r="H246" i="1" s="1"/>
  <c r="M244" i="1" a="1"/>
  <c r="M244" i="1" s="1"/>
  <c r="M223" i="1" a="1"/>
  <c r="M223" i="1" s="1"/>
  <c r="H221" i="1" a="1"/>
  <c r="H221" i="1" s="1"/>
  <c r="M216" i="1" a="1"/>
  <c r="M216" i="1" s="1"/>
  <c r="M217" i="1" a="1"/>
  <c r="M217" i="1" s="1"/>
  <c r="H207" i="1" a="1"/>
  <c r="H207" i="1" s="1"/>
  <c r="M201" i="1" a="1"/>
  <c r="M201" i="1" s="1"/>
  <c r="M246" i="1" a="1"/>
  <c r="M246" i="1" s="1"/>
  <c r="M239" i="1" a="1"/>
  <c r="M239" i="1" s="1"/>
  <c r="M236" i="1" a="1"/>
  <c r="M236" i="1" s="1"/>
  <c r="M233" i="1" a="1"/>
  <c r="M233" i="1" s="1"/>
  <c r="M231" i="1" a="1"/>
  <c r="M231" i="1" s="1"/>
  <c r="M228" i="1" a="1"/>
  <c r="M228" i="1" s="1"/>
  <c r="M227" i="1" a="1"/>
  <c r="M227" i="1" s="1"/>
  <c r="M222" i="1" a="1"/>
  <c r="M222" i="1" s="1"/>
  <c r="M220" i="1" a="1"/>
  <c r="M220" i="1" s="1"/>
  <c r="M218" i="1" a="1"/>
  <c r="M218" i="1" s="1"/>
  <c r="M215" i="1" a="1"/>
  <c r="M215" i="1" s="1"/>
  <c r="M212" i="1" a="1"/>
  <c r="M212" i="1" s="1"/>
  <c r="M209" i="1" a="1"/>
  <c r="M209" i="1" s="1"/>
  <c r="H208" i="1" a="1"/>
  <c r="H208" i="1" s="1"/>
  <c r="M204" i="1" a="1"/>
  <c r="M204" i="1" s="1"/>
  <c r="M195" i="1" a="1"/>
  <c r="M195" i="1" s="1"/>
  <c r="M176" i="1" a="1"/>
  <c r="M176" i="1" s="1"/>
  <c r="M165" i="1" a="1"/>
  <c r="M165" i="1" s="1"/>
  <c r="M163" i="1" a="1"/>
  <c r="M163" i="1" s="1"/>
  <c r="M149" i="1" a="1"/>
  <c r="M149" i="1" s="1"/>
  <c r="M200" i="1" a="1"/>
  <c r="M200" i="1" s="1"/>
  <c r="M184" i="1" a="1"/>
  <c r="M184" i="1" s="1"/>
  <c r="H176" i="1" a="1"/>
  <c r="H176" i="1" s="1"/>
  <c r="M192" i="1" a="1"/>
  <c r="M192" i="1" s="1"/>
  <c r="H168" i="1" a="1"/>
  <c r="H168" i="1" s="1"/>
  <c r="H160" i="1" a="1"/>
  <c r="H160" i="1" s="1"/>
  <c r="M152" i="1" a="1"/>
  <c r="M152" i="1" s="1"/>
  <c r="H195" i="1" a="1"/>
  <c r="H195" i="1" s="1"/>
  <c r="M187" i="1" a="1"/>
  <c r="M187" i="1" s="1"/>
  <c r="M179" i="1" a="1"/>
  <c r="M179" i="1" s="1"/>
  <c r="H171" i="1" a="1"/>
  <c r="H171" i="1" s="1"/>
  <c r="H163" i="1" a="1"/>
  <c r="H163" i="1" s="1"/>
  <c r="H155" i="1" a="1"/>
  <c r="H155" i="1" s="1"/>
  <c r="M198" i="1" a="1"/>
  <c r="M198" i="1" s="1"/>
  <c r="M190" i="1" a="1"/>
  <c r="M190" i="1" s="1"/>
  <c r="H182" i="1" a="1"/>
  <c r="H182" i="1" s="1"/>
  <c r="M174" i="1" a="1"/>
  <c r="M174" i="1" s="1"/>
  <c r="H166" i="1" a="1"/>
  <c r="H166" i="1" s="1"/>
  <c r="M158" i="1" a="1"/>
  <c r="M158" i="1" s="1"/>
  <c r="H150" i="1" a="1"/>
  <c r="H150" i="1" s="1"/>
  <c r="M196" i="1" a="1"/>
  <c r="M196" i="1" s="1"/>
  <c r="M194" i="1" a="1"/>
  <c r="M194" i="1" s="1"/>
  <c r="M186" i="1" a="1"/>
  <c r="M186" i="1" s="1"/>
  <c r="M178" i="1" a="1"/>
  <c r="M178" i="1" s="1"/>
  <c r="M170" i="1" a="1"/>
  <c r="M170" i="1" s="1"/>
  <c r="H162" i="1" a="1"/>
  <c r="H162" i="1" s="1"/>
  <c r="M154" i="1" a="1"/>
  <c r="M154" i="1" s="1"/>
  <c r="M182" i="1" a="1"/>
  <c r="M182" i="1" s="1"/>
  <c r="M150" i="1" a="1"/>
  <c r="M150" i="1" s="1"/>
  <c r="H233" i="1" a="1"/>
  <c r="H233" i="1" s="1"/>
  <c r="H201" i="1" a="1"/>
  <c r="H201" i="1" s="1"/>
  <c r="H188" i="1" a="1"/>
  <c r="H188" i="1" s="1"/>
  <c r="H220" i="1" a="1"/>
  <c r="H220" i="1" s="1"/>
  <c r="M193" i="1" a="1"/>
  <c r="M193" i="1" s="1"/>
  <c r="M185" i="1" a="1"/>
  <c r="M185" i="1" s="1"/>
  <c r="M177" i="1" a="1"/>
  <c r="M177" i="1" s="1"/>
  <c r="H169" i="1" a="1"/>
  <c r="H169" i="1" s="1"/>
  <c r="H161" i="1" a="1"/>
  <c r="H161" i="1" s="1"/>
  <c r="M153" i="1" a="1"/>
  <c r="M153" i="1" s="1"/>
  <c r="M188" i="1" a="1"/>
  <c r="M188" i="1" s="1"/>
  <c r="M164" i="1" a="1"/>
  <c r="M164" i="1" s="1"/>
  <c r="M214" i="1" a="1"/>
  <c r="M214" i="1" s="1"/>
  <c r="M180" i="1" a="1"/>
  <c r="M180" i="1" s="1"/>
  <c r="M172" i="1" a="1"/>
  <c r="M172" i="1" s="1"/>
  <c r="H156" i="1" a="1"/>
  <c r="H156" i="1" s="1"/>
  <c r="M199" i="1" a="1"/>
  <c r="M199" i="1" s="1"/>
  <c r="H194" i="1" a="1"/>
  <c r="H194" i="1" s="1"/>
  <c r="M191" i="1" a="1"/>
  <c r="M191" i="1" s="1"/>
  <c r="M183" i="1" a="1"/>
  <c r="M183" i="1" s="1"/>
  <c r="M175" i="1" a="1"/>
  <c r="M175" i="1" s="1"/>
  <c r="H170" i="1" a="1"/>
  <c r="H170" i="1" s="1"/>
  <c r="H167" i="1" a="1"/>
  <c r="H167" i="1" s="1"/>
  <c r="M159" i="1" a="1"/>
  <c r="M159" i="1" s="1"/>
  <c r="H154" i="1" a="1"/>
  <c r="H154" i="1" s="1"/>
  <c r="M151" i="1" a="1"/>
  <c r="M151" i="1" s="1"/>
  <c r="AC160" i="1"/>
  <c r="AD159" i="1"/>
  <c r="AE158" i="1"/>
  <c r="AF157" i="1"/>
  <c r="AB157" i="1"/>
  <c r="AC156" i="1"/>
  <c r="AD155" i="1"/>
  <c r="AE154" i="1"/>
  <c r="AF153" i="1"/>
  <c r="AB153" i="1"/>
  <c r="AC152" i="1"/>
  <c r="AD151" i="1"/>
  <c r="AE150" i="1"/>
  <c r="AF160" i="1"/>
  <c r="AD158" i="1"/>
  <c r="AC155" i="1"/>
  <c r="AD150" i="1"/>
  <c r="AB152" i="1"/>
  <c r="AE160" i="1"/>
  <c r="AF159" i="1"/>
  <c r="AB159" i="1"/>
  <c r="AC158" i="1"/>
  <c r="AD157" i="1"/>
  <c r="AE156" i="1"/>
  <c r="AF155" i="1"/>
  <c r="AB155" i="1"/>
  <c r="AC154" i="1"/>
  <c r="AD153" i="1"/>
  <c r="AE152" i="1"/>
  <c r="AF151" i="1"/>
  <c r="AB151" i="1"/>
  <c r="AC150" i="1"/>
  <c r="AB160" i="1"/>
  <c r="AE157" i="1"/>
  <c r="AD154" i="1"/>
  <c r="AC151" i="1"/>
  <c r="AC159" i="1"/>
  <c r="AF156" i="1"/>
  <c r="AB156" i="1"/>
  <c r="AE153" i="1"/>
  <c r="AF152" i="1"/>
  <c r="AD160" i="1"/>
  <c r="AE159" i="1"/>
  <c r="AF158" i="1"/>
  <c r="AB158" i="1"/>
  <c r="AC157" i="1"/>
  <c r="AD156" i="1"/>
  <c r="AE155" i="1"/>
  <c r="AF154" i="1"/>
  <c r="AB154" i="1"/>
  <c r="AC153" i="1"/>
  <c r="AD152" i="1"/>
  <c r="AE151" i="1"/>
  <c r="AF150" i="1"/>
  <c r="AB150" i="1"/>
  <c r="AF149" i="1"/>
  <c r="AE149" i="1"/>
  <c r="AD149" i="1"/>
  <c r="AC149" i="1"/>
  <c r="AB149" i="1"/>
  <c r="H239" i="1" a="1"/>
  <c r="H239" i="1" s="1"/>
  <c r="H245" i="1" a="1"/>
  <c r="H245" i="1" s="1"/>
  <c r="H238" i="1" a="1"/>
  <c r="H238" i="1" s="1"/>
  <c r="H232" i="1" a="1"/>
  <c r="H232" i="1" s="1"/>
  <c r="H219" i="1" a="1"/>
  <c r="H219" i="1" s="1"/>
  <c r="H213" i="1" a="1"/>
  <c r="H213" i="1" s="1"/>
  <c r="H206" i="1" a="1"/>
  <c r="H206" i="1" s="1"/>
  <c r="H200" i="1" a="1"/>
  <c r="H200" i="1" s="1"/>
  <c r="H187" i="1" a="1"/>
  <c r="H187" i="1" s="1"/>
  <c r="H181" i="1" a="1"/>
  <c r="H181" i="1" s="1"/>
  <c r="H175" i="1" a="1"/>
  <c r="H175" i="1" s="1"/>
  <c r="H164" i="1" a="1"/>
  <c r="H164" i="1" s="1"/>
  <c r="H159" i="1" a="1"/>
  <c r="H159" i="1" s="1"/>
  <c r="M207" i="1" a="1"/>
  <c r="M207" i="1" s="1"/>
  <c r="M169" i="1" a="1"/>
  <c r="M169" i="1" s="1"/>
  <c r="M162" i="1" a="1"/>
  <c r="M162" i="1" s="1"/>
  <c r="M156" i="1" a="1"/>
  <c r="M156" i="1" s="1"/>
  <c r="H165" i="1" a="1"/>
  <c r="H165" i="1" s="1"/>
  <c r="M221" i="1" a="1"/>
  <c r="M221" i="1" s="1"/>
  <c r="H244" i="1" a="1"/>
  <c r="H244" i="1" s="1"/>
  <c r="H231" i="1" a="1"/>
  <c r="H231" i="1" s="1"/>
  <c r="H225" i="1" a="1"/>
  <c r="H225" i="1" s="1"/>
  <c r="H218" i="1" a="1"/>
  <c r="H218" i="1" s="1"/>
  <c r="H212" i="1" a="1"/>
  <c r="H212" i="1" s="1"/>
  <c r="H199" i="1" a="1"/>
  <c r="H199" i="1" s="1"/>
  <c r="H193" i="1" a="1"/>
  <c r="H193" i="1" s="1"/>
  <c r="H186" i="1" a="1"/>
  <c r="H186" i="1" s="1"/>
  <c r="H180" i="1" a="1"/>
  <c r="H180" i="1" s="1"/>
  <c r="H174" i="1" a="1"/>
  <c r="H174" i="1" s="1"/>
  <c r="H158" i="1" a="1"/>
  <c r="H158" i="1" s="1"/>
  <c r="H153" i="1" a="1"/>
  <c r="H153" i="1" s="1"/>
  <c r="M168" i="1" a="1"/>
  <c r="M168" i="1" s="1"/>
  <c r="M155" i="1" a="1"/>
  <c r="M155" i="1" s="1"/>
  <c r="H149" i="1" a="1"/>
  <c r="H149" i="1" s="1"/>
  <c r="H243" i="1" a="1"/>
  <c r="H243" i="1" s="1"/>
  <c r="H237" i="1" a="1"/>
  <c r="H237" i="1" s="1"/>
  <c r="H230" i="1" a="1"/>
  <c r="H230" i="1" s="1"/>
  <c r="H224" i="1" a="1"/>
  <c r="H224" i="1" s="1"/>
  <c r="H211" i="1" a="1"/>
  <c r="H211" i="1" s="1"/>
  <c r="H205" i="1" a="1"/>
  <c r="H205" i="1" s="1"/>
  <c r="H198" i="1" a="1"/>
  <c r="H198" i="1" s="1"/>
  <c r="H192" i="1" a="1"/>
  <c r="H192" i="1" s="1"/>
  <c r="H179" i="1" a="1"/>
  <c r="H179" i="1" s="1"/>
  <c r="H152" i="1" a="1"/>
  <c r="H152" i="1" s="1"/>
  <c r="M167" i="1" a="1"/>
  <c r="M167" i="1" s="1"/>
  <c r="M161" i="1" a="1"/>
  <c r="M161" i="1" s="1"/>
  <c r="H242" i="1" a="1"/>
  <c r="H242" i="1" s="1"/>
  <c r="H236" i="1" a="1"/>
  <c r="H236" i="1" s="1"/>
  <c r="H223" i="1" a="1"/>
  <c r="H223" i="1" s="1"/>
  <c r="H217" i="1" a="1"/>
  <c r="H217" i="1" s="1"/>
  <c r="H210" i="1" a="1"/>
  <c r="H210" i="1" s="1"/>
  <c r="H204" i="1" a="1"/>
  <c r="H204" i="1" s="1"/>
  <c r="H191" i="1" a="1"/>
  <c r="H191" i="1" s="1"/>
  <c r="H185" i="1" a="1"/>
  <c r="H185" i="1" s="1"/>
  <c r="H178" i="1" a="1"/>
  <c r="H178" i="1" s="1"/>
  <c r="H173" i="1" a="1"/>
  <c r="H173" i="1" s="1"/>
  <c r="H157" i="1" a="1"/>
  <c r="H157" i="1" s="1"/>
  <c r="H151" i="1" a="1"/>
  <c r="H151" i="1" s="1"/>
  <c r="M166" i="1" a="1"/>
  <c r="M166" i="1" s="1"/>
  <c r="M160" i="1" a="1"/>
  <c r="M160" i="1" s="1"/>
  <c r="M189" i="1" a="1"/>
  <c r="M189" i="1" s="1"/>
  <c r="H248" i="1" a="1"/>
  <c r="H248" i="1" s="1"/>
  <c r="H235" i="1" a="1"/>
  <c r="H235" i="1" s="1"/>
  <c r="H229" i="1" a="1"/>
  <c r="H229" i="1" s="1"/>
  <c r="H222" i="1" a="1"/>
  <c r="H222" i="1" s="1"/>
  <c r="H216" i="1" a="1"/>
  <c r="H216" i="1" s="1"/>
  <c r="H203" i="1" a="1"/>
  <c r="H203" i="1" s="1"/>
  <c r="H197" i="1" a="1"/>
  <c r="H197" i="1" s="1"/>
  <c r="H190" i="1" a="1"/>
  <c r="H190" i="1" s="1"/>
  <c r="H184" i="1" a="1"/>
  <c r="H184" i="1" s="1"/>
  <c r="H172" i="1" a="1"/>
  <c r="H172" i="1" s="1"/>
  <c r="H247" i="1" a="1"/>
  <c r="H247" i="1" s="1"/>
  <c r="H241" i="1" a="1"/>
  <c r="H241" i="1" s="1"/>
  <c r="H234" i="1" a="1"/>
  <c r="H234" i="1" s="1"/>
  <c r="H228" i="1" a="1"/>
  <c r="H228" i="1" s="1"/>
  <c r="H215" i="1" a="1"/>
  <c r="H215" i="1" s="1"/>
  <c r="H209" i="1" a="1"/>
  <c r="H209" i="1" s="1"/>
  <c r="H202" i="1" a="1"/>
  <c r="H202" i="1" s="1"/>
  <c r="H196" i="1" a="1"/>
  <c r="H196" i="1" s="1"/>
  <c r="H183" i="1" a="1"/>
  <c r="H183" i="1" s="1"/>
  <c r="H177" i="1" a="1"/>
  <c r="H177" i="1" s="1"/>
  <c r="M171" i="1" a="1"/>
  <c r="M171" i="1" s="1"/>
  <c r="R153" i="1"/>
  <c r="R152" i="1"/>
  <c r="R151" i="1"/>
  <c r="R150" i="1"/>
  <c r="R1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<sst xmlns="http://schemas.openxmlformats.org/spreadsheetml/2006/main" count="407" uniqueCount="62">
  <si>
    <t>Parameters:</t>
  </si>
  <si>
    <t>Dif*pii</t>
  </si>
  <si>
    <t>pi(i) : profit made by selling one unit of product i</t>
  </si>
  <si>
    <t>bi : width of a facing for product i</t>
  </si>
  <si>
    <t>depth of product i</t>
  </si>
  <si>
    <t>di : coefficient for demand rate for product i per unit width and one facing</t>
  </si>
  <si>
    <t>lower bound on the shelf inv</t>
  </si>
  <si>
    <t>upper bound on the shelf inv</t>
  </si>
  <si>
    <t>I1 : set of product pairs (i1; i2) that cannot be placed on the same shelf.</t>
  </si>
  <si>
    <t>I2: set of product pairs (i1; i2) that will be included together in the assortment.</t>
  </si>
  <si>
    <t>wk : width of shelf k</t>
  </si>
  <si>
    <t>Depth of shelves</t>
  </si>
  <si>
    <t>gama k : Shelf k’s effect on demand</t>
  </si>
  <si>
    <t>Bi : space elasticity factor for product i</t>
  </si>
  <si>
    <t>3 and 8</t>
  </si>
  <si>
    <t>2 and 5</t>
  </si>
  <si>
    <t>16 and 20</t>
  </si>
  <si>
    <t>92 and 45</t>
  </si>
  <si>
    <t>39 and 58</t>
  </si>
  <si>
    <t>74 and 88</t>
  </si>
  <si>
    <t>99 and 47</t>
  </si>
  <si>
    <t>41 and 36</t>
  </si>
  <si>
    <t>27 and 51</t>
  </si>
  <si>
    <t>93 and 88</t>
  </si>
  <si>
    <t>100 and 22</t>
  </si>
  <si>
    <t>41 and 99</t>
  </si>
  <si>
    <t>12 and 1</t>
  </si>
  <si>
    <t>15 and 9</t>
  </si>
  <si>
    <t>30 and 35</t>
  </si>
  <si>
    <t>41 and 47</t>
  </si>
  <si>
    <t>57 and 64</t>
  </si>
  <si>
    <t>71 and 82</t>
  </si>
  <si>
    <t>96 and 89</t>
  </si>
  <si>
    <t>55 and 78</t>
  </si>
  <si>
    <t>i\k</t>
  </si>
  <si>
    <t>Number: N(i,k)=Number of product i in shelf k per allocation</t>
  </si>
  <si>
    <t>Decision Variables</t>
  </si>
  <si>
    <t>X(i,j,k)</t>
  </si>
  <si>
    <t>X(i,1,k)</t>
  </si>
  <si>
    <t>X(i,4,k)</t>
  </si>
  <si>
    <t>X(i,3,k)</t>
  </si>
  <si>
    <t>X(i,2,k)</t>
  </si>
  <si>
    <t>Z(i,k)=j from 1 to 4 sum of X(i,j,k)</t>
  </si>
  <si>
    <t>HELPER DATA DERIIVED FROM DECISION VARIABLES AND PARAMETERS</t>
  </si>
  <si>
    <t>OBJECTIVE FUNCTION</t>
  </si>
  <si>
    <t>INDICES</t>
  </si>
  <si>
    <t>i  =  product index</t>
  </si>
  <si>
    <t>k = shelf index</t>
  </si>
  <si>
    <t>j = allocation count index</t>
  </si>
  <si>
    <t>CONSTRAINS</t>
  </si>
  <si>
    <t>1-RULE 1</t>
  </si>
  <si>
    <t>2-RULE(3,4) (1)</t>
  </si>
  <si>
    <t>3-RULE(3,4) (2)</t>
  </si>
  <si>
    <t>4-RULE 6</t>
  </si>
  <si>
    <t>5-RULE 7</t>
  </si>
  <si>
    <t>6-RULE 8</t>
  </si>
  <si>
    <t>&lt;=</t>
  </si>
  <si>
    <t>&gt;=</t>
  </si>
  <si>
    <t>=</t>
  </si>
  <si>
    <t>Column</t>
  </si>
  <si>
    <t>f(i,k)=j from 1 to 4 sum of (j)*X(i,j,k)</t>
  </si>
  <si>
    <t>(f(i,k)^Bi)=j from 1 to 4 sum of (j^Bi)*X(i,j,k)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</si>
</sst>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1" fontId="0" fillId="0" borderId="0" xfId="0" applyNumberFormat="1" applyFill="1" applyBorder="1"/>
    <xf numFmtId="0" fontId="2" fillId="0" borderId="1" xfId="0" applyFont="1" applyBorder="1"/>
    <xf numFmtId="0" fontId="2" fillId="0" borderId="0" xfId="0" applyFont="1"/>
    <xf numFmtId="1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5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0" fillId="0" borderId="11" xfId="0" applyNumberFormat="1" applyBorder="1"/>
    <xf numFmtId="0" fontId="2" fillId="0" borderId="2" xfId="0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0" fontId="2" fillId="0" borderId="0" xfId="1" applyFont="1"/>
    <xf numFmtId="0" fontId="2" fillId="0" borderId="6" xfId="1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/>
    <xf numFmtId="1" fontId="2" fillId="0" borderId="0" xfId="0" applyNumberFormat="1" applyFont="1" applyBorder="1"/>
    <xf numFmtId="1" fontId="2" fillId="0" borderId="0" xfId="0" applyNumberFormat="1" applyFont="1"/>
    <xf numFmtId="0" fontId="0" fillId="0" borderId="12" xfId="0" applyBorder="1"/>
  </cellXfs>
  <cellStyles count="2">
    <cellStyle name="Normal" xfId="0" builtinId="0"/>
    <cellStyle name="Normal 2" xfId="1" xr:uid="{E47D27AC-13C5-4C77-A028-43FB870725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</xdr:row>
      <xdr:rowOff>0</xdr:rowOff>
    </xdr:from>
    <xdr:to>
      <xdr:col>42</xdr:col>
      <xdr:colOff>0</xdr:colOff>
      <xdr:row>101</xdr:row>
      <xdr:rowOff>182879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0376174B-92BE-4DA2-B2E1-04171FFCB3CE}"/>
            </a:ext>
          </a:extLst>
        </xdr:cNvPr>
        <xdr:cNvSpPr/>
      </xdr:nvSpPr>
      <xdr:spPr>
        <a:xfrm>
          <a:off x="22600920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1</xdr:colOff>
      <xdr:row>2</xdr:row>
      <xdr:rowOff>0</xdr:rowOff>
    </xdr:from>
    <xdr:to>
      <xdr:col>49</xdr:col>
      <xdr:colOff>1</xdr:colOff>
      <xdr:row>101</xdr:row>
      <xdr:rowOff>182879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5D474FF4-F927-4424-A0A2-92F95411E4FB}"/>
            </a:ext>
          </a:extLst>
        </xdr:cNvPr>
        <xdr:cNvSpPr/>
      </xdr:nvSpPr>
      <xdr:spPr>
        <a:xfrm>
          <a:off x="268681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1</xdr:colOff>
      <xdr:row>2</xdr:row>
      <xdr:rowOff>0</xdr:rowOff>
    </xdr:from>
    <xdr:to>
      <xdr:col>56</xdr:col>
      <xdr:colOff>1</xdr:colOff>
      <xdr:row>101</xdr:row>
      <xdr:rowOff>182879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60DF0663-8F78-430E-A3F4-AE451FB89B8D}"/>
            </a:ext>
          </a:extLst>
        </xdr:cNvPr>
        <xdr:cNvSpPr/>
      </xdr:nvSpPr>
      <xdr:spPr>
        <a:xfrm>
          <a:off x="311353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1</xdr:colOff>
      <xdr:row>2</xdr:row>
      <xdr:rowOff>0</xdr:rowOff>
    </xdr:from>
    <xdr:to>
      <xdr:col>63</xdr:col>
      <xdr:colOff>1</xdr:colOff>
      <xdr:row>101</xdr:row>
      <xdr:rowOff>182879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AF12C8C2-6037-49D3-8ED1-93F2E88C896A}"/>
            </a:ext>
          </a:extLst>
        </xdr:cNvPr>
        <xdr:cNvSpPr/>
      </xdr:nvSpPr>
      <xdr:spPr>
        <a:xfrm>
          <a:off x="35402521" y="396240"/>
          <a:ext cx="3048000" cy="18287999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33</xdr:col>
      <xdr:colOff>0</xdr:colOff>
      <xdr:row>111</xdr:row>
      <xdr:rowOff>182879</xdr:rowOff>
    </xdr:from>
    <xdr:to>
      <xdr:col>34</xdr:col>
      <xdr:colOff>0</xdr:colOff>
      <xdr:row>112</xdr:row>
      <xdr:rowOff>190499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836534DA-5C52-4D90-B9EA-B09316949529}"/>
            </a:ext>
          </a:extLst>
        </xdr:cNvPr>
        <xdr:cNvSpPr/>
      </xdr:nvSpPr>
      <xdr:spPr>
        <a:xfrm>
          <a:off x="20162520" y="20627339"/>
          <a:ext cx="609600" cy="1905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32</xdr:col>
      <xdr:colOff>601980</xdr:colOff>
      <xdr:row>111</xdr:row>
      <xdr:rowOff>104140</xdr:rowOff>
    </xdr:from>
    <xdr:to>
      <xdr:col>33</xdr:col>
      <xdr:colOff>241615</xdr:colOff>
      <xdr:row>112</xdr:row>
      <xdr:rowOff>48260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8E8CBCC9-8BCE-4A5C-A7BF-60C0936B3526}"/>
            </a:ext>
          </a:extLst>
        </xdr:cNvPr>
        <xdr:cNvSpPr/>
      </xdr:nvSpPr>
      <xdr:spPr>
        <a:xfrm>
          <a:off x="20154900" y="205486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148</xdr:row>
      <xdr:rowOff>1</xdr:rowOff>
    </xdr:from>
    <xdr:to>
      <xdr:col>3</xdr:col>
      <xdr:colOff>0</xdr:colOff>
      <xdr:row>248</xdr:row>
      <xdr:rowOff>1</xdr:rowOff>
    </xdr:to>
    <xdr:sp macro="" textlink="">
      <xdr:nvSpPr>
        <xdr:cNvPr id="8" name="OpenSolver7">
          <a:extLst>
            <a:ext uri="{FF2B5EF4-FFF2-40B4-BE49-F238E27FC236}">
              <a16:creationId xmlns:a16="http://schemas.microsoft.com/office/drawing/2014/main" id="{93859001-6DD2-4A54-AE2B-B2F64EE266D1}"/>
            </a:ext>
          </a:extLst>
        </xdr:cNvPr>
        <xdr:cNvSpPr/>
      </xdr:nvSpPr>
      <xdr:spPr>
        <a:xfrm>
          <a:off x="121920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0</xdr:colOff>
      <xdr:row>148</xdr:row>
      <xdr:rowOff>1</xdr:rowOff>
    </xdr:from>
    <xdr:to>
      <xdr:col>5</xdr:col>
      <xdr:colOff>0</xdr:colOff>
      <xdr:row>248</xdr:row>
      <xdr:rowOff>1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49E8C382-C2C2-46BD-A585-243CA4C0C402}"/>
            </a:ext>
          </a:extLst>
        </xdr:cNvPr>
        <xdr:cNvSpPr/>
      </xdr:nvSpPr>
      <xdr:spPr>
        <a:xfrm>
          <a:off x="2438400" y="27249121"/>
          <a:ext cx="655320" cy="198120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00FF"/>
              </a:solidFill>
            </a:rPr>
            <a:t>≤</a:t>
          </a:r>
        </a:p>
      </xdr:txBody>
    </xdr:sp>
    <xdr:clientData/>
  </xdr:twoCellAnchor>
  <xdr:twoCellAnchor>
    <xdr:from>
      <xdr:col>3</xdr:col>
      <xdr:colOff>0</xdr:colOff>
      <xdr:row>198</xdr:row>
      <xdr:rowOff>1</xdr:rowOff>
    </xdr:from>
    <xdr:to>
      <xdr:col>4</xdr:col>
      <xdr:colOff>0</xdr:colOff>
      <xdr:row>198</xdr:row>
      <xdr:rowOff>1</xdr:rowOff>
    </xdr:to>
    <xdr:cxnSp macro="">
      <xdr:nvCxnSpPr>
        <xdr:cNvPr id="10" name="OpenSolver9">
          <a:extLst>
            <a:ext uri="{FF2B5EF4-FFF2-40B4-BE49-F238E27FC236}">
              <a16:creationId xmlns:a16="http://schemas.microsoft.com/office/drawing/2014/main" id="{1C7FAED3-7023-44E7-ADB6-69C0FAD1127E}"/>
            </a:ext>
          </a:extLst>
        </xdr:cNvPr>
        <xdr:cNvCxnSpPr>
          <a:stCxn id="8" idx="3"/>
          <a:endCxn id="9" idx="1"/>
        </xdr:cNvCxnSpPr>
      </xdr:nvCxnSpPr>
      <xdr:spPr>
        <a:xfrm>
          <a:off x="1828800" y="37155121"/>
          <a:ext cx="60960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197</xdr:row>
      <xdr:rowOff>71121</xdr:rowOff>
    </xdr:from>
    <xdr:to>
      <xdr:col>3</xdr:col>
      <xdr:colOff>495300</xdr:colOff>
      <xdr:row>198</xdr:row>
      <xdr:rowOff>127001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E49E8434-FDBE-4DC2-BB2D-1A760D6B1507}"/>
            </a:ext>
          </a:extLst>
        </xdr:cNvPr>
        <xdr:cNvSpPr/>
      </xdr:nvSpPr>
      <xdr:spPr>
        <a:xfrm>
          <a:off x="194310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7</xdr:col>
      <xdr:colOff>0</xdr:colOff>
      <xdr:row>148</xdr:row>
      <xdr:rowOff>1</xdr:rowOff>
    </xdr:from>
    <xdr:to>
      <xdr:col>8</xdr:col>
      <xdr:colOff>0</xdr:colOff>
      <xdr:row>248</xdr:row>
      <xdr:rowOff>1</xdr:rowOff>
    </xdr:to>
    <xdr:sp macro="" textlink="">
      <xdr:nvSpPr>
        <xdr:cNvPr id="12" name="OpenSolver11">
          <a:extLst>
            <a:ext uri="{FF2B5EF4-FFF2-40B4-BE49-F238E27FC236}">
              <a16:creationId xmlns:a16="http://schemas.microsoft.com/office/drawing/2014/main" id="{348A2040-6869-4476-96F3-1053ABCD2AEB}"/>
            </a:ext>
          </a:extLst>
        </xdr:cNvPr>
        <xdr:cNvSpPr/>
      </xdr:nvSpPr>
      <xdr:spPr>
        <a:xfrm>
          <a:off x="4312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9</xdr:col>
      <xdr:colOff>0</xdr:colOff>
      <xdr:row>148</xdr:row>
      <xdr:rowOff>1</xdr:rowOff>
    </xdr:from>
    <xdr:to>
      <xdr:col>10</xdr:col>
      <xdr:colOff>0</xdr:colOff>
      <xdr:row>248</xdr:row>
      <xdr:rowOff>1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A4BFBFC8-66C5-457E-B877-D289FBEBC26B}"/>
            </a:ext>
          </a:extLst>
        </xdr:cNvPr>
        <xdr:cNvSpPr/>
      </xdr:nvSpPr>
      <xdr:spPr>
        <a:xfrm>
          <a:off x="5532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8</xdr:col>
      <xdr:colOff>0</xdr:colOff>
      <xdr:row>198</xdr:row>
      <xdr:rowOff>1</xdr:rowOff>
    </xdr:from>
    <xdr:to>
      <xdr:col>9</xdr:col>
      <xdr:colOff>0</xdr:colOff>
      <xdr:row>198</xdr:row>
      <xdr:rowOff>1</xdr:rowOff>
    </xdr:to>
    <xdr:cxnSp macro="">
      <xdr:nvCxnSpPr>
        <xdr:cNvPr id="14" name="OpenSolver13">
          <a:extLst>
            <a:ext uri="{FF2B5EF4-FFF2-40B4-BE49-F238E27FC236}">
              <a16:creationId xmlns:a16="http://schemas.microsoft.com/office/drawing/2014/main" id="{C00CD0AA-452E-463B-9D84-BC305CA3247A}"/>
            </a:ext>
          </a:extLst>
        </xdr:cNvPr>
        <xdr:cNvCxnSpPr>
          <a:stCxn id="12" idx="3"/>
          <a:endCxn id="13" idx="1"/>
        </xdr:cNvCxnSpPr>
      </xdr:nvCxnSpPr>
      <xdr:spPr>
        <a:xfrm>
          <a:off x="4922520" y="37155121"/>
          <a:ext cx="609600" cy="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197</xdr:row>
      <xdr:rowOff>71121</xdr:rowOff>
    </xdr:from>
    <xdr:to>
      <xdr:col>8</xdr:col>
      <xdr:colOff>495300</xdr:colOff>
      <xdr:row>198</xdr:row>
      <xdr:rowOff>127001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28261310-4E8C-4830-9395-BE9AD712C68A}"/>
            </a:ext>
          </a:extLst>
        </xdr:cNvPr>
        <xdr:cNvSpPr/>
      </xdr:nvSpPr>
      <xdr:spPr>
        <a:xfrm>
          <a:off x="5036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12</xdr:col>
      <xdr:colOff>0</xdr:colOff>
      <xdr:row>148</xdr:row>
      <xdr:rowOff>1</xdr:rowOff>
    </xdr:from>
    <xdr:to>
      <xdr:col>13</xdr:col>
      <xdr:colOff>0</xdr:colOff>
      <xdr:row>248</xdr:row>
      <xdr:rowOff>1</xdr:rowOff>
    </xdr:to>
    <xdr:sp macro="" textlink="">
      <xdr:nvSpPr>
        <xdr:cNvPr id="16" name="OpenSolver15">
          <a:extLst>
            <a:ext uri="{FF2B5EF4-FFF2-40B4-BE49-F238E27FC236}">
              <a16:creationId xmlns:a16="http://schemas.microsoft.com/office/drawing/2014/main" id="{DFC7C542-6923-433A-A50D-B19B9CF1B82A}"/>
            </a:ext>
          </a:extLst>
        </xdr:cNvPr>
        <xdr:cNvSpPr/>
      </xdr:nvSpPr>
      <xdr:spPr>
        <a:xfrm>
          <a:off x="73609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14</xdr:col>
      <xdr:colOff>0</xdr:colOff>
      <xdr:row>148</xdr:row>
      <xdr:rowOff>1</xdr:rowOff>
    </xdr:from>
    <xdr:to>
      <xdr:col>15</xdr:col>
      <xdr:colOff>0</xdr:colOff>
      <xdr:row>248</xdr:row>
      <xdr:rowOff>1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F00ED8B6-CA14-43F0-B837-40F3F9487633}"/>
            </a:ext>
          </a:extLst>
        </xdr:cNvPr>
        <xdr:cNvSpPr/>
      </xdr:nvSpPr>
      <xdr:spPr>
        <a:xfrm>
          <a:off x="8580120" y="27249121"/>
          <a:ext cx="609600" cy="19812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9900CC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198</xdr:row>
      <xdr:rowOff>1</xdr:rowOff>
    </xdr:from>
    <xdr:to>
      <xdr:col>14</xdr:col>
      <xdr:colOff>0</xdr:colOff>
      <xdr:row>198</xdr:row>
      <xdr:rowOff>1</xdr:rowOff>
    </xdr:to>
    <xdr:cxnSp macro="">
      <xdr:nvCxnSpPr>
        <xdr:cNvPr id="18" name="OpenSolver17">
          <a:extLst>
            <a:ext uri="{FF2B5EF4-FFF2-40B4-BE49-F238E27FC236}">
              <a16:creationId xmlns:a16="http://schemas.microsoft.com/office/drawing/2014/main" id="{99EC3A1B-A4CB-4401-837C-9CC860701C8A}"/>
            </a:ext>
          </a:extLst>
        </xdr:cNvPr>
        <xdr:cNvCxnSpPr>
          <a:stCxn id="16" idx="3"/>
          <a:endCxn id="17" idx="1"/>
        </xdr:cNvCxnSpPr>
      </xdr:nvCxnSpPr>
      <xdr:spPr>
        <a:xfrm>
          <a:off x="7970520" y="37155121"/>
          <a:ext cx="6096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197</xdr:row>
      <xdr:rowOff>71121</xdr:rowOff>
    </xdr:from>
    <xdr:to>
      <xdr:col>13</xdr:col>
      <xdr:colOff>495300</xdr:colOff>
      <xdr:row>198</xdr:row>
      <xdr:rowOff>127001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04B46402-A8A2-4D72-BECC-6CAC6144347C}"/>
            </a:ext>
          </a:extLst>
        </xdr:cNvPr>
        <xdr:cNvSpPr/>
      </xdr:nvSpPr>
      <xdr:spPr>
        <a:xfrm>
          <a:off x="8084820" y="370281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17</xdr:col>
      <xdr:colOff>0</xdr:colOff>
      <xdr:row>148</xdr:row>
      <xdr:rowOff>1</xdr:rowOff>
    </xdr:from>
    <xdr:to>
      <xdr:col>18</xdr:col>
      <xdr:colOff>0</xdr:colOff>
      <xdr:row>153</xdr:row>
      <xdr:rowOff>1</xdr:rowOff>
    </xdr:to>
    <xdr:sp macro="" textlink="">
      <xdr:nvSpPr>
        <xdr:cNvPr id="20" name="OpenSolver19">
          <a:extLst>
            <a:ext uri="{FF2B5EF4-FFF2-40B4-BE49-F238E27FC236}">
              <a16:creationId xmlns:a16="http://schemas.microsoft.com/office/drawing/2014/main" id="{B83C9AFF-6DF2-4262-A742-0A6C52C11528}"/>
            </a:ext>
          </a:extLst>
        </xdr:cNvPr>
        <xdr:cNvSpPr/>
      </xdr:nvSpPr>
      <xdr:spPr>
        <a:xfrm>
          <a:off x="104089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19</xdr:col>
      <xdr:colOff>0</xdr:colOff>
      <xdr:row>148</xdr:row>
      <xdr:rowOff>1</xdr:rowOff>
    </xdr:from>
    <xdr:to>
      <xdr:col>20</xdr:col>
      <xdr:colOff>0</xdr:colOff>
      <xdr:row>153</xdr:row>
      <xdr:rowOff>1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40EB57F4-ECCA-4227-86F0-37BBFF8AF000}"/>
            </a:ext>
          </a:extLst>
        </xdr:cNvPr>
        <xdr:cNvSpPr/>
      </xdr:nvSpPr>
      <xdr:spPr>
        <a:xfrm>
          <a:off x="11628120" y="27249121"/>
          <a:ext cx="609600" cy="9906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800000"/>
              </a:solidFill>
            </a:rPr>
            <a:t>≤</a:t>
          </a:r>
        </a:p>
      </xdr:txBody>
    </xdr:sp>
    <xdr:clientData/>
  </xdr:twoCellAnchor>
  <xdr:twoCellAnchor>
    <xdr:from>
      <xdr:col>18</xdr:col>
      <xdr:colOff>0</xdr:colOff>
      <xdr:row>150</xdr:row>
      <xdr:rowOff>99061</xdr:rowOff>
    </xdr:from>
    <xdr:to>
      <xdr:col>19</xdr:col>
      <xdr:colOff>0</xdr:colOff>
      <xdr:row>150</xdr:row>
      <xdr:rowOff>99061</xdr:rowOff>
    </xdr:to>
    <xdr:cxnSp macro="">
      <xdr:nvCxnSpPr>
        <xdr:cNvPr id="22" name="OpenSolver21">
          <a:extLst>
            <a:ext uri="{FF2B5EF4-FFF2-40B4-BE49-F238E27FC236}">
              <a16:creationId xmlns:a16="http://schemas.microsoft.com/office/drawing/2014/main" id="{E9360F94-2D76-46AD-A015-C5B66430DD40}"/>
            </a:ext>
          </a:extLst>
        </xdr:cNvPr>
        <xdr:cNvCxnSpPr>
          <a:stCxn id="20" idx="3"/>
          <a:endCxn id="21" idx="1"/>
        </xdr:cNvCxnSpPr>
      </xdr:nvCxnSpPr>
      <xdr:spPr>
        <a:xfrm>
          <a:off x="11018520" y="27744421"/>
          <a:ext cx="6096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149</xdr:row>
      <xdr:rowOff>170181</xdr:rowOff>
    </xdr:from>
    <xdr:to>
      <xdr:col>18</xdr:col>
      <xdr:colOff>495300</xdr:colOff>
      <xdr:row>151</xdr:row>
      <xdr:rowOff>27941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97FB9076-B909-4A00-8183-20BBBA8436E9}"/>
            </a:ext>
          </a:extLst>
        </xdr:cNvPr>
        <xdr:cNvSpPr/>
      </xdr:nvSpPr>
      <xdr:spPr>
        <a:xfrm>
          <a:off x="11132820" y="27617421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22</xdr:col>
      <xdr:colOff>0</xdr:colOff>
      <xdr:row>148</xdr:row>
      <xdr:rowOff>1</xdr:rowOff>
    </xdr:from>
    <xdr:to>
      <xdr:col>23</xdr:col>
      <xdr:colOff>0</xdr:colOff>
      <xdr:row>161</xdr:row>
      <xdr:rowOff>2</xdr:rowOff>
    </xdr:to>
    <xdr:sp macro="" textlink="">
      <xdr:nvSpPr>
        <xdr:cNvPr id="24" name="OpenSolver23">
          <a:extLst>
            <a:ext uri="{FF2B5EF4-FFF2-40B4-BE49-F238E27FC236}">
              <a16:creationId xmlns:a16="http://schemas.microsoft.com/office/drawing/2014/main" id="{FCFF0985-BD96-4D91-B992-F390299EB7AC}"/>
            </a:ext>
          </a:extLst>
        </xdr:cNvPr>
        <xdr:cNvSpPr/>
      </xdr:nvSpPr>
      <xdr:spPr>
        <a:xfrm>
          <a:off x="134569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24</xdr:col>
      <xdr:colOff>0</xdr:colOff>
      <xdr:row>148</xdr:row>
      <xdr:rowOff>1</xdr:rowOff>
    </xdr:from>
    <xdr:to>
      <xdr:col>25</xdr:col>
      <xdr:colOff>0</xdr:colOff>
      <xdr:row>161</xdr:row>
      <xdr:rowOff>2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D113BF47-6841-42F2-AD61-7D9A11B0C587}"/>
            </a:ext>
          </a:extLst>
        </xdr:cNvPr>
        <xdr:cNvSpPr/>
      </xdr:nvSpPr>
      <xdr:spPr>
        <a:xfrm>
          <a:off x="14676120" y="27249121"/>
          <a:ext cx="609600" cy="2575561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00CC33"/>
              </a:solidFill>
            </a:rPr>
            <a:t>=</a:t>
          </a:r>
        </a:p>
      </xdr:txBody>
    </xdr:sp>
    <xdr:clientData/>
  </xdr:twoCellAnchor>
  <xdr:twoCellAnchor>
    <xdr:from>
      <xdr:col>23</xdr:col>
      <xdr:colOff>0</xdr:colOff>
      <xdr:row>154</xdr:row>
      <xdr:rowOff>99062</xdr:rowOff>
    </xdr:from>
    <xdr:to>
      <xdr:col>24</xdr:col>
      <xdr:colOff>0</xdr:colOff>
      <xdr:row>154</xdr:row>
      <xdr:rowOff>99062</xdr:rowOff>
    </xdr:to>
    <xdr:cxnSp macro="">
      <xdr:nvCxnSpPr>
        <xdr:cNvPr id="26" name="OpenSolver25">
          <a:extLst>
            <a:ext uri="{FF2B5EF4-FFF2-40B4-BE49-F238E27FC236}">
              <a16:creationId xmlns:a16="http://schemas.microsoft.com/office/drawing/2014/main" id="{777776CA-7FDE-4ED8-84BC-30F65E6D813E}"/>
            </a:ext>
          </a:extLst>
        </xdr:cNvPr>
        <xdr:cNvCxnSpPr>
          <a:stCxn id="24" idx="3"/>
          <a:endCxn id="25" idx="1"/>
        </xdr:cNvCxnSpPr>
      </xdr:nvCxnSpPr>
      <xdr:spPr>
        <a:xfrm>
          <a:off x="14066520" y="28536902"/>
          <a:ext cx="60960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114300</xdr:colOff>
      <xdr:row>153</xdr:row>
      <xdr:rowOff>170183</xdr:rowOff>
    </xdr:from>
    <xdr:to>
      <xdr:col>23</xdr:col>
      <xdr:colOff>495300</xdr:colOff>
      <xdr:row>155</xdr:row>
      <xdr:rowOff>27943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0A7DE47D-50B2-4C3C-8F0F-9729771EEC7A}"/>
            </a:ext>
          </a:extLst>
        </xdr:cNvPr>
        <xdr:cNvSpPr/>
      </xdr:nvSpPr>
      <xdr:spPr>
        <a:xfrm>
          <a:off x="14180820" y="28409903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27</xdr:col>
      <xdr:colOff>0</xdr:colOff>
      <xdr:row>148</xdr:row>
      <xdr:rowOff>1</xdr:rowOff>
    </xdr:from>
    <xdr:to>
      <xdr:col>32</xdr:col>
      <xdr:colOff>0</xdr:colOff>
      <xdr:row>160</xdr:row>
      <xdr:rowOff>1</xdr:rowOff>
    </xdr:to>
    <xdr:sp macro="" textlink="">
      <xdr:nvSpPr>
        <xdr:cNvPr id="28" name="OpenSolver27">
          <a:extLst>
            <a:ext uri="{FF2B5EF4-FFF2-40B4-BE49-F238E27FC236}">
              <a16:creationId xmlns:a16="http://schemas.microsoft.com/office/drawing/2014/main" id="{2E82CEC0-479B-417C-8691-E78C772709ED}"/>
            </a:ext>
          </a:extLst>
        </xdr:cNvPr>
        <xdr:cNvSpPr/>
      </xdr:nvSpPr>
      <xdr:spPr>
        <a:xfrm>
          <a:off x="16504920" y="27249121"/>
          <a:ext cx="30480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tr-TR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33</xdr:col>
      <xdr:colOff>0</xdr:colOff>
      <xdr:row>148</xdr:row>
      <xdr:rowOff>1</xdr:rowOff>
    </xdr:from>
    <xdr:to>
      <xdr:col>38</xdr:col>
      <xdr:colOff>0</xdr:colOff>
      <xdr:row>160</xdr:row>
      <xdr:rowOff>1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E3AD7B2F-02ED-41B5-9729-60911A1AD2A1}"/>
            </a:ext>
          </a:extLst>
        </xdr:cNvPr>
        <xdr:cNvSpPr/>
      </xdr:nvSpPr>
      <xdr:spPr>
        <a:xfrm>
          <a:off x="20162520" y="27249121"/>
          <a:ext cx="3048000" cy="237744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tr-TR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32</xdr:col>
      <xdr:colOff>0</xdr:colOff>
      <xdr:row>154</xdr:row>
      <xdr:rowOff>1</xdr:rowOff>
    </xdr:from>
    <xdr:to>
      <xdr:col>33</xdr:col>
      <xdr:colOff>0</xdr:colOff>
      <xdr:row>154</xdr:row>
      <xdr:rowOff>1</xdr:rowOff>
    </xdr:to>
    <xdr:cxnSp macro="">
      <xdr:nvCxnSpPr>
        <xdr:cNvPr id="30" name="OpenSolver29">
          <a:extLst>
            <a:ext uri="{FF2B5EF4-FFF2-40B4-BE49-F238E27FC236}">
              <a16:creationId xmlns:a16="http://schemas.microsoft.com/office/drawing/2014/main" id="{33D37C9A-9D92-4D69-9747-E467D7E9F722}"/>
            </a:ext>
          </a:extLst>
        </xdr:cNvPr>
        <xdr:cNvCxnSpPr>
          <a:stCxn id="28" idx="3"/>
          <a:endCxn id="29" idx="1"/>
        </xdr:cNvCxnSpPr>
      </xdr:nvCxnSpPr>
      <xdr:spPr>
        <a:xfrm>
          <a:off x="19552920" y="28437841"/>
          <a:ext cx="60960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114300</xdr:colOff>
      <xdr:row>153</xdr:row>
      <xdr:rowOff>71119</xdr:rowOff>
    </xdr:from>
    <xdr:to>
      <xdr:col>32</xdr:col>
      <xdr:colOff>495300</xdr:colOff>
      <xdr:row>154</xdr:row>
      <xdr:rowOff>126999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79F63503-F639-44F0-B263-3453F1843F81}"/>
            </a:ext>
          </a:extLst>
        </xdr:cNvPr>
        <xdr:cNvSpPr/>
      </xdr:nvSpPr>
      <xdr:spPr>
        <a:xfrm>
          <a:off x="19667220" y="28310839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37</xdr:col>
      <xdr:colOff>12700</xdr:colOff>
      <xdr:row>2</xdr:row>
      <xdr:rowOff>12700</xdr:rowOff>
    </xdr:from>
    <xdr:to>
      <xdr:col>42</xdr:col>
      <xdr:colOff>0</xdr:colOff>
      <xdr:row>101</xdr:row>
      <xdr:rowOff>182879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09A6DA74-D7A4-45AC-8D62-8018C0865E19}"/>
            </a:ext>
          </a:extLst>
        </xdr:cNvPr>
        <xdr:cNvSpPr/>
      </xdr:nvSpPr>
      <xdr:spPr>
        <a:xfrm>
          <a:off x="22613620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37</xdr:col>
      <xdr:colOff>5080</xdr:colOff>
      <xdr:row>1</xdr:row>
      <xdr:rowOff>132080</xdr:rowOff>
    </xdr:from>
    <xdr:to>
      <xdr:col>37</xdr:col>
      <xdr:colOff>326322</xdr:colOff>
      <xdr:row>2</xdr:row>
      <xdr:rowOff>60960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62498719-3164-4EF4-96A7-A85BA46732D7}"/>
            </a:ext>
          </a:extLst>
        </xdr:cNvPr>
        <xdr:cNvSpPr/>
      </xdr:nvSpPr>
      <xdr:spPr>
        <a:xfrm>
          <a:off x="226060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44</xdr:col>
      <xdr:colOff>12701</xdr:colOff>
      <xdr:row>2</xdr:row>
      <xdr:rowOff>12700</xdr:rowOff>
    </xdr:from>
    <xdr:to>
      <xdr:col>49</xdr:col>
      <xdr:colOff>1</xdr:colOff>
      <xdr:row>101</xdr:row>
      <xdr:rowOff>182879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84899E80-06A4-40C4-979A-79057F0A41D7}"/>
            </a:ext>
          </a:extLst>
        </xdr:cNvPr>
        <xdr:cNvSpPr/>
      </xdr:nvSpPr>
      <xdr:spPr>
        <a:xfrm>
          <a:off x="268808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44</xdr:col>
      <xdr:colOff>5080</xdr:colOff>
      <xdr:row>1</xdr:row>
      <xdr:rowOff>132080</xdr:rowOff>
    </xdr:from>
    <xdr:to>
      <xdr:col>44</xdr:col>
      <xdr:colOff>326322</xdr:colOff>
      <xdr:row>2</xdr:row>
      <xdr:rowOff>60960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FABED770-0DC8-4CC3-8B4F-C01D6E76B538}"/>
            </a:ext>
          </a:extLst>
        </xdr:cNvPr>
        <xdr:cNvSpPr/>
      </xdr:nvSpPr>
      <xdr:spPr>
        <a:xfrm>
          <a:off x="268732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51</xdr:col>
      <xdr:colOff>12701</xdr:colOff>
      <xdr:row>2</xdr:row>
      <xdr:rowOff>12700</xdr:rowOff>
    </xdr:from>
    <xdr:to>
      <xdr:col>56</xdr:col>
      <xdr:colOff>1</xdr:colOff>
      <xdr:row>101</xdr:row>
      <xdr:rowOff>182879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8406994A-7B0C-45E2-90A2-94ECE2C88129}"/>
            </a:ext>
          </a:extLst>
        </xdr:cNvPr>
        <xdr:cNvSpPr/>
      </xdr:nvSpPr>
      <xdr:spPr>
        <a:xfrm>
          <a:off x="311480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51</xdr:col>
      <xdr:colOff>5080</xdr:colOff>
      <xdr:row>1</xdr:row>
      <xdr:rowOff>132080</xdr:rowOff>
    </xdr:from>
    <xdr:to>
      <xdr:col>51</xdr:col>
      <xdr:colOff>326322</xdr:colOff>
      <xdr:row>2</xdr:row>
      <xdr:rowOff>60960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0DACF670-17F2-402A-9546-12083DB8FDFC}"/>
            </a:ext>
          </a:extLst>
        </xdr:cNvPr>
        <xdr:cNvSpPr/>
      </xdr:nvSpPr>
      <xdr:spPr>
        <a:xfrm>
          <a:off x="311404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  <xdr:twoCellAnchor>
    <xdr:from>
      <xdr:col>58</xdr:col>
      <xdr:colOff>12701</xdr:colOff>
      <xdr:row>2</xdr:row>
      <xdr:rowOff>12700</xdr:rowOff>
    </xdr:from>
    <xdr:to>
      <xdr:col>63</xdr:col>
      <xdr:colOff>1</xdr:colOff>
      <xdr:row>101</xdr:row>
      <xdr:rowOff>182879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8A0C90A0-7788-4BF1-990E-BE7B5FBC13FE}"/>
            </a:ext>
          </a:extLst>
        </xdr:cNvPr>
        <xdr:cNvSpPr/>
      </xdr:nvSpPr>
      <xdr:spPr>
        <a:xfrm>
          <a:off x="35415221" y="408940"/>
          <a:ext cx="3035300" cy="18275299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t"/>
        <a:lstStyle/>
        <a:p>
          <a:pPr algn="l"/>
          <a:endParaRPr lang="tr-TR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58</xdr:col>
      <xdr:colOff>5080</xdr:colOff>
      <xdr:row>1</xdr:row>
      <xdr:rowOff>132080</xdr:rowOff>
    </xdr:from>
    <xdr:to>
      <xdr:col>58</xdr:col>
      <xdr:colOff>326322</xdr:colOff>
      <xdr:row>2</xdr:row>
      <xdr:rowOff>60960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C892DD4E-FFAA-477C-9D9D-01FA85D509F1}"/>
            </a:ext>
          </a:extLst>
        </xdr:cNvPr>
        <xdr:cNvSpPr/>
      </xdr:nvSpPr>
      <xdr:spPr>
        <a:xfrm>
          <a:off x="35407600" y="330200"/>
          <a:ext cx="321242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tr-TR" sz="900">
              <a:solidFill>
                <a:srgbClr val="000000"/>
              </a:solidFill>
            </a:rPr>
            <a:t>binary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246B8-AC4F-40AE-8F3F-2114307F21F7}">
  <dimension ref="A1:CG251"/>
  <sheetViews>
    <sheetView tabSelected="1" topLeftCell="R88" zoomScale="63" zoomScaleNormal="63" workbookViewId="0">
      <selection activeCell="CB2" sqref="CB2"/>
    </sheetView>
  </sheetViews>
  <sheetFormatPr defaultRowHeight="14.4" x14ac:dyDescent="0.3"/>
  <cols>
    <col min="5" max="5" width="9.5546875" bestFit="1" customWidth="1"/>
    <col min="34" max="34" width="21.109375" bestFit="1" customWidth="1"/>
  </cols>
  <sheetData>
    <row r="1" spans="1:85" ht="15.6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 t="s">
        <v>35</v>
      </c>
      <c r="W1" s="9"/>
      <c r="X1" s="9"/>
      <c r="Y1" s="9"/>
      <c r="Z1" s="9"/>
      <c r="AA1" s="9"/>
      <c r="AB1" s="11"/>
      <c r="AG1" t="s">
        <v>1</v>
      </c>
      <c r="AI1" s="8" t="s">
        <v>36</v>
      </c>
      <c r="AJ1" s="9"/>
      <c r="AK1" s="10" t="s">
        <v>38</v>
      </c>
      <c r="AL1" s="9"/>
      <c r="AM1" s="9"/>
      <c r="AN1" s="9"/>
      <c r="AO1" s="9"/>
      <c r="AP1" s="9"/>
      <c r="AQ1" s="9"/>
      <c r="AR1" s="10" t="s">
        <v>41</v>
      </c>
      <c r="AS1" s="9"/>
      <c r="AT1" s="9"/>
      <c r="AU1" s="9"/>
      <c r="AV1" s="9"/>
      <c r="AW1" s="9"/>
      <c r="AX1" s="9"/>
      <c r="AY1" s="10" t="s">
        <v>40</v>
      </c>
      <c r="AZ1" s="9"/>
      <c r="BA1" s="9"/>
      <c r="BB1" s="9"/>
      <c r="BC1" s="9"/>
      <c r="BD1" s="9"/>
      <c r="BE1" s="9"/>
      <c r="BF1" s="10" t="s">
        <v>39</v>
      </c>
      <c r="BG1" s="9"/>
      <c r="BH1" s="9"/>
      <c r="BI1" s="9"/>
      <c r="BJ1" s="9"/>
      <c r="BK1" s="11"/>
      <c r="BM1" s="8" t="s">
        <v>43</v>
      </c>
      <c r="BN1" s="10" t="s">
        <v>42</v>
      </c>
      <c r="BO1" s="9"/>
      <c r="BP1" s="9"/>
      <c r="BQ1" s="9"/>
      <c r="BR1" s="9"/>
      <c r="BS1" s="9"/>
      <c r="BT1" s="9"/>
      <c r="BU1" s="10" t="s">
        <v>60</v>
      </c>
      <c r="BV1" s="9"/>
      <c r="BW1" s="9"/>
      <c r="BX1" s="9"/>
      <c r="BY1" s="9"/>
      <c r="BZ1" s="37"/>
      <c r="CA1" s="9"/>
      <c r="CB1" s="10" t="s">
        <v>61</v>
      </c>
      <c r="CC1" s="9"/>
      <c r="CD1" s="9"/>
      <c r="CE1" s="9"/>
      <c r="CF1" s="9"/>
      <c r="CG1" s="11"/>
    </row>
    <row r="2" spans="1:85" ht="15.6" x14ac:dyDescent="0.3">
      <c r="A2" s="12"/>
      <c r="B2" s="3" t="s">
        <v>2</v>
      </c>
      <c r="C2" s="3"/>
      <c r="D2" s="3" t="s">
        <v>3</v>
      </c>
      <c r="E2" s="3"/>
      <c r="F2" s="3"/>
      <c r="G2" s="3" t="s">
        <v>4</v>
      </c>
      <c r="H2" s="3"/>
      <c r="I2" s="3"/>
      <c r="J2" s="2" t="s">
        <v>5</v>
      </c>
      <c r="K2" s="3"/>
      <c r="L2" s="3"/>
      <c r="M2" s="3" t="s">
        <v>13</v>
      </c>
      <c r="N2" s="3"/>
      <c r="O2" s="3"/>
      <c r="P2" s="3" t="s">
        <v>6</v>
      </c>
      <c r="Q2" s="3"/>
      <c r="R2" s="3"/>
      <c r="S2" s="3" t="s">
        <v>7</v>
      </c>
      <c r="T2" s="3"/>
      <c r="U2" s="3"/>
      <c r="V2" s="5" t="s">
        <v>34</v>
      </c>
      <c r="W2" s="1">
        <v>1</v>
      </c>
      <c r="X2" s="1">
        <v>2</v>
      </c>
      <c r="Y2" s="1">
        <v>3</v>
      </c>
      <c r="Z2" s="1">
        <v>4</v>
      </c>
      <c r="AA2" s="1">
        <v>5</v>
      </c>
      <c r="AB2" s="13"/>
      <c r="AI2" s="12" t="s">
        <v>37</v>
      </c>
      <c r="AJ2" s="3"/>
      <c r="AK2" s="5" t="s">
        <v>34</v>
      </c>
      <c r="AL2" s="1">
        <v>1</v>
      </c>
      <c r="AM2" s="1">
        <v>2</v>
      </c>
      <c r="AN2" s="1">
        <v>3</v>
      </c>
      <c r="AO2" s="1">
        <v>4</v>
      </c>
      <c r="AP2" s="1">
        <v>5</v>
      </c>
      <c r="AQ2" s="3"/>
      <c r="AR2" s="5" t="s">
        <v>34</v>
      </c>
      <c r="AS2" s="1">
        <v>1</v>
      </c>
      <c r="AT2" s="1">
        <v>2</v>
      </c>
      <c r="AU2" s="1">
        <v>3</v>
      </c>
      <c r="AV2" s="1">
        <v>4</v>
      </c>
      <c r="AW2" s="1">
        <v>5</v>
      </c>
      <c r="AX2" s="3"/>
      <c r="AY2" s="5" t="s">
        <v>34</v>
      </c>
      <c r="AZ2" s="1">
        <v>1</v>
      </c>
      <c r="BA2" s="1">
        <v>2</v>
      </c>
      <c r="BB2" s="1">
        <v>3</v>
      </c>
      <c r="BC2" s="1">
        <v>4</v>
      </c>
      <c r="BD2" s="1">
        <v>5</v>
      </c>
      <c r="BE2" s="3"/>
      <c r="BF2" s="5" t="s">
        <v>34</v>
      </c>
      <c r="BG2" s="1">
        <v>1</v>
      </c>
      <c r="BH2" s="1">
        <v>2</v>
      </c>
      <c r="BI2" s="1">
        <v>3</v>
      </c>
      <c r="BJ2" s="1">
        <v>4</v>
      </c>
      <c r="BK2" s="22">
        <v>5</v>
      </c>
      <c r="BM2" s="12"/>
      <c r="BN2" s="5" t="s">
        <v>34</v>
      </c>
      <c r="BO2" s="1">
        <v>1</v>
      </c>
      <c r="BP2" s="1">
        <v>2</v>
      </c>
      <c r="BQ2" s="1">
        <v>3</v>
      </c>
      <c r="BR2" s="1">
        <v>4</v>
      </c>
      <c r="BS2" s="1">
        <v>5</v>
      </c>
      <c r="BT2" s="3"/>
      <c r="BU2" s="5" t="s">
        <v>34</v>
      </c>
      <c r="BV2" s="1">
        <v>1</v>
      </c>
      <c r="BW2" s="1">
        <v>2</v>
      </c>
      <c r="BX2" s="1">
        <v>3</v>
      </c>
      <c r="BY2" s="1">
        <v>4</v>
      </c>
      <c r="BZ2" s="22">
        <v>5</v>
      </c>
      <c r="CA2" s="3"/>
      <c r="CB2" s="5" t="s">
        <v>34</v>
      </c>
      <c r="CC2" s="1">
        <v>1</v>
      </c>
      <c r="CD2" s="1">
        <v>2</v>
      </c>
      <c r="CE2" s="1">
        <v>3</v>
      </c>
      <c r="CF2" s="1">
        <v>4</v>
      </c>
      <c r="CG2" s="22">
        <v>5</v>
      </c>
    </row>
    <row r="3" spans="1:85" x14ac:dyDescent="0.3">
      <c r="A3" s="14">
        <v>1</v>
      </c>
      <c r="B3" s="15">
        <v>15</v>
      </c>
      <c r="C3" s="16"/>
      <c r="D3" s="1">
        <v>1</v>
      </c>
      <c r="E3" s="15">
        <v>10</v>
      </c>
      <c r="F3" s="16"/>
      <c r="G3" s="1">
        <v>1</v>
      </c>
      <c r="H3" s="15">
        <v>3</v>
      </c>
      <c r="I3" s="16"/>
      <c r="J3" s="1">
        <v>1</v>
      </c>
      <c r="K3" s="15">
        <v>4</v>
      </c>
      <c r="L3" s="15"/>
      <c r="M3" s="1">
        <v>1</v>
      </c>
      <c r="N3" s="17">
        <v>0.5</v>
      </c>
      <c r="O3" s="17"/>
      <c r="P3" s="1">
        <v>1</v>
      </c>
      <c r="Q3" s="15">
        <v>2</v>
      </c>
      <c r="R3" s="15"/>
      <c r="S3" s="1">
        <v>1</v>
      </c>
      <c r="T3" s="15">
        <v>18</v>
      </c>
      <c r="U3" s="3"/>
      <c r="V3" s="1">
        <v>1</v>
      </c>
      <c r="W3" s="7">
        <f>$E$134/$H3-MOD($E$134/$H3,1)</f>
        <v>11</v>
      </c>
      <c r="X3" s="7">
        <f>$E$135/$H3-MOD($E$135/$H3,1)</f>
        <v>10</v>
      </c>
      <c r="Y3" s="7">
        <f>$E$136/$H3-MOD($E$136/$H3,1)</f>
        <v>8</v>
      </c>
      <c r="Z3" s="7">
        <f>$E$137/$H3-MOD($E$137/$H3,1)</f>
        <v>9</v>
      </c>
      <c r="AA3" s="7">
        <f>$E$138/$H3-MOD($E$138/$H3,1)</f>
        <v>9</v>
      </c>
      <c r="AB3" s="13"/>
      <c r="AG3" s="1"/>
      <c r="AI3" s="12"/>
      <c r="AJ3" s="3"/>
      <c r="AK3" s="1">
        <v>1</v>
      </c>
      <c r="AL3" s="7">
        <v>0</v>
      </c>
      <c r="AM3" s="7">
        <v>0</v>
      </c>
      <c r="AN3" s="7">
        <v>0</v>
      </c>
      <c r="AO3" s="7">
        <v>0</v>
      </c>
      <c r="AP3" s="7">
        <v>1</v>
      </c>
      <c r="AQ3" s="3"/>
      <c r="AR3" s="1">
        <v>1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3"/>
      <c r="AY3" s="1">
        <v>1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3"/>
      <c r="BF3" s="1">
        <v>1</v>
      </c>
      <c r="BG3" s="7">
        <v>0</v>
      </c>
      <c r="BH3" s="7">
        <v>0</v>
      </c>
      <c r="BI3" s="7">
        <v>0</v>
      </c>
      <c r="BJ3" s="7">
        <v>0</v>
      </c>
      <c r="BK3" s="23">
        <v>0</v>
      </c>
      <c r="BM3" s="12"/>
      <c r="BN3" s="1">
        <v>1</v>
      </c>
      <c r="BO3" s="7">
        <f>AL3+AS3+AZ3+BG3</f>
        <v>0</v>
      </c>
      <c r="BP3" s="7">
        <f>AM3+AT3+BA3+BH3</f>
        <v>0</v>
      </c>
      <c r="BQ3" s="7">
        <f>AN3+AU3+BB3+BI3</f>
        <v>0</v>
      </c>
      <c r="BR3" s="7">
        <f>AO3+AV3+BC3+BJ3</f>
        <v>0</v>
      </c>
      <c r="BS3" s="7">
        <f>AP3+AW3+BD3+BK3</f>
        <v>1</v>
      </c>
      <c r="BT3" s="3"/>
      <c r="BU3" s="1">
        <v>1</v>
      </c>
      <c r="BV3" s="7">
        <f>AL3+AS3*2+AZ3*3+BG3*4</f>
        <v>0</v>
      </c>
      <c r="BW3" s="7">
        <f>AM3+AT3*2+BA3*3+BH3*4</f>
        <v>0</v>
      </c>
      <c r="BX3" s="7">
        <f>AN3+AU3*2+BB3*3+BI3*4</f>
        <v>0</v>
      </c>
      <c r="BY3" s="7">
        <f>AO3+AV3*2+BC3*3+BJ3*4</f>
        <v>0</v>
      </c>
      <c r="BZ3" s="7">
        <f>AP3+AW3*2+BD3*3+BK3*4</f>
        <v>1</v>
      </c>
      <c r="CA3" s="3"/>
      <c r="CB3" s="1">
        <v>1</v>
      </c>
      <c r="CC3" s="1">
        <f>AL3+AS3*POWER(2,$N3)+AZ3*POWER(3,$N3)+BG3*POWER(4,$N3)</f>
        <v>0</v>
      </c>
      <c r="CD3" s="1">
        <f>AM3+AT3*POWER(2,$N3)+BA3*POWER(3,$N3)+BH3*POWER(4,$N3)</f>
        <v>0</v>
      </c>
      <c r="CE3" s="1">
        <f>AN3+AU3*POWER(2,$N3)+BB3*POWER(3,$N3)+BI3*POWER(4,$N3)</f>
        <v>0</v>
      </c>
      <c r="CF3" s="1">
        <f>AO3+AV3*POWER(2,$N3)+BC3*POWER(3,$N3)+BJ3*POWER(4,$N3)</f>
        <v>0</v>
      </c>
      <c r="CG3" s="22">
        <f>AP3+AW3*POWER(2,$N3)+BD3*POWER(3,$N3)+BK3*POWER(4,$N3)</f>
        <v>1</v>
      </c>
    </row>
    <row r="4" spans="1:85" x14ac:dyDescent="0.3">
      <c r="A4" s="14">
        <v>2</v>
      </c>
      <c r="B4" s="15">
        <v>8</v>
      </c>
      <c r="C4" s="16"/>
      <c r="D4" s="1">
        <v>2</v>
      </c>
      <c r="E4" s="15">
        <v>9</v>
      </c>
      <c r="F4" s="16"/>
      <c r="G4" s="1">
        <v>2</v>
      </c>
      <c r="H4" s="15">
        <v>8</v>
      </c>
      <c r="I4" s="16"/>
      <c r="J4" s="1">
        <v>2</v>
      </c>
      <c r="K4" s="15">
        <v>10</v>
      </c>
      <c r="L4" s="15"/>
      <c r="M4" s="1">
        <v>2</v>
      </c>
      <c r="N4" s="17">
        <v>0.2</v>
      </c>
      <c r="O4" s="17"/>
      <c r="P4" s="1">
        <v>2</v>
      </c>
      <c r="Q4" s="15">
        <v>2</v>
      </c>
      <c r="R4" s="15"/>
      <c r="S4" s="1">
        <v>2</v>
      </c>
      <c r="T4" s="15">
        <v>23</v>
      </c>
      <c r="U4" s="3"/>
      <c r="V4" s="1">
        <v>2</v>
      </c>
      <c r="W4" s="7">
        <f t="shared" ref="W4:W67" si="0">$E$134/$H4-MOD($E$134/$H4,1)</f>
        <v>4</v>
      </c>
      <c r="X4" s="7">
        <f t="shared" ref="X4:X67" si="1">$E$135/$H4-MOD($E$135/$H4,1)</f>
        <v>3</v>
      </c>
      <c r="Y4" s="7">
        <f t="shared" ref="Y4:Y67" si="2">$E$136/$H4-MOD($E$136/$H4,1)</f>
        <v>3</v>
      </c>
      <c r="Z4" s="7">
        <f t="shared" ref="Z4:Z67" si="3">$E$137/$H4-MOD($E$137/$H4,1)</f>
        <v>3</v>
      </c>
      <c r="AA4" s="7">
        <f t="shared" ref="AA4:AA67" si="4">$E$138/$H4-MOD($E$138/$H4,1)</f>
        <v>3</v>
      </c>
      <c r="AB4" s="13"/>
      <c r="AG4" s="1"/>
      <c r="AI4" s="12"/>
      <c r="AJ4" s="3"/>
      <c r="AK4" s="1">
        <v>2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3"/>
      <c r="AR4" s="1">
        <v>2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3"/>
      <c r="AY4" s="1">
        <v>2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3"/>
      <c r="BF4" s="1">
        <v>2</v>
      </c>
      <c r="BG4" s="7">
        <v>0</v>
      </c>
      <c r="BH4" s="7">
        <v>0</v>
      </c>
      <c r="BI4" s="7">
        <v>0</v>
      </c>
      <c r="BJ4" s="7">
        <v>0</v>
      </c>
      <c r="BK4" s="23">
        <v>0</v>
      </c>
      <c r="BM4" s="12"/>
      <c r="BN4" s="1">
        <v>2</v>
      </c>
      <c r="BO4" s="7">
        <f t="shared" ref="BO4:BO67" si="5">AL4+AS4+AZ4+BG4</f>
        <v>0</v>
      </c>
      <c r="BP4" s="7">
        <f t="shared" ref="BP4:BP67" si="6">AM4+AT4+BA4+BH4</f>
        <v>0</v>
      </c>
      <c r="BQ4" s="7">
        <f t="shared" ref="BQ4:BQ67" si="7">AN4+AU4+BB4+BI4</f>
        <v>0</v>
      </c>
      <c r="BR4" s="7">
        <f t="shared" ref="BR4:BR67" si="8">AO4+AV4+BC4+BJ4</f>
        <v>0</v>
      </c>
      <c r="BS4" s="7">
        <f t="shared" ref="BS4:BS67" si="9">AP4+AW4+BD4+BK4</f>
        <v>0</v>
      </c>
      <c r="BT4" s="3"/>
      <c r="BU4" s="1">
        <v>2</v>
      </c>
      <c r="BV4" s="7">
        <f t="shared" ref="BV4:BV67" si="10">AL4+AS4*2+AZ4*3+BG4*4</f>
        <v>0</v>
      </c>
      <c r="BW4" s="7">
        <f t="shared" ref="BW4:BW67" si="11">AM4+AT4*2+BA4*3+BH4*4</f>
        <v>0</v>
      </c>
      <c r="BX4" s="7">
        <f t="shared" ref="BX4:BX67" si="12">AN4+AU4*2+BB4*3+BI4*4</f>
        <v>0</v>
      </c>
      <c r="BY4" s="7">
        <f t="shared" ref="BY4:BY67" si="13">AO4+AV4*2+BC4*3+BJ4*4</f>
        <v>0</v>
      </c>
      <c r="BZ4" s="7">
        <f t="shared" ref="BZ4:BZ67" si="14">AP4+AW4*2+BD4*3+BK4*4</f>
        <v>0</v>
      </c>
      <c r="CA4" s="3"/>
      <c r="CB4" s="1">
        <v>2</v>
      </c>
      <c r="CC4" s="1">
        <f t="shared" ref="CC4:CC67" si="15">AL4+AS4*POWER(2,$N4)+AZ4*POWER(3,$N4)+BG4*POWER(4,$N4)</f>
        <v>0</v>
      </c>
      <c r="CD4" s="1">
        <f t="shared" ref="CD4:CD67" si="16">AM4+AT4*POWER(2,$N4)+BA4*POWER(3,$N4)+BH4*POWER(4,$N4)</f>
        <v>0</v>
      </c>
      <c r="CE4" s="1">
        <f t="shared" ref="CE4:CE67" si="17">AN4+AU4*POWER(2,$N4)+BB4*POWER(3,$N4)+BI4*POWER(4,$N4)</f>
        <v>0</v>
      </c>
      <c r="CF4" s="1">
        <f t="shared" ref="CF4:CF67" si="18">AO4+AV4*POWER(2,$N4)+BC4*POWER(3,$N4)+BJ4*POWER(4,$N4)</f>
        <v>0</v>
      </c>
      <c r="CG4" s="22">
        <f t="shared" ref="CG4:CG67" si="19">AP4+AW4*POWER(2,$N4)+BD4*POWER(3,$N4)+BK4*POWER(4,$N4)</f>
        <v>0</v>
      </c>
    </row>
    <row r="5" spans="1:85" x14ac:dyDescent="0.3">
      <c r="A5" s="14">
        <v>3</v>
      </c>
      <c r="B5" s="15">
        <v>12</v>
      </c>
      <c r="C5" s="16"/>
      <c r="D5" s="1">
        <v>3</v>
      </c>
      <c r="E5" s="15">
        <v>5</v>
      </c>
      <c r="F5" s="16"/>
      <c r="G5" s="1">
        <v>3</v>
      </c>
      <c r="H5" s="15">
        <v>5</v>
      </c>
      <c r="I5" s="16"/>
      <c r="J5" s="1">
        <v>3</v>
      </c>
      <c r="K5" s="15">
        <v>10</v>
      </c>
      <c r="L5" s="15"/>
      <c r="M5" s="1">
        <v>3</v>
      </c>
      <c r="N5" s="17">
        <v>0.3</v>
      </c>
      <c r="O5" s="17"/>
      <c r="P5" s="1">
        <v>3</v>
      </c>
      <c r="Q5" s="15">
        <v>3</v>
      </c>
      <c r="R5" s="15"/>
      <c r="S5" s="1">
        <v>3</v>
      </c>
      <c r="T5" s="15">
        <v>18</v>
      </c>
      <c r="U5" s="3"/>
      <c r="V5" s="1">
        <v>3</v>
      </c>
      <c r="W5" s="7">
        <f t="shared" si="0"/>
        <v>6</v>
      </c>
      <c r="X5" s="7">
        <f t="shared" si="1"/>
        <v>6</v>
      </c>
      <c r="Y5" s="7">
        <f t="shared" si="2"/>
        <v>5</v>
      </c>
      <c r="Z5" s="7">
        <f t="shared" si="3"/>
        <v>5</v>
      </c>
      <c r="AA5" s="7">
        <f t="shared" si="4"/>
        <v>5</v>
      </c>
      <c r="AB5" s="13"/>
      <c r="AG5" s="1"/>
      <c r="AI5" s="12"/>
      <c r="AJ5" s="3"/>
      <c r="AK5" s="1">
        <v>3</v>
      </c>
      <c r="AL5" s="7">
        <v>1</v>
      </c>
      <c r="AM5" s="7">
        <v>0</v>
      </c>
      <c r="AN5" s="7">
        <v>0</v>
      </c>
      <c r="AO5" s="7">
        <v>0</v>
      </c>
      <c r="AP5" s="7">
        <v>0</v>
      </c>
      <c r="AQ5" s="3"/>
      <c r="AR5" s="1">
        <v>3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3"/>
      <c r="AY5" s="1">
        <v>3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3"/>
      <c r="BF5" s="1">
        <v>3</v>
      </c>
      <c r="BG5" s="7">
        <v>0</v>
      </c>
      <c r="BH5" s="7">
        <v>0</v>
      </c>
      <c r="BI5" s="7">
        <v>0</v>
      </c>
      <c r="BJ5" s="7">
        <v>0</v>
      </c>
      <c r="BK5" s="23">
        <v>0</v>
      </c>
      <c r="BM5" s="12"/>
      <c r="BN5" s="1">
        <v>3</v>
      </c>
      <c r="BO5" s="7">
        <f t="shared" si="5"/>
        <v>1</v>
      </c>
      <c r="BP5" s="7">
        <f t="shared" si="6"/>
        <v>0</v>
      </c>
      <c r="BQ5" s="7">
        <f t="shared" si="7"/>
        <v>0</v>
      </c>
      <c r="BR5" s="7">
        <f t="shared" si="8"/>
        <v>0</v>
      </c>
      <c r="BS5" s="7">
        <f t="shared" si="9"/>
        <v>0</v>
      </c>
      <c r="BT5" s="3"/>
      <c r="BU5" s="1">
        <v>3</v>
      </c>
      <c r="BV5" s="7">
        <f t="shared" si="10"/>
        <v>1</v>
      </c>
      <c r="BW5" s="7">
        <f t="shared" si="11"/>
        <v>0</v>
      </c>
      <c r="BX5" s="7">
        <f t="shared" si="12"/>
        <v>0</v>
      </c>
      <c r="BY5" s="7">
        <f t="shared" si="13"/>
        <v>0</v>
      </c>
      <c r="BZ5" s="7">
        <f t="shared" si="14"/>
        <v>0</v>
      </c>
      <c r="CA5" s="3"/>
      <c r="CB5" s="1">
        <v>3</v>
      </c>
      <c r="CC5" s="1">
        <f t="shared" si="15"/>
        <v>1</v>
      </c>
      <c r="CD5" s="1">
        <f t="shared" si="16"/>
        <v>0</v>
      </c>
      <c r="CE5" s="1">
        <f t="shared" si="17"/>
        <v>0</v>
      </c>
      <c r="CF5" s="1">
        <f t="shared" si="18"/>
        <v>0</v>
      </c>
      <c r="CG5" s="22">
        <f t="shared" si="19"/>
        <v>0</v>
      </c>
    </row>
    <row r="6" spans="1:85" x14ac:dyDescent="0.3">
      <c r="A6" s="14">
        <v>4</v>
      </c>
      <c r="B6" s="15">
        <v>6</v>
      </c>
      <c r="C6" s="16"/>
      <c r="D6" s="1">
        <v>4</v>
      </c>
      <c r="E6" s="15">
        <v>7</v>
      </c>
      <c r="F6" s="16"/>
      <c r="G6" s="1">
        <v>4</v>
      </c>
      <c r="H6" s="15">
        <v>6</v>
      </c>
      <c r="I6" s="16"/>
      <c r="J6" s="1">
        <v>4</v>
      </c>
      <c r="K6" s="15">
        <v>7</v>
      </c>
      <c r="L6" s="15"/>
      <c r="M6" s="1">
        <v>4</v>
      </c>
      <c r="N6" s="17">
        <v>0.2</v>
      </c>
      <c r="O6" s="17"/>
      <c r="P6" s="1">
        <v>4</v>
      </c>
      <c r="Q6" s="15">
        <v>2</v>
      </c>
      <c r="R6" s="15"/>
      <c r="S6" s="1">
        <v>4</v>
      </c>
      <c r="T6" s="15">
        <v>19</v>
      </c>
      <c r="U6" s="3"/>
      <c r="V6" s="1">
        <v>4</v>
      </c>
      <c r="W6" s="7">
        <f t="shared" si="0"/>
        <v>5</v>
      </c>
      <c r="X6" s="7">
        <f t="shared" si="1"/>
        <v>5</v>
      </c>
      <c r="Y6" s="7">
        <f t="shared" si="2"/>
        <v>4</v>
      </c>
      <c r="Z6" s="7">
        <f t="shared" si="3"/>
        <v>4</v>
      </c>
      <c r="AA6" s="7">
        <f t="shared" si="4"/>
        <v>4</v>
      </c>
      <c r="AB6" s="13"/>
      <c r="AG6" s="1"/>
      <c r="AI6" s="12"/>
      <c r="AJ6" s="3"/>
      <c r="AK6" s="1">
        <v>4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3"/>
      <c r="AR6" s="1">
        <v>4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3"/>
      <c r="AY6" s="1">
        <v>4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3"/>
      <c r="BF6" s="1">
        <v>4</v>
      </c>
      <c r="BG6" s="7">
        <v>0</v>
      </c>
      <c r="BH6" s="7">
        <v>0</v>
      </c>
      <c r="BI6" s="7">
        <v>0</v>
      </c>
      <c r="BJ6" s="7">
        <v>0</v>
      </c>
      <c r="BK6" s="23">
        <v>0</v>
      </c>
      <c r="BM6" s="12"/>
      <c r="BN6" s="1">
        <v>4</v>
      </c>
      <c r="BO6" s="7">
        <f t="shared" si="5"/>
        <v>0</v>
      </c>
      <c r="BP6" s="7">
        <f t="shared" si="6"/>
        <v>0</v>
      </c>
      <c r="BQ6" s="7">
        <f t="shared" si="7"/>
        <v>0</v>
      </c>
      <c r="BR6" s="7">
        <f t="shared" si="8"/>
        <v>0</v>
      </c>
      <c r="BS6" s="7">
        <f t="shared" si="9"/>
        <v>0</v>
      </c>
      <c r="BT6" s="3"/>
      <c r="BU6" s="1">
        <v>4</v>
      </c>
      <c r="BV6" s="7">
        <f t="shared" si="10"/>
        <v>0</v>
      </c>
      <c r="BW6" s="7">
        <f t="shared" si="11"/>
        <v>0</v>
      </c>
      <c r="BX6" s="7">
        <f t="shared" si="12"/>
        <v>0</v>
      </c>
      <c r="BY6" s="7">
        <f t="shared" si="13"/>
        <v>0</v>
      </c>
      <c r="BZ6" s="7">
        <f t="shared" si="14"/>
        <v>0</v>
      </c>
      <c r="CA6" s="3"/>
      <c r="CB6" s="1">
        <v>4</v>
      </c>
      <c r="CC6" s="1">
        <f t="shared" si="15"/>
        <v>0</v>
      </c>
      <c r="CD6" s="1">
        <f t="shared" si="16"/>
        <v>0</v>
      </c>
      <c r="CE6" s="1">
        <f t="shared" si="17"/>
        <v>0</v>
      </c>
      <c r="CF6" s="1">
        <f t="shared" si="18"/>
        <v>0</v>
      </c>
      <c r="CG6" s="22">
        <f t="shared" si="19"/>
        <v>0</v>
      </c>
    </row>
    <row r="7" spans="1:85" x14ac:dyDescent="0.3">
      <c r="A7" s="14">
        <v>5</v>
      </c>
      <c r="B7" s="15">
        <v>11</v>
      </c>
      <c r="C7" s="16"/>
      <c r="D7" s="1">
        <v>5</v>
      </c>
      <c r="E7" s="15">
        <v>9</v>
      </c>
      <c r="F7" s="16"/>
      <c r="G7" s="1">
        <v>5</v>
      </c>
      <c r="H7" s="15">
        <v>2</v>
      </c>
      <c r="I7" s="16"/>
      <c r="J7" s="1">
        <v>5</v>
      </c>
      <c r="K7" s="15">
        <v>5</v>
      </c>
      <c r="L7" s="15"/>
      <c r="M7" s="1">
        <v>5</v>
      </c>
      <c r="N7" s="17">
        <v>0.9</v>
      </c>
      <c r="O7" s="17"/>
      <c r="P7" s="1">
        <v>5</v>
      </c>
      <c r="Q7" s="15">
        <v>2</v>
      </c>
      <c r="R7" s="15"/>
      <c r="S7" s="1">
        <v>5</v>
      </c>
      <c r="T7" s="15">
        <v>17</v>
      </c>
      <c r="U7" s="3"/>
      <c r="V7" s="1">
        <v>5</v>
      </c>
      <c r="W7" s="7">
        <f t="shared" si="0"/>
        <v>17</v>
      </c>
      <c r="X7" s="7">
        <f t="shared" si="1"/>
        <v>15</v>
      </c>
      <c r="Y7" s="7">
        <f t="shared" si="2"/>
        <v>13</v>
      </c>
      <c r="Z7" s="7">
        <f t="shared" si="3"/>
        <v>13</v>
      </c>
      <c r="AA7" s="7">
        <f t="shared" si="4"/>
        <v>14</v>
      </c>
      <c r="AB7" s="13"/>
      <c r="AG7" s="1"/>
      <c r="AI7" s="12"/>
      <c r="AJ7" s="3"/>
      <c r="AK7" s="1">
        <v>5</v>
      </c>
      <c r="AL7" s="7">
        <v>0</v>
      </c>
      <c r="AM7" s="7">
        <v>1</v>
      </c>
      <c r="AN7" s="7">
        <v>0</v>
      </c>
      <c r="AO7" s="7">
        <v>0</v>
      </c>
      <c r="AP7" s="7">
        <v>0</v>
      </c>
      <c r="AQ7" s="3"/>
      <c r="AR7" s="1">
        <v>5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3"/>
      <c r="AY7" s="1">
        <v>5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3"/>
      <c r="BF7" s="1">
        <v>5</v>
      </c>
      <c r="BG7" s="7">
        <v>0</v>
      </c>
      <c r="BH7" s="7">
        <v>0</v>
      </c>
      <c r="BI7" s="7">
        <v>0</v>
      </c>
      <c r="BJ7" s="7">
        <v>0</v>
      </c>
      <c r="BK7" s="23">
        <v>0</v>
      </c>
      <c r="BM7" s="12"/>
      <c r="BN7" s="1">
        <v>5</v>
      </c>
      <c r="BO7" s="7">
        <f t="shared" si="5"/>
        <v>0</v>
      </c>
      <c r="BP7" s="7">
        <f t="shared" si="6"/>
        <v>1</v>
      </c>
      <c r="BQ7" s="7">
        <f t="shared" si="7"/>
        <v>0</v>
      </c>
      <c r="BR7" s="7">
        <f t="shared" si="8"/>
        <v>0</v>
      </c>
      <c r="BS7" s="7">
        <f t="shared" si="9"/>
        <v>0</v>
      </c>
      <c r="BT7" s="3"/>
      <c r="BU7" s="1">
        <v>5</v>
      </c>
      <c r="BV7" s="7">
        <f t="shared" si="10"/>
        <v>0</v>
      </c>
      <c r="BW7" s="7">
        <f t="shared" si="11"/>
        <v>1</v>
      </c>
      <c r="BX7" s="7">
        <f t="shared" si="12"/>
        <v>0</v>
      </c>
      <c r="BY7" s="7">
        <f t="shared" si="13"/>
        <v>0</v>
      </c>
      <c r="BZ7" s="7">
        <f t="shared" si="14"/>
        <v>0</v>
      </c>
      <c r="CA7" s="3"/>
      <c r="CB7" s="1">
        <v>5</v>
      </c>
      <c r="CC7" s="1">
        <f t="shared" si="15"/>
        <v>0</v>
      </c>
      <c r="CD7" s="1">
        <f t="shared" si="16"/>
        <v>1</v>
      </c>
      <c r="CE7" s="1">
        <f t="shared" si="17"/>
        <v>0</v>
      </c>
      <c r="CF7" s="1">
        <f t="shared" si="18"/>
        <v>0</v>
      </c>
      <c r="CG7" s="22">
        <f t="shared" si="19"/>
        <v>0</v>
      </c>
    </row>
    <row r="8" spans="1:85" x14ac:dyDescent="0.3">
      <c r="A8" s="14">
        <v>6</v>
      </c>
      <c r="B8" s="15">
        <v>14</v>
      </c>
      <c r="C8" s="16"/>
      <c r="D8" s="1">
        <v>6</v>
      </c>
      <c r="E8" s="15">
        <v>6</v>
      </c>
      <c r="F8" s="16"/>
      <c r="G8" s="1">
        <v>6</v>
      </c>
      <c r="H8" s="15">
        <v>4</v>
      </c>
      <c r="I8" s="16"/>
      <c r="J8" s="1">
        <v>6</v>
      </c>
      <c r="K8" s="15">
        <v>2</v>
      </c>
      <c r="L8" s="15"/>
      <c r="M8" s="1">
        <v>6</v>
      </c>
      <c r="N8" s="17">
        <v>0.4</v>
      </c>
      <c r="O8" s="17"/>
      <c r="P8" s="1">
        <v>6</v>
      </c>
      <c r="Q8" s="15">
        <v>2</v>
      </c>
      <c r="R8" s="15"/>
      <c r="S8" s="1">
        <v>6</v>
      </c>
      <c r="T8" s="15">
        <v>22</v>
      </c>
      <c r="U8" s="3"/>
      <c r="V8" s="1">
        <v>6</v>
      </c>
      <c r="W8" s="7">
        <f t="shared" si="0"/>
        <v>8</v>
      </c>
      <c r="X8" s="7">
        <f t="shared" si="1"/>
        <v>7</v>
      </c>
      <c r="Y8" s="7">
        <f t="shared" si="2"/>
        <v>6</v>
      </c>
      <c r="Z8" s="7">
        <f t="shared" si="3"/>
        <v>6</v>
      </c>
      <c r="AA8" s="7">
        <f t="shared" si="4"/>
        <v>7</v>
      </c>
      <c r="AB8" s="13"/>
      <c r="AG8" s="1"/>
      <c r="AI8" s="12"/>
      <c r="AJ8" s="3"/>
      <c r="AK8" s="1">
        <v>6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3"/>
      <c r="AR8" s="1">
        <v>6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3"/>
      <c r="AY8" s="1">
        <v>6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3"/>
      <c r="BF8" s="1">
        <v>6</v>
      </c>
      <c r="BG8" s="7">
        <v>0</v>
      </c>
      <c r="BH8" s="7">
        <v>0</v>
      </c>
      <c r="BI8" s="7">
        <v>0</v>
      </c>
      <c r="BJ8" s="7">
        <v>0</v>
      </c>
      <c r="BK8" s="23">
        <v>0</v>
      </c>
      <c r="BM8" s="12"/>
      <c r="BN8" s="1">
        <v>6</v>
      </c>
      <c r="BO8" s="7">
        <f t="shared" si="5"/>
        <v>0</v>
      </c>
      <c r="BP8" s="7">
        <f t="shared" si="6"/>
        <v>0</v>
      </c>
      <c r="BQ8" s="7">
        <f t="shared" si="7"/>
        <v>0</v>
      </c>
      <c r="BR8" s="7">
        <f t="shared" si="8"/>
        <v>0</v>
      </c>
      <c r="BS8" s="7">
        <f t="shared" si="9"/>
        <v>0</v>
      </c>
      <c r="BT8" s="3"/>
      <c r="BU8" s="1">
        <v>6</v>
      </c>
      <c r="BV8" s="7">
        <f t="shared" si="10"/>
        <v>0</v>
      </c>
      <c r="BW8" s="7">
        <f t="shared" si="11"/>
        <v>0</v>
      </c>
      <c r="BX8" s="7">
        <f t="shared" si="12"/>
        <v>0</v>
      </c>
      <c r="BY8" s="7">
        <f t="shared" si="13"/>
        <v>0</v>
      </c>
      <c r="BZ8" s="7">
        <f t="shared" si="14"/>
        <v>0</v>
      </c>
      <c r="CA8" s="3"/>
      <c r="CB8" s="1">
        <v>6</v>
      </c>
      <c r="CC8" s="1">
        <f t="shared" si="15"/>
        <v>0</v>
      </c>
      <c r="CD8" s="1">
        <f t="shared" si="16"/>
        <v>0</v>
      </c>
      <c r="CE8" s="1">
        <f t="shared" si="17"/>
        <v>0</v>
      </c>
      <c r="CF8" s="1">
        <f t="shared" si="18"/>
        <v>0</v>
      </c>
      <c r="CG8" s="22">
        <f t="shared" si="19"/>
        <v>0</v>
      </c>
    </row>
    <row r="9" spans="1:85" x14ac:dyDescent="0.3">
      <c r="A9" s="14">
        <v>7</v>
      </c>
      <c r="B9" s="15">
        <v>14</v>
      </c>
      <c r="C9" s="16"/>
      <c r="D9" s="1">
        <v>7</v>
      </c>
      <c r="E9" s="15">
        <v>9</v>
      </c>
      <c r="F9" s="16"/>
      <c r="G9" s="1">
        <v>7</v>
      </c>
      <c r="H9" s="15">
        <v>6</v>
      </c>
      <c r="I9" s="16"/>
      <c r="J9" s="1">
        <v>7</v>
      </c>
      <c r="K9" s="15">
        <v>1</v>
      </c>
      <c r="L9" s="15"/>
      <c r="M9" s="1">
        <v>7</v>
      </c>
      <c r="N9" s="17">
        <v>0.5</v>
      </c>
      <c r="O9" s="17"/>
      <c r="P9" s="1">
        <v>7</v>
      </c>
      <c r="Q9" s="15">
        <v>5</v>
      </c>
      <c r="R9" s="15"/>
      <c r="S9" s="1">
        <v>7</v>
      </c>
      <c r="T9" s="15">
        <v>21</v>
      </c>
      <c r="U9" s="3"/>
      <c r="V9" s="1">
        <v>7</v>
      </c>
      <c r="W9" s="7">
        <f t="shared" si="0"/>
        <v>5</v>
      </c>
      <c r="X9" s="7">
        <f t="shared" si="1"/>
        <v>5</v>
      </c>
      <c r="Y9" s="7">
        <f t="shared" si="2"/>
        <v>4</v>
      </c>
      <c r="Z9" s="7">
        <f t="shared" si="3"/>
        <v>4</v>
      </c>
      <c r="AA9" s="7">
        <f t="shared" si="4"/>
        <v>4</v>
      </c>
      <c r="AB9" s="13"/>
      <c r="AG9" s="1"/>
      <c r="AI9" s="12"/>
      <c r="AJ9" s="3"/>
      <c r="AK9" s="1">
        <v>7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3"/>
      <c r="AR9" s="1">
        <v>7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3"/>
      <c r="AY9" s="1">
        <v>7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3"/>
      <c r="BF9" s="1">
        <v>7</v>
      </c>
      <c r="BG9" s="7">
        <v>0</v>
      </c>
      <c r="BH9" s="7">
        <v>0</v>
      </c>
      <c r="BI9" s="7">
        <v>0</v>
      </c>
      <c r="BJ9" s="7">
        <v>0</v>
      </c>
      <c r="BK9" s="23">
        <v>0</v>
      </c>
      <c r="BM9" s="12"/>
      <c r="BN9" s="1">
        <v>7</v>
      </c>
      <c r="BO9" s="7">
        <f t="shared" si="5"/>
        <v>0</v>
      </c>
      <c r="BP9" s="7">
        <f t="shared" si="6"/>
        <v>0</v>
      </c>
      <c r="BQ9" s="7">
        <f t="shared" si="7"/>
        <v>0</v>
      </c>
      <c r="BR9" s="7">
        <f t="shared" si="8"/>
        <v>0</v>
      </c>
      <c r="BS9" s="7">
        <f t="shared" si="9"/>
        <v>0</v>
      </c>
      <c r="BT9" s="3"/>
      <c r="BU9" s="1">
        <v>7</v>
      </c>
      <c r="BV9" s="7">
        <f t="shared" si="10"/>
        <v>0</v>
      </c>
      <c r="BW9" s="7">
        <f t="shared" si="11"/>
        <v>0</v>
      </c>
      <c r="BX9" s="7">
        <f t="shared" si="12"/>
        <v>0</v>
      </c>
      <c r="BY9" s="7">
        <f t="shared" si="13"/>
        <v>0</v>
      </c>
      <c r="BZ9" s="7">
        <f t="shared" si="14"/>
        <v>0</v>
      </c>
      <c r="CA9" s="3"/>
      <c r="CB9" s="1">
        <v>7</v>
      </c>
      <c r="CC9" s="1">
        <f t="shared" si="15"/>
        <v>0</v>
      </c>
      <c r="CD9" s="1">
        <f t="shared" si="16"/>
        <v>0</v>
      </c>
      <c r="CE9" s="1">
        <f t="shared" si="17"/>
        <v>0</v>
      </c>
      <c r="CF9" s="1">
        <f t="shared" si="18"/>
        <v>0</v>
      </c>
      <c r="CG9" s="22">
        <f t="shared" si="19"/>
        <v>0</v>
      </c>
    </row>
    <row r="10" spans="1:85" x14ac:dyDescent="0.3">
      <c r="A10" s="14">
        <v>8</v>
      </c>
      <c r="B10" s="15">
        <v>6</v>
      </c>
      <c r="C10" s="16"/>
      <c r="D10" s="1">
        <v>8</v>
      </c>
      <c r="E10" s="15">
        <v>5</v>
      </c>
      <c r="F10" s="16"/>
      <c r="G10" s="1">
        <v>8</v>
      </c>
      <c r="H10" s="15">
        <v>5</v>
      </c>
      <c r="I10" s="16"/>
      <c r="J10" s="1">
        <v>8</v>
      </c>
      <c r="K10" s="15">
        <v>6</v>
      </c>
      <c r="L10" s="15"/>
      <c r="M10" s="1">
        <v>8</v>
      </c>
      <c r="N10" s="17">
        <v>0.3</v>
      </c>
      <c r="O10" s="17"/>
      <c r="P10" s="1">
        <v>8</v>
      </c>
      <c r="Q10" s="15">
        <v>5</v>
      </c>
      <c r="R10" s="15"/>
      <c r="S10" s="1">
        <v>8</v>
      </c>
      <c r="T10" s="15">
        <v>16</v>
      </c>
      <c r="U10" s="3"/>
      <c r="V10" s="1">
        <v>8</v>
      </c>
      <c r="W10" s="7">
        <f t="shared" si="0"/>
        <v>6</v>
      </c>
      <c r="X10" s="7">
        <f t="shared" si="1"/>
        <v>6</v>
      </c>
      <c r="Y10" s="7">
        <f t="shared" si="2"/>
        <v>5</v>
      </c>
      <c r="Z10" s="7">
        <f t="shared" si="3"/>
        <v>5</v>
      </c>
      <c r="AA10" s="7">
        <f t="shared" si="4"/>
        <v>5</v>
      </c>
      <c r="AB10" s="13"/>
      <c r="AG10" s="1"/>
      <c r="AI10" s="12"/>
      <c r="AJ10" s="3"/>
      <c r="AK10" s="1">
        <v>8</v>
      </c>
      <c r="AL10" s="7">
        <v>0</v>
      </c>
      <c r="AM10" s="7">
        <v>0</v>
      </c>
      <c r="AN10" s="7">
        <v>0</v>
      </c>
      <c r="AO10" s="7">
        <v>0</v>
      </c>
      <c r="AP10" s="7">
        <v>1</v>
      </c>
      <c r="AQ10" s="3"/>
      <c r="AR10" s="1">
        <v>8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3"/>
      <c r="AY10" s="1">
        <v>8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3"/>
      <c r="BF10" s="1">
        <v>8</v>
      </c>
      <c r="BG10" s="7">
        <v>0</v>
      </c>
      <c r="BH10" s="7">
        <v>0</v>
      </c>
      <c r="BI10" s="7">
        <v>0</v>
      </c>
      <c r="BJ10" s="7">
        <v>0</v>
      </c>
      <c r="BK10" s="23">
        <v>0</v>
      </c>
      <c r="BM10" s="12"/>
      <c r="BN10" s="1">
        <v>8</v>
      </c>
      <c r="BO10" s="7">
        <f t="shared" si="5"/>
        <v>0</v>
      </c>
      <c r="BP10" s="7">
        <f t="shared" si="6"/>
        <v>0</v>
      </c>
      <c r="BQ10" s="7">
        <f t="shared" si="7"/>
        <v>0</v>
      </c>
      <c r="BR10" s="7">
        <f t="shared" si="8"/>
        <v>0</v>
      </c>
      <c r="BS10" s="7">
        <f t="shared" si="9"/>
        <v>1</v>
      </c>
      <c r="BT10" s="3"/>
      <c r="BU10" s="1">
        <v>8</v>
      </c>
      <c r="BV10" s="7">
        <f t="shared" si="10"/>
        <v>0</v>
      </c>
      <c r="BW10" s="7">
        <f t="shared" si="11"/>
        <v>0</v>
      </c>
      <c r="BX10" s="7">
        <f t="shared" si="12"/>
        <v>0</v>
      </c>
      <c r="BY10" s="7">
        <f t="shared" si="13"/>
        <v>0</v>
      </c>
      <c r="BZ10" s="7">
        <f t="shared" si="14"/>
        <v>1</v>
      </c>
      <c r="CA10" s="3"/>
      <c r="CB10" s="1">
        <v>8</v>
      </c>
      <c r="CC10" s="1">
        <f t="shared" si="15"/>
        <v>0</v>
      </c>
      <c r="CD10" s="1">
        <f t="shared" si="16"/>
        <v>0</v>
      </c>
      <c r="CE10" s="1">
        <f t="shared" si="17"/>
        <v>0</v>
      </c>
      <c r="CF10" s="1">
        <f t="shared" si="18"/>
        <v>0</v>
      </c>
      <c r="CG10" s="22">
        <f t="shared" si="19"/>
        <v>1</v>
      </c>
    </row>
    <row r="11" spans="1:85" x14ac:dyDescent="0.3">
      <c r="A11" s="14">
        <v>9</v>
      </c>
      <c r="B11" s="15">
        <v>5</v>
      </c>
      <c r="C11" s="16"/>
      <c r="D11" s="1">
        <v>9</v>
      </c>
      <c r="E11" s="15">
        <v>9</v>
      </c>
      <c r="F11" s="16"/>
      <c r="G11" s="1">
        <v>9</v>
      </c>
      <c r="H11" s="15">
        <v>7</v>
      </c>
      <c r="I11" s="16"/>
      <c r="J11" s="1">
        <v>9</v>
      </c>
      <c r="K11" s="15">
        <v>7</v>
      </c>
      <c r="L11" s="15"/>
      <c r="M11" s="1">
        <v>9</v>
      </c>
      <c r="N11" s="17">
        <v>0.8</v>
      </c>
      <c r="O11" s="17"/>
      <c r="P11" s="1">
        <v>9</v>
      </c>
      <c r="Q11" s="15">
        <v>3</v>
      </c>
      <c r="R11" s="15"/>
      <c r="S11" s="1">
        <v>9</v>
      </c>
      <c r="T11" s="15">
        <v>17</v>
      </c>
      <c r="U11" s="3"/>
      <c r="V11" s="1">
        <v>9</v>
      </c>
      <c r="W11" s="7">
        <f t="shared" si="0"/>
        <v>4</v>
      </c>
      <c r="X11" s="7">
        <f t="shared" si="1"/>
        <v>4</v>
      </c>
      <c r="Y11" s="7">
        <f t="shared" si="2"/>
        <v>3</v>
      </c>
      <c r="Z11" s="7">
        <f t="shared" si="3"/>
        <v>3</v>
      </c>
      <c r="AA11" s="7">
        <f t="shared" si="4"/>
        <v>4</v>
      </c>
      <c r="AB11" s="13"/>
      <c r="AG11" s="1"/>
      <c r="AI11" s="12"/>
      <c r="AJ11" s="3"/>
      <c r="AK11" s="1">
        <v>9</v>
      </c>
      <c r="AL11" s="7">
        <v>1</v>
      </c>
      <c r="AM11" s="7">
        <v>0</v>
      </c>
      <c r="AN11" s="7">
        <v>0</v>
      </c>
      <c r="AO11" s="7">
        <v>0</v>
      </c>
      <c r="AP11" s="7">
        <v>0</v>
      </c>
      <c r="AQ11" s="3"/>
      <c r="AR11" s="1">
        <v>9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3"/>
      <c r="AY11" s="1">
        <v>9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3"/>
      <c r="BF11" s="1">
        <v>9</v>
      </c>
      <c r="BG11" s="7">
        <v>0</v>
      </c>
      <c r="BH11" s="7">
        <v>0</v>
      </c>
      <c r="BI11" s="7">
        <v>0</v>
      </c>
      <c r="BJ11" s="7">
        <v>0</v>
      </c>
      <c r="BK11" s="23">
        <v>0</v>
      </c>
      <c r="BM11" s="12"/>
      <c r="BN11" s="1">
        <v>9</v>
      </c>
      <c r="BO11" s="7">
        <f t="shared" si="5"/>
        <v>1</v>
      </c>
      <c r="BP11" s="7">
        <f t="shared" si="6"/>
        <v>0</v>
      </c>
      <c r="BQ11" s="7">
        <f t="shared" si="7"/>
        <v>0</v>
      </c>
      <c r="BR11" s="7">
        <f t="shared" si="8"/>
        <v>0</v>
      </c>
      <c r="BS11" s="7">
        <f t="shared" si="9"/>
        <v>0</v>
      </c>
      <c r="BT11" s="3"/>
      <c r="BU11" s="1">
        <v>9</v>
      </c>
      <c r="BV11" s="7">
        <f t="shared" si="10"/>
        <v>1</v>
      </c>
      <c r="BW11" s="7">
        <f t="shared" si="11"/>
        <v>0</v>
      </c>
      <c r="BX11" s="7">
        <f t="shared" si="12"/>
        <v>0</v>
      </c>
      <c r="BY11" s="7">
        <f t="shared" si="13"/>
        <v>0</v>
      </c>
      <c r="BZ11" s="7">
        <f t="shared" si="14"/>
        <v>0</v>
      </c>
      <c r="CA11" s="3"/>
      <c r="CB11" s="1">
        <v>9</v>
      </c>
      <c r="CC11" s="1">
        <f t="shared" si="15"/>
        <v>1</v>
      </c>
      <c r="CD11" s="1">
        <f t="shared" si="16"/>
        <v>0</v>
      </c>
      <c r="CE11" s="1">
        <f t="shared" si="17"/>
        <v>0</v>
      </c>
      <c r="CF11" s="1">
        <f t="shared" si="18"/>
        <v>0</v>
      </c>
      <c r="CG11" s="22">
        <f t="shared" si="19"/>
        <v>0</v>
      </c>
    </row>
    <row r="12" spans="1:85" x14ac:dyDescent="0.3">
      <c r="A12" s="14">
        <v>10</v>
      </c>
      <c r="B12" s="15">
        <v>11</v>
      </c>
      <c r="C12" s="16"/>
      <c r="D12" s="1">
        <v>10</v>
      </c>
      <c r="E12" s="15">
        <v>10</v>
      </c>
      <c r="F12" s="16"/>
      <c r="G12" s="1">
        <v>10</v>
      </c>
      <c r="H12" s="15">
        <v>6</v>
      </c>
      <c r="I12" s="16"/>
      <c r="J12" s="1">
        <v>10</v>
      </c>
      <c r="K12" s="15">
        <v>3</v>
      </c>
      <c r="L12" s="15"/>
      <c r="M12" s="1">
        <v>10</v>
      </c>
      <c r="N12" s="17">
        <v>0.8</v>
      </c>
      <c r="O12" s="17"/>
      <c r="P12" s="1">
        <v>10</v>
      </c>
      <c r="Q12" s="15">
        <v>1</v>
      </c>
      <c r="R12" s="15"/>
      <c r="S12" s="1">
        <v>10</v>
      </c>
      <c r="T12" s="15">
        <v>15</v>
      </c>
      <c r="U12" s="3"/>
      <c r="V12" s="1">
        <v>10</v>
      </c>
      <c r="W12" s="7">
        <f t="shared" si="0"/>
        <v>5</v>
      </c>
      <c r="X12" s="7">
        <f t="shared" si="1"/>
        <v>5</v>
      </c>
      <c r="Y12" s="7">
        <f t="shared" si="2"/>
        <v>4</v>
      </c>
      <c r="Z12" s="7">
        <f t="shared" si="3"/>
        <v>4</v>
      </c>
      <c r="AA12" s="7">
        <f t="shared" si="4"/>
        <v>4</v>
      </c>
      <c r="AB12" s="13"/>
      <c r="AG12" s="1"/>
      <c r="AI12" s="12"/>
      <c r="AJ12" s="3"/>
      <c r="AK12" s="1">
        <v>10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3"/>
      <c r="AR12" s="1">
        <v>10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3"/>
      <c r="AY12" s="1">
        <v>10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3"/>
      <c r="BF12" s="1">
        <v>10</v>
      </c>
      <c r="BG12" s="7">
        <v>0</v>
      </c>
      <c r="BH12" s="7">
        <v>0</v>
      </c>
      <c r="BI12" s="7">
        <v>0</v>
      </c>
      <c r="BJ12" s="7">
        <v>0</v>
      </c>
      <c r="BK12" s="23">
        <v>0</v>
      </c>
      <c r="BM12" s="12"/>
      <c r="BN12" s="1">
        <v>10</v>
      </c>
      <c r="BO12" s="7">
        <f t="shared" si="5"/>
        <v>0</v>
      </c>
      <c r="BP12" s="7">
        <f t="shared" si="6"/>
        <v>0</v>
      </c>
      <c r="BQ12" s="7">
        <f t="shared" si="7"/>
        <v>0</v>
      </c>
      <c r="BR12" s="7">
        <f t="shared" si="8"/>
        <v>0</v>
      </c>
      <c r="BS12" s="7">
        <f t="shared" si="9"/>
        <v>0</v>
      </c>
      <c r="BT12" s="3"/>
      <c r="BU12" s="1">
        <v>10</v>
      </c>
      <c r="BV12" s="7">
        <f t="shared" si="10"/>
        <v>0</v>
      </c>
      <c r="BW12" s="7">
        <f t="shared" si="11"/>
        <v>0</v>
      </c>
      <c r="BX12" s="7">
        <f t="shared" si="12"/>
        <v>0</v>
      </c>
      <c r="BY12" s="7">
        <f t="shared" si="13"/>
        <v>0</v>
      </c>
      <c r="BZ12" s="7">
        <f t="shared" si="14"/>
        <v>0</v>
      </c>
      <c r="CA12" s="3"/>
      <c r="CB12" s="1">
        <v>10</v>
      </c>
      <c r="CC12" s="1">
        <f t="shared" si="15"/>
        <v>0</v>
      </c>
      <c r="CD12" s="1">
        <f t="shared" si="16"/>
        <v>0</v>
      </c>
      <c r="CE12" s="1">
        <f t="shared" si="17"/>
        <v>0</v>
      </c>
      <c r="CF12" s="1">
        <f t="shared" si="18"/>
        <v>0</v>
      </c>
      <c r="CG12" s="22">
        <f t="shared" si="19"/>
        <v>0</v>
      </c>
    </row>
    <row r="13" spans="1:85" x14ac:dyDescent="0.3">
      <c r="A13" s="14">
        <v>11</v>
      </c>
      <c r="B13" s="15">
        <v>12</v>
      </c>
      <c r="C13" s="16"/>
      <c r="D13" s="1">
        <v>11</v>
      </c>
      <c r="E13" s="15">
        <v>7</v>
      </c>
      <c r="F13" s="16"/>
      <c r="G13" s="1">
        <v>11</v>
      </c>
      <c r="H13" s="15">
        <v>8</v>
      </c>
      <c r="I13" s="16"/>
      <c r="J13" s="1">
        <v>11</v>
      </c>
      <c r="K13" s="15">
        <v>4</v>
      </c>
      <c r="L13" s="15"/>
      <c r="M13" s="1">
        <v>11</v>
      </c>
      <c r="N13" s="17">
        <v>0.1</v>
      </c>
      <c r="O13" s="17"/>
      <c r="P13" s="1">
        <v>11</v>
      </c>
      <c r="Q13" s="15">
        <v>2</v>
      </c>
      <c r="R13" s="15"/>
      <c r="S13" s="1">
        <v>11</v>
      </c>
      <c r="T13" s="15">
        <v>17</v>
      </c>
      <c r="U13" s="3"/>
      <c r="V13" s="1">
        <v>11</v>
      </c>
      <c r="W13" s="7">
        <f t="shared" si="0"/>
        <v>4</v>
      </c>
      <c r="X13" s="7">
        <f t="shared" si="1"/>
        <v>3</v>
      </c>
      <c r="Y13" s="7">
        <f t="shared" si="2"/>
        <v>3</v>
      </c>
      <c r="Z13" s="7">
        <f t="shared" si="3"/>
        <v>3</v>
      </c>
      <c r="AA13" s="7">
        <f t="shared" si="4"/>
        <v>3</v>
      </c>
      <c r="AB13" s="13"/>
      <c r="AG13" s="1"/>
      <c r="AI13" s="12"/>
      <c r="AJ13" s="3"/>
      <c r="AK13" s="1">
        <v>11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3"/>
      <c r="AR13" s="1">
        <v>11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3"/>
      <c r="AY13" s="1">
        <v>11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3"/>
      <c r="BF13" s="1">
        <v>11</v>
      </c>
      <c r="BG13" s="7">
        <v>0</v>
      </c>
      <c r="BH13" s="7">
        <v>0</v>
      </c>
      <c r="BI13" s="7">
        <v>0</v>
      </c>
      <c r="BJ13" s="7">
        <v>0</v>
      </c>
      <c r="BK13" s="23">
        <v>0</v>
      </c>
      <c r="BM13" s="12"/>
      <c r="BN13" s="1">
        <v>11</v>
      </c>
      <c r="BO13" s="7">
        <f t="shared" si="5"/>
        <v>0</v>
      </c>
      <c r="BP13" s="7">
        <f t="shared" si="6"/>
        <v>0</v>
      </c>
      <c r="BQ13" s="7">
        <f t="shared" si="7"/>
        <v>0</v>
      </c>
      <c r="BR13" s="7">
        <f t="shared" si="8"/>
        <v>0</v>
      </c>
      <c r="BS13" s="7">
        <f t="shared" si="9"/>
        <v>0</v>
      </c>
      <c r="BT13" s="3"/>
      <c r="BU13" s="1">
        <v>11</v>
      </c>
      <c r="BV13" s="7">
        <f t="shared" si="10"/>
        <v>0</v>
      </c>
      <c r="BW13" s="7">
        <f t="shared" si="11"/>
        <v>0</v>
      </c>
      <c r="BX13" s="7">
        <f t="shared" si="12"/>
        <v>0</v>
      </c>
      <c r="BY13" s="7">
        <f t="shared" si="13"/>
        <v>0</v>
      </c>
      <c r="BZ13" s="7">
        <f t="shared" si="14"/>
        <v>0</v>
      </c>
      <c r="CA13" s="3"/>
      <c r="CB13" s="1">
        <v>11</v>
      </c>
      <c r="CC13" s="1">
        <f t="shared" si="15"/>
        <v>0</v>
      </c>
      <c r="CD13" s="1">
        <f t="shared" si="16"/>
        <v>0</v>
      </c>
      <c r="CE13" s="1">
        <f t="shared" si="17"/>
        <v>0</v>
      </c>
      <c r="CF13" s="1">
        <f t="shared" si="18"/>
        <v>0</v>
      </c>
      <c r="CG13" s="22">
        <f t="shared" si="19"/>
        <v>0</v>
      </c>
    </row>
    <row r="14" spans="1:85" x14ac:dyDescent="0.3">
      <c r="A14" s="14">
        <v>12</v>
      </c>
      <c r="B14" s="15">
        <v>8</v>
      </c>
      <c r="C14" s="16"/>
      <c r="D14" s="1">
        <v>12</v>
      </c>
      <c r="E14" s="15">
        <v>5</v>
      </c>
      <c r="F14" s="16"/>
      <c r="G14" s="1">
        <v>12</v>
      </c>
      <c r="H14" s="15">
        <v>7</v>
      </c>
      <c r="I14" s="16"/>
      <c r="J14" s="1">
        <v>12</v>
      </c>
      <c r="K14" s="15">
        <v>7</v>
      </c>
      <c r="L14" s="15"/>
      <c r="M14" s="1">
        <v>12</v>
      </c>
      <c r="N14" s="17">
        <v>0.8</v>
      </c>
      <c r="O14" s="17"/>
      <c r="P14" s="1">
        <v>12</v>
      </c>
      <c r="Q14" s="15">
        <v>5</v>
      </c>
      <c r="R14" s="15"/>
      <c r="S14" s="1">
        <v>12</v>
      </c>
      <c r="T14" s="15">
        <v>22</v>
      </c>
      <c r="U14" s="3"/>
      <c r="V14" s="1">
        <v>12</v>
      </c>
      <c r="W14" s="7">
        <f t="shared" si="0"/>
        <v>4</v>
      </c>
      <c r="X14" s="7">
        <f t="shared" si="1"/>
        <v>4</v>
      </c>
      <c r="Y14" s="7">
        <f t="shared" si="2"/>
        <v>3</v>
      </c>
      <c r="Z14" s="7">
        <f t="shared" si="3"/>
        <v>3</v>
      </c>
      <c r="AA14" s="7">
        <f t="shared" si="4"/>
        <v>4</v>
      </c>
      <c r="AB14" s="13"/>
      <c r="AG14" s="1"/>
      <c r="AI14" s="12"/>
      <c r="AJ14" s="3"/>
      <c r="AK14" s="1">
        <v>12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3"/>
      <c r="AR14" s="1">
        <v>12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3"/>
      <c r="AY14" s="1">
        <v>12</v>
      </c>
      <c r="AZ14" s="7">
        <v>0</v>
      </c>
      <c r="BA14" s="7">
        <v>0</v>
      </c>
      <c r="BB14" s="7">
        <v>0</v>
      </c>
      <c r="BC14" s="7">
        <v>0</v>
      </c>
      <c r="BD14" s="7">
        <v>1</v>
      </c>
      <c r="BE14" s="3"/>
      <c r="BF14" s="1">
        <v>12</v>
      </c>
      <c r="BG14" s="7">
        <v>0</v>
      </c>
      <c r="BH14" s="7">
        <v>0</v>
      </c>
      <c r="BI14" s="7">
        <v>0</v>
      </c>
      <c r="BJ14" s="7">
        <v>0</v>
      </c>
      <c r="BK14" s="23">
        <v>0</v>
      </c>
      <c r="BM14" s="12"/>
      <c r="BN14" s="1">
        <v>12</v>
      </c>
      <c r="BO14" s="7">
        <f t="shared" si="5"/>
        <v>0</v>
      </c>
      <c r="BP14" s="7">
        <f t="shared" si="6"/>
        <v>0</v>
      </c>
      <c r="BQ14" s="7">
        <f t="shared" si="7"/>
        <v>0</v>
      </c>
      <c r="BR14" s="7">
        <f t="shared" si="8"/>
        <v>0</v>
      </c>
      <c r="BS14" s="7">
        <f t="shared" si="9"/>
        <v>1</v>
      </c>
      <c r="BT14" s="3"/>
      <c r="BU14" s="1">
        <v>12</v>
      </c>
      <c r="BV14" s="7">
        <f t="shared" si="10"/>
        <v>0</v>
      </c>
      <c r="BW14" s="7">
        <f t="shared" si="11"/>
        <v>0</v>
      </c>
      <c r="BX14" s="7">
        <f t="shared" si="12"/>
        <v>0</v>
      </c>
      <c r="BY14" s="7">
        <f t="shared" si="13"/>
        <v>0</v>
      </c>
      <c r="BZ14" s="7">
        <f t="shared" si="14"/>
        <v>3</v>
      </c>
      <c r="CA14" s="3"/>
      <c r="CB14" s="1">
        <v>12</v>
      </c>
      <c r="CC14" s="1">
        <f t="shared" si="15"/>
        <v>0</v>
      </c>
      <c r="CD14" s="1">
        <f t="shared" si="16"/>
        <v>0</v>
      </c>
      <c r="CE14" s="1">
        <f t="shared" si="17"/>
        <v>0</v>
      </c>
      <c r="CF14" s="1">
        <f t="shared" si="18"/>
        <v>0</v>
      </c>
      <c r="CG14" s="22">
        <f t="shared" si="19"/>
        <v>2.4082246852806923</v>
      </c>
    </row>
    <row r="15" spans="1:85" x14ac:dyDescent="0.3">
      <c r="A15" s="14">
        <v>13</v>
      </c>
      <c r="B15" s="15">
        <v>11</v>
      </c>
      <c r="C15" s="16"/>
      <c r="D15" s="1">
        <v>13</v>
      </c>
      <c r="E15" s="15">
        <v>7</v>
      </c>
      <c r="F15" s="16"/>
      <c r="G15" s="1">
        <v>13</v>
      </c>
      <c r="H15" s="15">
        <v>2</v>
      </c>
      <c r="I15" s="16"/>
      <c r="J15" s="1">
        <v>13</v>
      </c>
      <c r="K15" s="15">
        <v>2</v>
      </c>
      <c r="L15" s="15"/>
      <c r="M15" s="1">
        <v>13</v>
      </c>
      <c r="N15" s="17">
        <v>0.1</v>
      </c>
      <c r="O15" s="17"/>
      <c r="P15" s="1">
        <v>13</v>
      </c>
      <c r="Q15" s="15">
        <v>3</v>
      </c>
      <c r="R15" s="15"/>
      <c r="S15" s="1">
        <v>13</v>
      </c>
      <c r="T15" s="15">
        <v>19</v>
      </c>
      <c r="U15" s="3"/>
      <c r="V15" s="1">
        <v>13</v>
      </c>
      <c r="W15" s="7">
        <f t="shared" si="0"/>
        <v>17</v>
      </c>
      <c r="X15" s="7">
        <f t="shared" si="1"/>
        <v>15</v>
      </c>
      <c r="Y15" s="7">
        <f t="shared" si="2"/>
        <v>13</v>
      </c>
      <c r="Z15" s="7">
        <f t="shared" si="3"/>
        <v>13</v>
      </c>
      <c r="AA15" s="7">
        <f t="shared" si="4"/>
        <v>14</v>
      </c>
      <c r="AB15" s="13"/>
      <c r="AG15" s="1"/>
      <c r="AI15" s="12"/>
      <c r="AJ15" s="3"/>
      <c r="AK15" s="1">
        <v>13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3"/>
      <c r="AR15" s="1">
        <v>13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3"/>
      <c r="AY15" s="1">
        <v>13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3"/>
      <c r="BF15" s="1">
        <v>13</v>
      </c>
      <c r="BG15" s="7">
        <v>0</v>
      </c>
      <c r="BH15" s="7">
        <v>0</v>
      </c>
      <c r="BI15" s="7">
        <v>0</v>
      </c>
      <c r="BJ15" s="7">
        <v>0</v>
      </c>
      <c r="BK15" s="23">
        <v>0</v>
      </c>
      <c r="BM15" s="12"/>
      <c r="BN15" s="1">
        <v>13</v>
      </c>
      <c r="BO15" s="7">
        <f t="shared" si="5"/>
        <v>0</v>
      </c>
      <c r="BP15" s="7">
        <f t="shared" si="6"/>
        <v>0</v>
      </c>
      <c r="BQ15" s="7">
        <f t="shared" si="7"/>
        <v>0</v>
      </c>
      <c r="BR15" s="7">
        <f t="shared" si="8"/>
        <v>0</v>
      </c>
      <c r="BS15" s="7">
        <f t="shared" si="9"/>
        <v>0</v>
      </c>
      <c r="BT15" s="3"/>
      <c r="BU15" s="1">
        <v>13</v>
      </c>
      <c r="BV15" s="7">
        <f t="shared" si="10"/>
        <v>0</v>
      </c>
      <c r="BW15" s="7">
        <f t="shared" si="11"/>
        <v>0</v>
      </c>
      <c r="BX15" s="7">
        <f t="shared" si="12"/>
        <v>0</v>
      </c>
      <c r="BY15" s="7">
        <f t="shared" si="13"/>
        <v>0</v>
      </c>
      <c r="BZ15" s="7">
        <f t="shared" si="14"/>
        <v>0</v>
      </c>
      <c r="CA15" s="3"/>
      <c r="CB15" s="1">
        <v>13</v>
      </c>
      <c r="CC15" s="1">
        <f t="shared" si="15"/>
        <v>0</v>
      </c>
      <c r="CD15" s="1">
        <f t="shared" si="16"/>
        <v>0</v>
      </c>
      <c r="CE15" s="1">
        <f t="shared" si="17"/>
        <v>0</v>
      </c>
      <c r="CF15" s="1">
        <f t="shared" si="18"/>
        <v>0</v>
      </c>
      <c r="CG15" s="22">
        <f t="shared" si="19"/>
        <v>0</v>
      </c>
    </row>
    <row r="16" spans="1:85" x14ac:dyDescent="0.3">
      <c r="A16" s="14">
        <v>14</v>
      </c>
      <c r="B16" s="15">
        <v>13</v>
      </c>
      <c r="C16" s="16"/>
      <c r="D16" s="1">
        <v>14</v>
      </c>
      <c r="E16" s="15">
        <v>8</v>
      </c>
      <c r="F16" s="16"/>
      <c r="G16" s="1">
        <v>14</v>
      </c>
      <c r="H16" s="15">
        <v>5</v>
      </c>
      <c r="I16" s="16"/>
      <c r="J16" s="1">
        <v>14</v>
      </c>
      <c r="K16" s="15">
        <v>9</v>
      </c>
      <c r="L16" s="15"/>
      <c r="M16" s="1">
        <v>14</v>
      </c>
      <c r="N16" s="17">
        <v>0.8</v>
      </c>
      <c r="O16" s="17"/>
      <c r="P16" s="1">
        <v>14</v>
      </c>
      <c r="Q16" s="15">
        <v>3</v>
      </c>
      <c r="R16" s="15"/>
      <c r="S16" s="1">
        <v>14</v>
      </c>
      <c r="T16" s="15">
        <v>15</v>
      </c>
      <c r="U16" s="3"/>
      <c r="V16" s="1">
        <v>14</v>
      </c>
      <c r="W16" s="7">
        <f t="shared" si="0"/>
        <v>6</v>
      </c>
      <c r="X16" s="7">
        <f t="shared" si="1"/>
        <v>6</v>
      </c>
      <c r="Y16" s="7">
        <f t="shared" si="2"/>
        <v>5</v>
      </c>
      <c r="Z16" s="7">
        <f t="shared" si="3"/>
        <v>5</v>
      </c>
      <c r="AA16" s="7">
        <f t="shared" si="4"/>
        <v>5</v>
      </c>
      <c r="AB16" s="13"/>
      <c r="AG16" s="1"/>
      <c r="AI16" s="12"/>
      <c r="AJ16" s="3"/>
      <c r="AK16" s="1">
        <v>14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3"/>
      <c r="AR16" s="1">
        <v>14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3"/>
      <c r="AY16" s="1">
        <v>14</v>
      </c>
      <c r="AZ16" s="7">
        <v>0</v>
      </c>
      <c r="BA16" s="7">
        <v>0</v>
      </c>
      <c r="BB16" s="7">
        <v>0</v>
      </c>
      <c r="BC16" s="7">
        <v>1</v>
      </c>
      <c r="BD16" s="7">
        <v>0</v>
      </c>
      <c r="BE16" s="3"/>
      <c r="BF16" s="1">
        <v>14</v>
      </c>
      <c r="BG16" s="7">
        <v>0</v>
      </c>
      <c r="BH16" s="7">
        <v>0</v>
      </c>
      <c r="BI16" s="7">
        <v>0</v>
      </c>
      <c r="BJ16" s="7">
        <v>0</v>
      </c>
      <c r="BK16" s="23">
        <v>0</v>
      </c>
      <c r="BM16" s="12"/>
      <c r="BN16" s="1">
        <v>14</v>
      </c>
      <c r="BO16" s="7">
        <f t="shared" si="5"/>
        <v>0</v>
      </c>
      <c r="BP16" s="7">
        <f t="shared" si="6"/>
        <v>0</v>
      </c>
      <c r="BQ16" s="7">
        <f t="shared" si="7"/>
        <v>0</v>
      </c>
      <c r="BR16" s="7">
        <f t="shared" si="8"/>
        <v>1</v>
      </c>
      <c r="BS16" s="7">
        <f t="shared" si="9"/>
        <v>0</v>
      </c>
      <c r="BT16" s="3"/>
      <c r="BU16" s="1">
        <v>14</v>
      </c>
      <c r="BV16" s="7">
        <f t="shared" si="10"/>
        <v>0</v>
      </c>
      <c r="BW16" s="7">
        <f t="shared" si="11"/>
        <v>0</v>
      </c>
      <c r="BX16" s="7">
        <f t="shared" si="12"/>
        <v>0</v>
      </c>
      <c r="BY16" s="7">
        <f t="shared" si="13"/>
        <v>3</v>
      </c>
      <c r="BZ16" s="7">
        <f t="shared" si="14"/>
        <v>0</v>
      </c>
      <c r="CA16" s="3"/>
      <c r="CB16" s="1">
        <v>14</v>
      </c>
      <c r="CC16" s="1">
        <f t="shared" si="15"/>
        <v>0</v>
      </c>
      <c r="CD16" s="1">
        <f t="shared" si="16"/>
        <v>0</v>
      </c>
      <c r="CE16" s="1">
        <f t="shared" si="17"/>
        <v>0</v>
      </c>
      <c r="CF16" s="1">
        <f t="shared" si="18"/>
        <v>2.4082246852806923</v>
      </c>
      <c r="CG16" s="22">
        <f t="shared" si="19"/>
        <v>0</v>
      </c>
    </row>
    <row r="17" spans="1:85" x14ac:dyDescent="0.3">
      <c r="A17" s="14">
        <v>15</v>
      </c>
      <c r="B17" s="15">
        <v>7</v>
      </c>
      <c r="C17" s="16"/>
      <c r="D17" s="1">
        <v>15</v>
      </c>
      <c r="E17" s="15">
        <v>9</v>
      </c>
      <c r="F17" s="16"/>
      <c r="G17" s="1">
        <v>15</v>
      </c>
      <c r="H17" s="15">
        <v>4</v>
      </c>
      <c r="I17" s="16"/>
      <c r="J17" s="1">
        <v>15</v>
      </c>
      <c r="K17" s="15">
        <v>11</v>
      </c>
      <c r="L17" s="15"/>
      <c r="M17" s="1">
        <v>15</v>
      </c>
      <c r="N17" s="17">
        <v>0.8</v>
      </c>
      <c r="O17" s="17"/>
      <c r="P17" s="1">
        <v>15</v>
      </c>
      <c r="Q17" s="15">
        <v>3</v>
      </c>
      <c r="R17" s="15"/>
      <c r="S17" s="1">
        <v>15</v>
      </c>
      <c r="T17" s="15">
        <v>21</v>
      </c>
      <c r="U17" s="3"/>
      <c r="V17" s="1">
        <v>15</v>
      </c>
      <c r="W17" s="7">
        <f t="shared" si="0"/>
        <v>8</v>
      </c>
      <c r="X17" s="7">
        <f t="shared" si="1"/>
        <v>7</v>
      </c>
      <c r="Y17" s="7">
        <f t="shared" si="2"/>
        <v>6</v>
      </c>
      <c r="Z17" s="7">
        <f t="shared" si="3"/>
        <v>6</v>
      </c>
      <c r="AA17" s="7">
        <f t="shared" si="4"/>
        <v>7</v>
      </c>
      <c r="AB17" s="13"/>
      <c r="AG17" s="1"/>
      <c r="AI17" s="12"/>
      <c r="AJ17" s="3"/>
      <c r="AK17" s="1">
        <v>15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3"/>
      <c r="AR17" s="1">
        <v>15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3"/>
      <c r="AY17" s="1">
        <v>15</v>
      </c>
      <c r="AZ17" s="7">
        <v>0</v>
      </c>
      <c r="BA17" s="7">
        <v>0</v>
      </c>
      <c r="BB17" s="7">
        <v>0</v>
      </c>
      <c r="BC17" s="7">
        <v>0</v>
      </c>
      <c r="BD17" s="7">
        <v>1</v>
      </c>
      <c r="BE17" s="3"/>
      <c r="BF17" s="1">
        <v>15</v>
      </c>
      <c r="BG17" s="7">
        <v>0</v>
      </c>
      <c r="BH17" s="7">
        <v>0</v>
      </c>
      <c r="BI17" s="7">
        <v>0</v>
      </c>
      <c r="BJ17" s="7">
        <v>0</v>
      </c>
      <c r="BK17" s="23">
        <v>0</v>
      </c>
      <c r="BM17" s="12"/>
      <c r="BN17" s="1">
        <v>15</v>
      </c>
      <c r="BO17" s="7">
        <f t="shared" si="5"/>
        <v>0</v>
      </c>
      <c r="BP17" s="7">
        <f t="shared" si="6"/>
        <v>0</v>
      </c>
      <c r="BQ17" s="7">
        <f t="shared" si="7"/>
        <v>0</v>
      </c>
      <c r="BR17" s="7">
        <f t="shared" si="8"/>
        <v>0</v>
      </c>
      <c r="BS17" s="7">
        <f t="shared" si="9"/>
        <v>1</v>
      </c>
      <c r="BT17" s="3"/>
      <c r="BU17" s="1">
        <v>15</v>
      </c>
      <c r="BV17" s="7">
        <f t="shared" si="10"/>
        <v>0</v>
      </c>
      <c r="BW17" s="7">
        <f t="shared" si="11"/>
        <v>0</v>
      </c>
      <c r="BX17" s="7">
        <f t="shared" si="12"/>
        <v>0</v>
      </c>
      <c r="BY17" s="7">
        <f t="shared" si="13"/>
        <v>0</v>
      </c>
      <c r="BZ17" s="7">
        <f t="shared" si="14"/>
        <v>3</v>
      </c>
      <c r="CA17" s="3"/>
      <c r="CB17" s="1">
        <v>15</v>
      </c>
      <c r="CC17" s="1">
        <f t="shared" si="15"/>
        <v>0</v>
      </c>
      <c r="CD17" s="1">
        <f t="shared" si="16"/>
        <v>0</v>
      </c>
      <c r="CE17" s="1">
        <f t="shared" si="17"/>
        <v>0</v>
      </c>
      <c r="CF17" s="1">
        <f t="shared" si="18"/>
        <v>0</v>
      </c>
      <c r="CG17" s="22">
        <f t="shared" si="19"/>
        <v>2.4082246852806923</v>
      </c>
    </row>
    <row r="18" spans="1:85" x14ac:dyDescent="0.3">
      <c r="A18" s="14">
        <v>16</v>
      </c>
      <c r="B18" s="15">
        <v>14</v>
      </c>
      <c r="C18" s="16"/>
      <c r="D18" s="1">
        <v>16</v>
      </c>
      <c r="E18" s="15">
        <v>6</v>
      </c>
      <c r="F18" s="16"/>
      <c r="G18" s="1">
        <v>16</v>
      </c>
      <c r="H18" s="15">
        <v>3</v>
      </c>
      <c r="I18" s="16"/>
      <c r="J18" s="1">
        <v>16</v>
      </c>
      <c r="K18" s="15">
        <v>2</v>
      </c>
      <c r="L18" s="15"/>
      <c r="M18" s="1">
        <v>16</v>
      </c>
      <c r="N18" s="17">
        <v>0.1</v>
      </c>
      <c r="O18" s="17"/>
      <c r="P18" s="1">
        <v>16</v>
      </c>
      <c r="Q18" s="15">
        <v>5</v>
      </c>
      <c r="R18" s="15"/>
      <c r="S18" s="1">
        <v>16</v>
      </c>
      <c r="T18" s="15">
        <v>22</v>
      </c>
      <c r="U18" s="3"/>
      <c r="V18" s="1">
        <v>16</v>
      </c>
      <c r="W18" s="7">
        <f t="shared" si="0"/>
        <v>11</v>
      </c>
      <c r="X18" s="7">
        <f t="shared" si="1"/>
        <v>10</v>
      </c>
      <c r="Y18" s="7">
        <f t="shared" si="2"/>
        <v>8</v>
      </c>
      <c r="Z18" s="7">
        <f t="shared" si="3"/>
        <v>9</v>
      </c>
      <c r="AA18" s="7">
        <f t="shared" si="4"/>
        <v>9</v>
      </c>
      <c r="AB18" s="13"/>
      <c r="AG18" s="1"/>
      <c r="AI18" s="12"/>
      <c r="AJ18" s="3"/>
      <c r="AK18" s="1">
        <v>16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3"/>
      <c r="AR18" s="1">
        <v>16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3"/>
      <c r="AY18" s="1">
        <v>16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3"/>
      <c r="BF18" s="1">
        <v>16</v>
      </c>
      <c r="BG18" s="7">
        <v>0</v>
      </c>
      <c r="BH18" s="7">
        <v>0</v>
      </c>
      <c r="BI18" s="7">
        <v>0</v>
      </c>
      <c r="BJ18" s="7">
        <v>0</v>
      </c>
      <c r="BK18" s="23">
        <v>0</v>
      </c>
      <c r="BM18" s="12"/>
      <c r="BN18" s="1">
        <v>16</v>
      </c>
      <c r="BO18" s="7">
        <f t="shared" si="5"/>
        <v>0</v>
      </c>
      <c r="BP18" s="7">
        <f t="shared" si="6"/>
        <v>0</v>
      </c>
      <c r="BQ18" s="7">
        <f t="shared" si="7"/>
        <v>0</v>
      </c>
      <c r="BR18" s="7">
        <f t="shared" si="8"/>
        <v>0</v>
      </c>
      <c r="BS18" s="7">
        <f t="shared" si="9"/>
        <v>0</v>
      </c>
      <c r="BT18" s="3"/>
      <c r="BU18" s="1">
        <v>16</v>
      </c>
      <c r="BV18" s="7">
        <f t="shared" si="10"/>
        <v>0</v>
      </c>
      <c r="BW18" s="7">
        <f t="shared" si="11"/>
        <v>0</v>
      </c>
      <c r="BX18" s="7">
        <f t="shared" si="12"/>
        <v>0</v>
      </c>
      <c r="BY18" s="7">
        <f t="shared" si="13"/>
        <v>0</v>
      </c>
      <c r="BZ18" s="7">
        <f t="shared" si="14"/>
        <v>0</v>
      </c>
      <c r="CA18" s="3"/>
      <c r="CB18" s="1">
        <v>16</v>
      </c>
      <c r="CC18" s="1">
        <f t="shared" si="15"/>
        <v>0</v>
      </c>
      <c r="CD18" s="1">
        <f t="shared" si="16"/>
        <v>0</v>
      </c>
      <c r="CE18" s="1">
        <f t="shared" si="17"/>
        <v>0</v>
      </c>
      <c r="CF18" s="1">
        <f t="shared" si="18"/>
        <v>0</v>
      </c>
      <c r="CG18" s="22">
        <f t="shared" si="19"/>
        <v>0</v>
      </c>
    </row>
    <row r="19" spans="1:85" x14ac:dyDescent="0.3">
      <c r="A19" s="14">
        <v>17</v>
      </c>
      <c r="B19" s="15">
        <v>9</v>
      </c>
      <c r="C19" s="16"/>
      <c r="D19" s="1">
        <v>17</v>
      </c>
      <c r="E19" s="15">
        <v>6</v>
      </c>
      <c r="F19" s="16"/>
      <c r="G19" s="1">
        <v>17</v>
      </c>
      <c r="H19" s="15">
        <v>8</v>
      </c>
      <c r="I19" s="16"/>
      <c r="J19" s="1">
        <v>17</v>
      </c>
      <c r="K19" s="15">
        <v>9</v>
      </c>
      <c r="L19" s="15"/>
      <c r="M19" s="1">
        <v>17</v>
      </c>
      <c r="N19" s="17">
        <v>0.1</v>
      </c>
      <c r="O19" s="17"/>
      <c r="P19" s="1">
        <v>17</v>
      </c>
      <c r="Q19" s="15">
        <v>3</v>
      </c>
      <c r="R19" s="15"/>
      <c r="S19" s="1">
        <v>17</v>
      </c>
      <c r="T19" s="15">
        <v>21</v>
      </c>
      <c r="U19" s="3"/>
      <c r="V19" s="1">
        <v>17</v>
      </c>
      <c r="W19" s="7">
        <f t="shared" si="0"/>
        <v>4</v>
      </c>
      <c r="X19" s="7">
        <f t="shared" si="1"/>
        <v>3</v>
      </c>
      <c r="Y19" s="7">
        <f t="shared" si="2"/>
        <v>3</v>
      </c>
      <c r="Z19" s="7">
        <f t="shared" si="3"/>
        <v>3</v>
      </c>
      <c r="AA19" s="7">
        <f t="shared" si="4"/>
        <v>3</v>
      </c>
      <c r="AB19" s="13"/>
      <c r="AG19" s="1"/>
      <c r="AI19" s="12"/>
      <c r="AJ19" s="3"/>
      <c r="AK19" s="1">
        <v>17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3"/>
      <c r="AR19" s="1">
        <v>17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3"/>
      <c r="AY19" s="1">
        <v>17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3"/>
      <c r="BF19" s="1">
        <v>17</v>
      </c>
      <c r="BG19" s="7">
        <v>0</v>
      </c>
      <c r="BH19" s="7">
        <v>0</v>
      </c>
      <c r="BI19" s="7">
        <v>0</v>
      </c>
      <c r="BJ19" s="7">
        <v>0</v>
      </c>
      <c r="BK19" s="23">
        <v>0</v>
      </c>
      <c r="BM19" s="12"/>
      <c r="BN19" s="1">
        <v>17</v>
      </c>
      <c r="BO19" s="7">
        <f t="shared" si="5"/>
        <v>0</v>
      </c>
      <c r="BP19" s="7">
        <f t="shared" si="6"/>
        <v>0</v>
      </c>
      <c r="BQ19" s="7">
        <f t="shared" si="7"/>
        <v>0</v>
      </c>
      <c r="BR19" s="7">
        <f t="shared" si="8"/>
        <v>0</v>
      </c>
      <c r="BS19" s="7">
        <f t="shared" si="9"/>
        <v>0</v>
      </c>
      <c r="BT19" s="3"/>
      <c r="BU19" s="1">
        <v>17</v>
      </c>
      <c r="BV19" s="7">
        <f t="shared" si="10"/>
        <v>0</v>
      </c>
      <c r="BW19" s="7">
        <f t="shared" si="11"/>
        <v>0</v>
      </c>
      <c r="BX19" s="7">
        <f t="shared" si="12"/>
        <v>0</v>
      </c>
      <c r="BY19" s="7">
        <f t="shared" si="13"/>
        <v>0</v>
      </c>
      <c r="BZ19" s="7">
        <f t="shared" si="14"/>
        <v>0</v>
      </c>
      <c r="CA19" s="3"/>
      <c r="CB19" s="1">
        <v>17</v>
      </c>
      <c r="CC19" s="1">
        <f t="shared" si="15"/>
        <v>0</v>
      </c>
      <c r="CD19" s="1">
        <f t="shared" si="16"/>
        <v>0</v>
      </c>
      <c r="CE19" s="1">
        <f t="shared" si="17"/>
        <v>0</v>
      </c>
      <c r="CF19" s="1">
        <f t="shared" si="18"/>
        <v>0</v>
      </c>
      <c r="CG19" s="22">
        <f t="shared" si="19"/>
        <v>0</v>
      </c>
    </row>
    <row r="20" spans="1:85" x14ac:dyDescent="0.3">
      <c r="A20" s="14">
        <v>18</v>
      </c>
      <c r="B20" s="15">
        <v>10</v>
      </c>
      <c r="C20" s="16"/>
      <c r="D20" s="1">
        <v>18</v>
      </c>
      <c r="E20" s="15">
        <v>5</v>
      </c>
      <c r="F20" s="16"/>
      <c r="G20" s="1">
        <v>18</v>
      </c>
      <c r="H20" s="15">
        <v>2</v>
      </c>
      <c r="I20" s="16"/>
      <c r="J20" s="1">
        <v>18</v>
      </c>
      <c r="K20" s="15">
        <v>1</v>
      </c>
      <c r="L20" s="15"/>
      <c r="M20" s="1">
        <v>18</v>
      </c>
      <c r="N20" s="17">
        <v>0.8</v>
      </c>
      <c r="O20" s="17"/>
      <c r="P20" s="1">
        <v>18</v>
      </c>
      <c r="Q20" s="15">
        <v>4</v>
      </c>
      <c r="R20" s="15"/>
      <c r="S20" s="1">
        <v>18</v>
      </c>
      <c r="T20" s="15">
        <v>20</v>
      </c>
      <c r="U20" s="3"/>
      <c r="V20" s="1">
        <v>18</v>
      </c>
      <c r="W20" s="7">
        <f t="shared" si="0"/>
        <v>17</v>
      </c>
      <c r="X20" s="7">
        <f t="shared" si="1"/>
        <v>15</v>
      </c>
      <c r="Y20" s="7">
        <f t="shared" si="2"/>
        <v>13</v>
      </c>
      <c r="Z20" s="7">
        <f t="shared" si="3"/>
        <v>13</v>
      </c>
      <c r="AA20" s="7">
        <f t="shared" si="4"/>
        <v>14</v>
      </c>
      <c r="AB20" s="13"/>
      <c r="AG20" s="1"/>
      <c r="AI20" s="12"/>
      <c r="AJ20" s="3"/>
      <c r="AK20" s="1">
        <v>18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3"/>
      <c r="AR20" s="1">
        <v>18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3"/>
      <c r="AY20" s="1">
        <v>18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3"/>
      <c r="BF20" s="1">
        <v>18</v>
      </c>
      <c r="BG20" s="7">
        <v>0</v>
      </c>
      <c r="BH20" s="7">
        <v>0</v>
      </c>
      <c r="BI20" s="7">
        <v>0</v>
      </c>
      <c r="BJ20" s="7">
        <v>0</v>
      </c>
      <c r="BK20" s="23">
        <v>0</v>
      </c>
      <c r="BM20" s="12"/>
      <c r="BN20" s="1">
        <v>18</v>
      </c>
      <c r="BO20" s="7">
        <f t="shared" si="5"/>
        <v>0</v>
      </c>
      <c r="BP20" s="7">
        <f t="shared" si="6"/>
        <v>0</v>
      </c>
      <c r="BQ20" s="7">
        <f t="shared" si="7"/>
        <v>0</v>
      </c>
      <c r="BR20" s="7">
        <f t="shared" si="8"/>
        <v>0</v>
      </c>
      <c r="BS20" s="7">
        <f t="shared" si="9"/>
        <v>0</v>
      </c>
      <c r="BT20" s="3"/>
      <c r="BU20" s="1">
        <v>18</v>
      </c>
      <c r="BV20" s="7">
        <f t="shared" si="10"/>
        <v>0</v>
      </c>
      <c r="BW20" s="7">
        <f t="shared" si="11"/>
        <v>0</v>
      </c>
      <c r="BX20" s="7">
        <f t="shared" si="12"/>
        <v>0</v>
      </c>
      <c r="BY20" s="7">
        <f t="shared" si="13"/>
        <v>0</v>
      </c>
      <c r="BZ20" s="7">
        <f t="shared" si="14"/>
        <v>0</v>
      </c>
      <c r="CA20" s="3"/>
      <c r="CB20" s="1">
        <v>18</v>
      </c>
      <c r="CC20" s="1">
        <f t="shared" si="15"/>
        <v>0</v>
      </c>
      <c r="CD20" s="1">
        <f t="shared" si="16"/>
        <v>0</v>
      </c>
      <c r="CE20" s="1">
        <f t="shared" si="17"/>
        <v>0</v>
      </c>
      <c r="CF20" s="1">
        <f t="shared" si="18"/>
        <v>0</v>
      </c>
      <c r="CG20" s="22">
        <f t="shared" si="19"/>
        <v>0</v>
      </c>
    </row>
    <row r="21" spans="1:85" x14ac:dyDescent="0.3">
      <c r="A21" s="14">
        <v>19</v>
      </c>
      <c r="B21" s="15">
        <v>13</v>
      </c>
      <c r="C21" s="16"/>
      <c r="D21" s="1">
        <v>19</v>
      </c>
      <c r="E21" s="15">
        <v>6</v>
      </c>
      <c r="F21" s="16"/>
      <c r="G21" s="1">
        <v>19</v>
      </c>
      <c r="H21" s="15">
        <v>3</v>
      </c>
      <c r="I21" s="16"/>
      <c r="J21" s="1">
        <v>19</v>
      </c>
      <c r="K21" s="15">
        <v>4</v>
      </c>
      <c r="L21" s="15"/>
      <c r="M21" s="1">
        <v>19</v>
      </c>
      <c r="N21" s="17">
        <v>0.2</v>
      </c>
      <c r="O21" s="17"/>
      <c r="P21" s="1">
        <v>19</v>
      </c>
      <c r="Q21" s="15">
        <v>1</v>
      </c>
      <c r="R21" s="15"/>
      <c r="S21" s="1">
        <v>19</v>
      </c>
      <c r="T21" s="15">
        <v>17</v>
      </c>
      <c r="U21" s="3"/>
      <c r="V21" s="1">
        <v>19</v>
      </c>
      <c r="W21" s="7">
        <f t="shared" si="0"/>
        <v>11</v>
      </c>
      <c r="X21" s="7">
        <f t="shared" si="1"/>
        <v>10</v>
      </c>
      <c r="Y21" s="7">
        <f t="shared" si="2"/>
        <v>8</v>
      </c>
      <c r="Z21" s="7">
        <f t="shared" si="3"/>
        <v>9</v>
      </c>
      <c r="AA21" s="7">
        <f t="shared" si="4"/>
        <v>9</v>
      </c>
      <c r="AB21" s="13"/>
      <c r="AG21" s="1"/>
      <c r="AI21" s="12"/>
      <c r="AJ21" s="3"/>
      <c r="AK21" s="1">
        <v>19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3"/>
      <c r="AR21" s="1">
        <v>19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3"/>
      <c r="AY21" s="1">
        <v>19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3"/>
      <c r="BF21" s="1">
        <v>19</v>
      </c>
      <c r="BG21" s="7">
        <v>0</v>
      </c>
      <c r="BH21" s="7">
        <v>0</v>
      </c>
      <c r="BI21" s="7">
        <v>0</v>
      </c>
      <c r="BJ21" s="7">
        <v>0</v>
      </c>
      <c r="BK21" s="23">
        <v>0</v>
      </c>
      <c r="BM21" s="12"/>
      <c r="BN21" s="1">
        <v>19</v>
      </c>
      <c r="BO21" s="7">
        <f t="shared" si="5"/>
        <v>0</v>
      </c>
      <c r="BP21" s="7">
        <f t="shared" si="6"/>
        <v>0</v>
      </c>
      <c r="BQ21" s="7">
        <f t="shared" si="7"/>
        <v>0</v>
      </c>
      <c r="BR21" s="7">
        <f t="shared" si="8"/>
        <v>0</v>
      </c>
      <c r="BS21" s="7">
        <f t="shared" si="9"/>
        <v>0</v>
      </c>
      <c r="BT21" s="3"/>
      <c r="BU21" s="1">
        <v>19</v>
      </c>
      <c r="BV21" s="7">
        <f t="shared" si="10"/>
        <v>0</v>
      </c>
      <c r="BW21" s="7">
        <f t="shared" si="11"/>
        <v>0</v>
      </c>
      <c r="BX21" s="7">
        <f t="shared" si="12"/>
        <v>0</v>
      </c>
      <c r="BY21" s="7">
        <f t="shared" si="13"/>
        <v>0</v>
      </c>
      <c r="BZ21" s="7">
        <f t="shared" si="14"/>
        <v>0</v>
      </c>
      <c r="CA21" s="3"/>
      <c r="CB21" s="1">
        <v>19</v>
      </c>
      <c r="CC21" s="1">
        <f t="shared" si="15"/>
        <v>0</v>
      </c>
      <c r="CD21" s="1">
        <f t="shared" si="16"/>
        <v>0</v>
      </c>
      <c r="CE21" s="1">
        <f t="shared" si="17"/>
        <v>0</v>
      </c>
      <c r="CF21" s="1">
        <f t="shared" si="18"/>
        <v>0</v>
      </c>
      <c r="CG21" s="22">
        <f t="shared" si="19"/>
        <v>0</v>
      </c>
    </row>
    <row r="22" spans="1:85" x14ac:dyDescent="0.3">
      <c r="A22" s="14">
        <v>20</v>
      </c>
      <c r="B22" s="15">
        <v>5</v>
      </c>
      <c r="C22" s="16"/>
      <c r="D22" s="1">
        <v>20</v>
      </c>
      <c r="E22" s="15">
        <v>9</v>
      </c>
      <c r="F22" s="16"/>
      <c r="G22" s="1">
        <v>20</v>
      </c>
      <c r="H22" s="15">
        <v>6</v>
      </c>
      <c r="I22" s="16"/>
      <c r="J22" s="1">
        <v>20</v>
      </c>
      <c r="K22" s="15">
        <v>2</v>
      </c>
      <c r="L22" s="15"/>
      <c r="M22" s="1">
        <v>20</v>
      </c>
      <c r="N22" s="17">
        <v>0.6</v>
      </c>
      <c r="O22" s="17"/>
      <c r="P22" s="1">
        <v>20</v>
      </c>
      <c r="Q22" s="15">
        <v>2</v>
      </c>
      <c r="R22" s="15"/>
      <c r="S22" s="1">
        <v>20</v>
      </c>
      <c r="T22" s="15">
        <v>24</v>
      </c>
      <c r="U22" s="3"/>
      <c r="V22" s="1">
        <v>20</v>
      </c>
      <c r="W22" s="7">
        <f t="shared" si="0"/>
        <v>5</v>
      </c>
      <c r="X22" s="7">
        <f t="shared" si="1"/>
        <v>5</v>
      </c>
      <c r="Y22" s="7">
        <f t="shared" si="2"/>
        <v>4</v>
      </c>
      <c r="Z22" s="7">
        <f t="shared" si="3"/>
        <v>4</v>
      </c>
      <c r="AA22" s="7">
        <f t="shared" si="4"/>
        <v>4</v>
      </c>
      <c r="AB22" s="13"/>
      <c r="AG22" s="1"/>
      <c r="AI22" s="12"/>
      <c r="AJ22" s="3"/>
      <c r="AK22" s="1">
        <v>20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3"/>
      <c r="AR22" s="1">
        <v>20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3"/>
      <c r="AY22" s="1">
        <v>20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3"/>
      <c r="BF22" s="1">
        <v>20</v>
      </c>
      <c r="BG22" s="7">
        <v>0</v>
      </c>
      <c r="BH22" s="7">
        <v>0</v>
      </c>
      <c r="BI22" s="7">
        <v>0</v>
      </c>
      <c r="BJ22" s="7">
        <v>0</v>
      </c>
      <c r="BK22" s="23">
        <v>0</v>
      </c>
      <c r="BM22" s="12"/>
      <c r="BN22" s="1">
        <v>20</v>
      </c>
      <c r="BO22" s="7">
        <f t="shared" si="5"/>
        <v>0</v>
      </c>
      <c r="BP22" s="7">
        <f t="shared" si="6"/>
        <v>0</v>
      </c>
      <c r="BQ22" s="7">
        <f t="shared" si="7"/>
        <v>0</v>
      </c>
      <c r="BR22" s="7">
        <f t="shared" si="8"/>
        <v>0</v>
      </c>
      <c r="BS22" s="7">
        <f t="shared" si="9"/>
        <v>0</v>
      </c>
      <c r="BT22" s="3"/>
      <c r="BU22" s="1">
        <v>20</v>
      </c>
      <c r="BV22" s="7">
        <f t="shared" si="10"/>
        <v>0</v>
      </c>
      <c r="BW22" s="7">
        <f t="shared" si="11"/>
        <v>0</v>
      </c>
      <c r="BX22" s="7">
        <f t="shared" si="12"/>
        <v>0</v>
      </c>
      <c r="BY22" s="7">
        <f t="shared" si="13"/>
        <v>0</v>
      </c>
      <c r="BZ22" s="7">
        <f t="shared" si="14"/>
        <v>0</v>
      </c>
      <c r="CA22" s="3"/>
      <c r="CB22" s="1">
        <v>20</v>
      </c>
      <c r="CC22" s="1">
        <f t="shared" si="15"/>
        <v>0</v>
      </c>
      <c r="CD22" s="1">
        <f t="shared" si="16"/>
        <v>0</v>
      </c>
      <c r="CE22" s="1">
        <f t="shared" si="17"/>
        <v>0</v>
      </c>
      <c r="CF22" s="1">
        <f t="shared" si="18"/>
        <v>0</v>
      </c>
      <c r="CG22" s="22">
        <f t="shared" si="19"/>
        <v>0</v>
      </c>
    </row>
    <row r="23" spans="1:85" x14ac:dyDescent="0.3">
      <c r="A23" s="14">
        <v>21</v>
      </c>
      <c r="B23" s="15">
        <v>11</v>
      </c>
      <c r="C23" s="16"/>
      <c r="D23" s="1">
        <v>21</v>
      </c>
      <c r="E23" s="15">
        <v>7</v>
      </c>
      <c r="F23" s="16"/>
      <c r="G23" s="1">
        <v>21</v>
      </c>
      <c r="H23" s="15">
        <v>2</v>
      </c>
      <c r="I23" s="16"/>
      <c r="J23" s="1">
        <v>21</v>
      </c>
      <c r="K23" s="15">
        <v>6</v>
      </c>
      <c r="L23" s="15"/>
      <c r="M23" s="1">
        <v>21</v>
      </c>
      <c r="N23" s="17">
        <v>0.6</v>
      </c>
      <c r="O23" s="17"/>
      <c r="P23" s="1">
        <v>21</v>
      </c>
      <c r="Q23" s="15">
        <v>3</v>
      </c>
      <c r="R23" s="15"/>
      <c r="S23" s="1">
        <v>21</v>
      </c>
      <c r="T23" s="15">
        <v>23</v>
      </c>
      <c r="U23" s="3"/>
      <c r="V23" s="1">
        <v>21</v>
      </c>
      <c r="W23" s="7">
        <f t="shared" si="0"/>
        <v>17</v>
      </c>
      <c r="X23" s="7">
        <f t="shared" si="1"/>
        <v>15</v>
      </c>
      <c r="Y23" s="7">
        <f t="shared" si="2"/>
        <v>13</v>
      </c>
      <c r="Z23" s="7">
        <f t="shared" si="3"/>
        <v>13</v>
      </c>
      <c r="AA23" s="7">
        <f t="shared" si="4"/>
        <v>14</v>
      </c>
      <c r="AB23" s="13"/>
      <c r="AG23" s="1"/>
      <c r="AI23" s="12"/>
      <c r="AJ23" s="3"/>
      <c r="AK23" s="1">
        <v>21</v>
      </c>
      <c r="AL23" s="7">
        <v>0</v>
      </c>
      <c r="AM23" s="7">
        <v>0</v>
      </c>
      <c r="AN23" s="7">
        <v>0</v>
      </c>
      <c r="AO23" s="7">
        <v>0</v>
      </c>
      <c r="AP23" s="7">
        <v>1</v>
      </c>
      <c r="AQ23" s="3"/>
      <c r="AR23" s="1">
        <v>21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3"/>
      <c r="AY23" s="1">
        <v>21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3"/>
      <c r="BF23" s="1">
        <v>21</v>
      </c>
      <c r="BG23" s="7">
        <v>0</v>
      </c>
      <c r="BH23" s="7">
        <v>0</v>
      </c>
      <c r="BI23" s="7">
        <v>0</v>
      </c>
      <c r="BJ23" s="7">
        <v>0</v>
      </c>
      <c r="BK23" s="23">
        <v>0</v>
      </c>
      <c r="BM23" s="12"/>
      <c r="BN23" s="1">
        <v>21</v>
      </c>
      <c r="BO23" s="7">
        <f t="shared" si="5"/>
        <v>0</v>
      </c>
      <c r="BP23" s="7">
        <f t="shared" si="6"/>
        <v>0</v>
      </c>
      <c r="BQ23" s="7">
        <f t="shared" si="7"/>
        <v>0</v>
      </c>
      <c r="BR23" s="7">
        <f t="shared" si="8"/>
        <v>0</v>
      </c>
      <c r="BS23" s="7">
        <f t="shared" si="9"/>
        <v>1</v>
      </c>
      <c r="BT23" s="3"/>
      <c r="BU23" s="1">
        <v>21</v>
      </c>
      <c r="BV23" s="7">
        <f t="shared" si="10"/>
        <v>0</v>
      </c>
      <c r="BW23" s="7">
        <f t="shared" si="11"/>
        <v>0</v>
      </c>
      <c r="BX23" s="7">
        <f t="shared" si="12"/>
        <v>0</v>
      </c>
      <c r="BY23" s="7">
        <f t="shared" si="13"/>
        <v>0</v>
      </c>
      <c r="BZ23" s="7">
        <f t="shared" si="14"/>
        <v>1</v>
      </c>
      <c r="CA23" s="3"/>
      <c r="CB23" s="1">
        <v>21</v>
      </c>
      <c r="CC23" s="1">
        <f t="shared" si="15"/>
        <v>0</v>
      </c>
      <c r="CD23" s="1">
        <f t="shared" si="16"/>
        <v>0</v>
      </c>
      <c r="CE23" s="1">
        <f t="shared" si="17"/>
        <v>0</v>
      </c>
      <c r="CF23" s="1">
        <f t="shared" si="18"/>
        <v>0</v>
      </c>
      <c r="CG23" s="22">
        <f t="shared" si="19"/>
        <v>1</v>
      </c>
    </row>
    <row r="24" spans="1:85" x14ac:dyDescent="0.3">
      <c r="A24" s="14">
        <v>22</v>
      </c>
      <c r="B24" s="15">
        <v>11</v>
      </c>
      <c r="C24" s="16"/>
      <c r="D24" s="1">
        <v>22</v>
      </c>
      <c r="E24" s="15">
        <v>7</v>
      </c>
      <c r="F24" s="16"/>
      <c r="G24" s="1">
        <v>22</v>
      </c>
      <c r="H24" s="15">
        <v>3</v>
      </c>
      <c r="I24" s="16"/>
      <c r="J24" s="1">
        <v>22</v>
      </c>
      <c r="K24" s="15">
        <v>6</v>
      </c>
      <c r="L24" s="15"/>
      <c r="M24" s="1">
        <v>22</v>
      </c>
      <c r="N24" s="17">
        <v>0.4</v>
      </c>
      <c r="O24" s="17"/>
      <c r="P24" s="1">
        <v>22</v>
      </c>
      <c r="Q24" s="15">
        <v>3</v>
      </c>
      <c r="R24" s="15"/>
      <c r="S24" s="1">
        <v>22</v>
      </c>
      <c r="T24" s="15">
        <v>21</v>
      </c>
      <c r="U24" s="3"/>
      <c r="V24" s="1">
        <v>22</v>
      </c>
      <c r="W24" s="7">
        <f t="shared" si="0"/>
        <v>11</v>
      </c>
      <c r="X24" s="7">
        <f t="shared" si="1"/>
        <v>10</v>
      </c>
      <c r="Y24" s="7">
        <f t="shared" si="2"/>
        <v>8</v>
      </c>
      <c r="Z24" s="7">
        <f t="shared" si="3"/>
        <v>9</v>
      </c>
      <c r="AA24" s="7">
        <f t="shared" si="4"/>
        <v>9</v>
      </c>
      <c r="AB24" s="13"/>
      <c r="AG24" s="1"/>
      <c r="AI24" s="12"/>
      <c r="AJ24" s="3"/>
      <c r="AK24" s="1">
        <v>22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3"/>
      <c r="AR24" s="1">
        <v>22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3"/>
      <c r="AY24" s="1">
        <v>22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3"/>
      <c r="BF24" s="1">
        <v>22</v>
      </c>
      <c r="BG24" s="7">
        <v>0</v>
      </c>
      <c r="BH24" s="7">
        <v>0</v>
      </c>
      <c r="BI24" s="7">
        <v>0</v>
      </c>
      <c r="BJ24" s="7">
        <v>0</v>
      </c>
      <c r="BK24" s="23">
        <v>0</v>
      </c>
      <c r="BM24" s="12"/>
      <c r="BN24" s="1">
        <v>22</v>
      </c>
      <c r="BO24" s="7">
        <f t="shared" si="5"/>
        <v>0</v>
      </c>
      <c r="BP24" s="7">
        <f t="shared" si="6"/>
        <v>0</v>
      </c>
      <c r="BQ24" s="7">
        <f t="shared" si="7"/>
        <v>0</v>
      </c>
      <c r="BR24" s="7">
        <f t="shared" si="8"/>
        <v>0</v>
      </c>
      <c r="BS24" s="7">
        <f t="shared" si="9"/>
        <v>0</v>
      </c>
      <c r="BT24" s="3"/>
      <c r="BU24" s="1">
        <v>22</v>
      </c>
      <c r="BV24" s="7">
        <f t="shared" si="10"/>
        <v>0</v>
      </c>
      <c r="BW24" s="7">
        <f t="shared" si="11"/>
        <v>0</v>
      </c>
      <c r="BX24" s="7">
        <f t="shared" si="12"/>
        <v>0</v>
      </c>
      <c r="BY24" s="7">
        <f t="shared" si="13"/>
        <v>0</v>
      </c>
      <c r="BZ24" s="7">
        <f t="shared" si="14"/>
        <v>0</v>
      </c>
      <c r="CA24" s="3"/>
      <c r="CB24" s="1">
        <v>22</v>
      </c>
      <c r="CC24" s="1">
        <f t="shared" si="15"/>
        <v>0</v>
      </c>
      <c r="CD24" s="1">
        <f t="shared" si="16"/>
        <v>0</v>
      </c>
      <c r="CE24" s="1">
        <f t="shared" si="17"/>
        <v>0</v>
      </c>
      <c r="CF24" s="1">
        <f t="shared" si="18"/>
        <v>0</v>
      </c>
      <c r="CG24" s="22">
        <f t="shared" si="19"/>
        <v>0</v>
      </c>
    </row>
    <row r="25" spans="1:85" x14ac:dyDescent="0.3">
      <c r="A25" s="14">
        <v>23</v>
      </c>
      <c r="B25" s="15">
        <v>7</v>
      </c>
      <c r="C25" s="16"/>
      <c r="D25" s="1">
        <v>23</v>
      </c>
      <c r="E25" s="15">
        <v>8</v>
      </c>
      <c r="F25" s="16"/>
      <c r="G25" s="1">
        <v>23</v>
      </c>
      <c r="H25" s="15">
        <v>6</v>
      </c>
      <c r="I25" s="16"/>
      <c r="J25" s="1">
        <v>23</v>
      </c>
      <c r="K25" s="15">
        <v>8</v>
      </c>
      <c r="L25" s="15"/>
      <c r="M25" s="1">
        <v>23</v>
      </c>
      <c r="N25" s="17">
        <v>0.5</v>
      </c>
      <c r="O25" s="17"/>
      <c r="P25" s="1">
        <v>23</v>
      </c>
      <c r="Q25" s="15">
        <v>1</v>
      </c>
      <c r="R25" s="15"/>
      <c r="S25" s="1">
        <v>23</v>
      </c>
      <c r="T25" s="15">
        <v>15</v>
      </c>
      <c r="U25" s="3"/>
      <c r="V25" s="1">
        <v>23</v>
      </c>
      <c r="W25" s="7">
        <f t="shared" si="0"/>
        <v>5</v>
      </c>
      <c r="X25" s="7">
        <f t="shared" si="1"/>
        <v>5</v>
      </c>
      <c r="Y25" s="7">
        <f t="shared" si="2"/>
        <v>4</v>
      </c>
      <c r="Z25" s="7">
        <f t="shared" si="3"/>
        <v>4</v>
      </c>
      <c r="AA25" s="7">
        <f t="shared" si="4"/>
        <v>4</v>
      </c>
      <c r="AB25" s="13"/>
      <c r="AG25" s="1"/>
      <c r="AI25" s="12"/>
      <c r="AJ25" s="3"/>
      <c r="AK25" s="1">
        <v>23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3"/>
      <c r="AR25" s="1">
        <v>23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3"/>
      <c r="AY25" s="1">
        <v>23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3"/>
      <c r="BF25" s="1">
        <v>23</v>
      </c>
      <c r="BG25" s="7">
        <v>0</v>
      </c>
      <c r="BH25" s="7">
        <v>0</v>
      </c>
      <c r="BI25" s="7">
        <v>0</v>
      </c>
      <c r="BJ25" s="7">
        <v>0</v>
      </c>
      <c r="BK25" s="23">
        <v>0</v>
      </c>
      <c r="BM25" s="12"/>
      <c r="BN25" s="1">
        <v>23</v>
      </c>
      <c r="BO25" s="7">
        <f t="shared" si="5"/>
        <v>0</v>
      </c>
      <c r="BP25" s="7">
        <f t="shared" si="6"/>
        <v>0</v>
      </c>
      <c r="BQ25" s="7">
        <f t="shared" si="7"/>
        <v>0</v>
      </c>
      <c r="BR25" s="7">
        <f t="shared" si="8"/>
        <v>0</v>
      </c>
      <c r="BS25" s="7">
        <f t="shared" si="9"/>
        <v>0</v>
      </c>
      <c r="BT25" s="3"/>
      <c r="BU25" s="1">
        <v>23</v>
      </c>
      <c r="BV25" s="7">
        <f t="shared" si="10"/>
        <v>0</v>
      </c>
      <c r="BW25" s="7">
        <f t="shared" si="11"/>
        <v>0</v>
      </c>
      <c r="BX25" s="7">
        <f t="shared" si="12"/>
        <v>0</v>
      </c>
      <c r="BY25" s="7">
        <f t="shared" si="13"/>
        <v>0</v>
      </c>
      <c r="BZ25" s="7">
        <f t="shared" si="14"/>
        <v>0</v>
      </c>
      <c r="CA25" s="3"/>
      <c r="CB25" s="1">
        <v>23</v>
      </c>
      <c r="CC25" s="1">
        <f t="shared" si="15"/>
        <v>0</v>
      </c>
      <c r="CD25" s="1">
        <f t="shared" si="16"/>
        <v>0</v>
      </c>
      <c r="CE25" s="1">
        <f t="shared" si="17"/>
        <v>0</v>
      </c>
      <c r="CF25" s="1">
        <f t="shared" si="18"/>
        <v>0</v>
      </c>
      <c r="CG25" s="22">
        <f t="shared" si="19"/>
        <v>0</v>
      </c>
    </row>
    <row r="26" spans="1:85" x14ac:dyDescent="0.3">
      <c r="A26" s="14">
        <v>24</v>
      </c>
      <c r="B26" s="15">
        <v>10</v>
      </c>
      <c r="C26" s="16"/>
      <c r="D26" s="1">
        <v>24</v>
      </c>
      <c r="E26" s="15">
        <v>10</v>
      </c>
      <c r="F26" s="16"/>
      <c r="G26" s="1">
        <v>24</v>
      </c>
      <c r="H26" s="15">
        <v>5</v>
      </c>
      <c r="I26" s="16"/>
      <c r="J26" s="1">
        <v>24</v>
      </c>
      <c r="K26" s="15">
        <v>2</v>
      </c>
      <c r="L26" s="15"/>
      <c r="M26" s="1">
        <v>24</v>
      </c>
      <c r="N26" s="17">
        <v>0.8</v>
      </c>
      <c r="O26" s="17"/>
      <c r="P26" s="1">
        <v>24</v>
      </c>
      <c r="Q26" s="15">
        <v>3</v>
      </c>
      <c r="R26" s="15"/>
      <c r="S26" s="1">
        <v>24</v>
      </c>
      <c r="T26" s="15">
        <v>23</v>
      </c>
      <c r="U26" s="3"/>
      <c r="V26" s="1">
        <v>24</v>
      </c>
      <c r="W26" s="7">
        <f t="shared" si="0"/>
        <v>6</v>
      </c>
      <c r="X26" s="7">
        <f t="shared" si="1"/>
        <v>6</v>
      </c>
      <c r="Y26" s="7">
        <f t="shared" si="2"/>
        <v>5</v>
      </c>
      <c r="Z26" s="7">
        <f t="shared" si="3"/>
        <v>5</v>
      </c>
      <c r="AA26" s="7">
        <f t="shared" si="4"/>
        <v>5</v>
      </c>
      <c r="AB26" s="13"/>
      <c r="AG26" s="1"/>
      <c r="AI26" s="12"/>
      <c r="AJ26" s="3"/>
      <c r="AK26" s="1">
        <v>24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3"/>
      <c r="AR26" s="1">
        <v>24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3"/>
      <c r="AY26" s="1">
        <v>24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3"/>
      <c r="BF26" s="1">
        <v>24</v>
      </c>
      <c r="BG26" s="7">
        <v>0</v>
      </c>
      <c r="BH26" s="7">
        <v>0</v>
      </c>
      <c r="BI26" s="7">
        <v>0</v>
      </c>
      <c r="BJ26" s="7">
        <v>0</v>
      </c>
      <c r="BK26" s="23">
        <v>0</v>
      </c>
      <c r="BM26" s="12"/>
      <c r="BN26" s="1">
        <v>24</v>
      </c>
      <c r="BO26" s="7">
        <f t="shared" si="5"/>
        <v>0</v>
      </c>
      <c r="BP26" s="7">
        <f t="shared" si="6"/>
        <v>0</v>
      </c>
      <c r="BQ26" s="7">
        <f t="shared" si="7"/>
        <v>0</v>
      </c>
      <c r="BR26" s="7">
        <f t="shared" si="8"/>
        <v>0</v>
      </c>
      <c r="BS26" s="7">
        <f t="shared" si="9"/>
        <v>0</v>
      </c>
      <c r="BT26" s="3"/>
      <c r="BU26" s="1">
        <v>24</v>
      </c>
      <c r="BV26" s="7">
        <f t="shared" si="10"/>
        <v>0</v>
      </c>
      <c r="BW26" s="7">
        <f t="shared" si="11"/>
        <v>0</v>
      </c>
      <c r="BX26" s="7">
        <f t="shared" si="12"/>
        <v>0</v>
      </c>
      <c r="BY26" s="7">
        <f t="shared" si="13"/>
        <v>0</v>
      </c>
      <c r="BZ26" s="7">
        <f t="shared" si="14"/>
        <v>0</v>
      </c>
      <c r="CA26" s="3"/>
      <c r="CB26" s="1">
        <v>24</v>
      </c>
      <c r="CC26" s="1">
        <f t="shared" si="15"/>
        <v>0</v>
      </c>
      <c r="CD26" s="1">
        <f t="shared" si="16"/>
        <v>0</v>
      </c>
      <c r="CE26" s="1">
        <f t="shared" si="17"/>
        <v>0</v>
      </c>
      <c r="CF26" s="1">
        <f t="shared" si="18"/>
        <v>0</v>
      </c>
      <c r="CG26" s="22">
        <f t="shared" si="19"/>
        <v>0</v>
      </c>
    </row>
    <row r="27" spans="1:85" x14ac:dyDescent="0.3">
      <c r="A27" s="14">
        <v>25</v>
      </c>
      <c r="B27" s="15">
        <v>13</v>
      </c>
      <c r="C27" s="16"/>
      <c r="D27" s="1">
        <v>25</v>
      </c>
      <c r="E27" s="15">
        <v>6</v>
      </c>
      <c r="F27" s="16"/>
      <c r="G27" s="1">
        <v>25</v>
      </c>
      <c r="H27" s="15">
        <v>6</v>
      </c>
      <c r="I27" s="16"/>
      <c r="J27" s="1">
        <v>25</v>
      </c>
      <c r="K27" s="15">
        <v>4</v>
      </c>
      <c r="L27" s="15"/>
      <c r="M27" s="1">
        <v>25</v>
      </c>
      <c r="N27" s="17">
        <v>0.9</v>
      </c>
      <c r="O27" s="17"/>
      <c r="P27" s="1">
        <v>25</v>
      </c>
      <c r="Q27" s="15">
        <v>3</v>
      </c>
      <c r="R27" s="15"/>
      <c r="S27" s="1">
        <v>25</v>
      </c>
      <c r="T27" s="15">
        <v>25</v>
      </c>
      <c r="U27" s="3"/>
      <c r="V27" s="1">
        <v>25</v>
      </c>
      <c r="W27" s="7">
        <f t="shared" si="0"/>
        <v>5</v>
      </c>
      <c r="X27" s="7">
        <f t="shared" si="1"/>
        <v>5</v>
      </c>
      <c r="Y27" s="7">
        <f t="shared" si="2"/>
        <v>4</v>
      </c>
      <c r="Z27" s="7">
        <f t="shared" si="3"/>
        <v>4</v>
      </c>
      <c r="AA27" s="7">
        <f t="shared" si="4"/>
        <v>4</v>
      </c>
      <c r="AB27" s="13"/>
      <c r="AG27" s="1"/>
      <c r="AI27" s="12"/>
      <c r="AJ27" s="3"/>
      <c r="AK27" s="1">
        <v>25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3"/>
      <c r="AR27" s="1">
        <v>25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3"/>
      <c r="AY27" s="1">
        <v>25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3"/>
      <c r="BF27" s="1">
        <v>25</v>
      </c>
      <c r="BG27" s="7">
        <v>0</v>
      </c>
      <c r="BH27" s="7">
        <v>0</v>
      </c>
      <c r="BI27" s="7">
        <v>0</v>
      </c>
      <c r="BJ27" s="7">
        <v>0</v>
      </c>
      <c r="BK27" s="23">
        <v>1</v>
      </c>
      <c r="BM27" s="12"/>
      <c r="BN27" s="1">
        <v>25</v>
      </c>
      <c r="BO27" s="7">
        <f t="shared" si="5"/>
        <v>0</v>
      </c>
      <c r="BP27" s="7">
        <f t="shared" si="6"/>
        <v>0</v>
      </c>
      <c r="BQ27" s="7">
        <f t="shared" si="7"/>
        <v>0</v>
      </c>
      <c r="BR27" s="7">
        <f t="shared" si="8"/>
        <v>0</v>
      </c>
      <c r="BS27" s="7">
        <f t="shared" si="9"/>
        <v>1</v>
      </c>
      <c r="BT27" s="3"/>
      <c r="BU27" s="1">
        <v>25</v>
      </c>
      <c r="BV27" s="7">
        <f t="shared" si="10"/>
        <v>0</v>
      </c>
      <c r="BW27" s="7">
        <f t="shared" si="11"/>
        <v>0</v>
      </c>
      <c r="BX27" s="7">
        <f t="shared" si="12"/>
        <v>0</v>
      </c>
      <c r="BY27" s="7">
        <f t="shared" si="13"/>
        <v>0</v>
      </c>
      <c r="BZ27" s="7">
        <f t="shared" si="14"/>
        <v>4</v>
      </c>
      <c r="CA27" s="3"/>
      <c r="CB27" s="1">
        <v>25</v>
      </c>
      <c r="CC27" s="1">
        <f t="shared" si="15"/>
        <v>0</v>
      </c>
      <c r="CD27" s="1">
        <f t="shared" si="16"/>
        <v>0</v>
      </c>
      <c r="CE27" s="1">
        <f t="shared" si="17"/>
        <v>0</v>
      </c>
      <c r="CF27" s="1">
        <f t="shared" si="18"/>
        <v>0</v>
      </c>
      <c r="CG27" s="22">
        <f t="shared" si="19"/>
        <v>3.4822022531844965</v>
      </c>
    </row>
    <row r="28" spans="1:85" x14ac:dyDescent="0.3">
      <c r="A28" s="14">
        <v>26</v>
      </c>
      <c r="B28" s="15">
        <v>9</v>
      </c>
      <c r="C28" s="16"/>
      <c r="D28" s="1">
        <v>26</v>
      </c>
      <c r="E28" s="15">
        <v>9</v>
      </c>
      <c r="F28" s="16"/>
      <c r="G28" s="1">
        <v>26</v>
      </c>
      <c r="H28" s="15">
        <v>5</v>
      </c>
      <c r="I28" s="16"/>
      <c r="J28" s="1">
        <v>26</v>
      </c>
      <c r="K28" s="15">
        <v>14</v>
      </c>
      <c r="L28" s="15"/>
      <c r="M28" s="1">
        <v>26</v>
      </c>
      <c r="N28" s="17">
        <v>0.7</v>
      </c>
      <c r="O28" s="17"/>
      <c r="P28" s="1">
        <v>26</v>
      </c>
      <c r="Q28" s="15">
        <v>4</v>
      </c>
      <c r="R28" s="15"/>
      <c r="S28" s="1">
        <v>26</v>
      </c>
      <c r="T28" s="15">
        <v>23</v>
      </c>
      <c r="U28" s="3"/>
      <c r="V28" s="1">
        <v>26</v>
      </c>
      <c r="W28" s="7">
        <f t="shared" si="0"/>
        <v>6</v>
      </c>
      <c r="X28" s="7">
        <f t="shared" si="1"/>
        <v>6</v>
      </c>
      <c r="Y28" s="7">
        <f t="shared" si="2"/>
        <v>5</v>
      </c>
      <c r="Z28" s="7">
        <f t="shared" si="3"/>
        <v>5</v>
      </c>
      <c r="AA28" s="7">
        <f t="shared" si="4"/>
        <v>5</v>
      </c>
      <c r="AB28" s="13"/>
      <c r="AG28" s="1"/>
      <c r="AI28" s="12"/>
      <c r="AJ28" s="3"/>
      <c r="AK28" s="1">
        <v>26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3"/>
      <c r="AR28" s="1">
        <v>26</v>
      </c>
      <c r="AS28" s="7">
        <v>0</v>
      </c>
      <c r="AT28" s="7">
        <v>1</v>
      </c>
      <c r="AU28" s="7">
        <v>0</v>
      </c>
      <c r="AV28" s="7">
        <v>0</v>
      </c>
      <c r="AW28" s="7">
        <v>0</v>
      </c>
      <c r="AX28" s="3"/>
      <c r="AY28" s="1">
        <v>26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3"/>
      <c r="BF28" s="1">
        <v>26</v>
      </c>
      <c r="BG28" s="7">
        <v>0</v>
      </c>
      <c r="BH28" s="7">
        <v>0</v>
      </c>
      <c r="BI28" s="7">
        <v>0</v>
      </c>
      <c r="BJ28" s="7">
        <v>0</v>
      </c>
      <c r="BK28" s="23">
        <v>0</v>
      </c>
      <c r="BM28" s="12"/>
      <c r="BN28" s="1">
        <v>26</v>
      </c>
      <c r="BO28" s="7">
        <f t="shared" si="5"/>
        <v>0</v>
      </c>
      <c r="BP28" s="7">
        <f t="shared" si="6"/>
        <v>1</v>
      </c>
      <c r="BQ28" s="7">
        <f t="shared" si="7"/>
        <v>0</v>
      </c>
      <c r="BR28" s="7">
        <f t="shared" si="8"/>
        <v>0</v>
      </c>
      <c r="BS28" s="7">
        <f t="shared" si="9"/>
        <v>0</v>
      </c>
      <c r="BT28" s="3"/>
      <c r="BU28" s="1">
        <v>26</v>
      </c>
      <c r="BV28" s="7">
        <f t="shared" si="10"/>
        <v>0</v>
      </c>
      <c r="BW28" s="7">
        <f t="shared" si="11"/>
        <v>2</v>
      </c>
      <c r="BX28" s="7">
        <f t="shared" si="12"/>
        <v>0</v>
      </c>
      <c r="BY28" s="7">
        <f t="shared" si="13"/>
        <v>0</v>
      </c>
      <c r="BZ28" s="7">
        <f t="shared" si="14"/>
        <v>0</v>
      </c>
      <c r="CA28" s="3"/>
      <c r="CB28" s="1">
        <v>26</v>
      </c>
      <c r="CC28" s="1">
        <f t="shared" si="15"/>
        <v>0</v>
      </c>
      <c r="CD28" s="1">
        <f t="shared" si="16"/>
        <v>1.6245047927124709</v>
      </c>
      <c r="CE28" s="1">
        <f t="shared" si="17"/>
        <v>0</v>
      </c>
      <c r="CF28" s="1">
        <f t="shared" si="18"/>
        <v>0</v>
      </c>
      <c r="CG28" s="22">
        <f t="shared" si="19"/>
        <v>0</v>
      </c>
    </row>
    <row r="29" spans="1:85" x14ac:dyDescent="0.3">
      <c r="A29" s="14">
        <v>27</v>
      </c>
      <c r="B29" s="15">
        <v>9</v>
      </c>
      <c r="C29" s="16"/>
      <c r="D29" s="1">
        <v>27</v>
      </c>
      <c r="E29" s="15">
        <v>9</v>
      </c>
      <c r="F29" s="16"/>
      <c r="G29" s="1">
        <v>27</v>
      </c>
      <c r="H29" s="15">
        <v>4</v>
      </c>
      <c r="I29" s="16"/>
      <c r="J29" s="1">
        <v>27</v>
      </c>
      <c r="K29" s="15">
        <v>3</v>
      </c>
      <c r="L29" s="15"/>
      <c r="M29" s="1">
        <v>27</v>
      </c>
      <c r="N29" s="17">
        <v>0.7</v>
      </c>
      <c r="O29" s="17"/>
      <c r="P29" s="1">
        <v>27</v>
      </c>
      <c r="Q29" s="15">
        <v>3</v>
      </c>
      <c r="R29" s="15"/>
      <c r="S29" s="1">
        <v>27</v>
      </c>
      <c r="T29" s="15">
        <v>16</v>
      </c>
      <c r="U29" s="3"/>
      <c r="V29" s="1">
        <v>27</v>
      </c>
      <c r="W29" s="7">
        <f t="shared" si="0"/>
        <v>8</v>
      </c>
      <c r="X29" s="7">
        <f t="shared" si="1"/>
        <v>7</v>
      </c>
      <c r="Y29" s="7">
        <f t="shared" si="2"/>
        <v>6</v>
      </c>
      <c r="Z29" s="7">
        <f t="shared" si="3"/>
        <v>6</v>
      </c>
      <c r="AA29" s="7">
        <f t="shared" si="4"/>
        <v>7</v>
      </c>
      <c r="AB29" s="13"/>
      <c r="AG29" s="1"/>
      <c r="AI29" s="12"/>
      <c r="AJ29" s="3"/>
      <c r="AK29" s="1">
        <v>27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3"/>
      <c r="AR29" s="1">
        <v>27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3"/>
      <c r="AY29" s="1">
        <v>27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3"/>
      <c r="BF29" s="1">
        <v>27</v>
      </c>
      <c r="BG29" s="7">
        <v>0</v>
      </c>
      <c r="BH29" s="7">
        <v>0</v>
      </c>
      <c r="BI29" s="7">
        <v>0</v>
      </c>
      <c r="BJ29" s="7">
        <v>0</v>
      </c>
      <c r="BK29" s="23">
        <v>0</v>
      </c>
      <c r="BM29" s="12"/>
      <c r="BN29" s="1">
        <v>27</v>
      </c>
      <c r="BO29" s="7">
        <f t="shared" si="5"/>
        <v>0</v>
      </c>
      <c r="BP29" s="7">
        <f t="shared" si="6"/>
        <v>0</v>
      </c>
      <c r="BQ29" s="7">
        <f t="shared" si="7"/>
        <v>0</v>
      </c>
      <c r="BR29" s="7">
        <f t="shared" si="8"/>
        <v>0</v>
      </c>
      <c r="BS29" s="7">
        <f t="shared" si="9"/>
        <v>0</v>
      </c>
      <c r="BT29" s="3"/>
      <c r="BU29" s="1">
        <v>27</v>
      </c>
      <c r="BV29" s="7">
        <f t="shared" si="10"/>
        <v>0</v>
      </c>
      <c r="BW29" s="7">
        <f t="shared" si="11"/>
        <v>0</v>
      </c>
      <c r="BX29" s="7">
        <f t="shared" si="12"/>
        <v>0</v>
      </c>
      <c r="BY29" s="7">
        <f t="shared" si="13"/>
        <v>0</v>
      </c>
      <c r="BZ29" s="7">
        <f t="shared" si="14"/>
        <v>0</v>
      </c>
      <c r="CA29" s="3"/>
      <c r="CB29" s="1">
        <v>27</v>
      </c>
      <c r="CC29" s="1">
        <f t="shared" si="15"/>
        <v>0</v>
      </c>
      <c r="CD29" s="1">
        <f t="shared" si="16"/>
        <v>0</v>
      </c>
      <c r="CE29" s="1">
        <f t="shared" si="17"/>
        <v>0</v>
      </c>
      <c r="CF29" s="1">
        <f t="shared" si="18"/>
        <v>0</v>
      </c>
      <c r="CG29" s="22">
        <f t="shared" si="19"/>
        <v>0</v>
      </c>
    </row>
    <row r="30" spans="1:85" x14ac:dyDescent="0.3">
      <c r="A30" s="14">
        <v>28</v>
      </c>
      <c r="B30" s="15">
        <v>12</v>
      </c>
      <c r="C30" s="16"/>
      <c r="D30" s="1">
        <v>28</v>
      </c>
      <c r="E30" s="15">
        <v>10</v>
      </c>
      <c r="F30" s="16"/>
      <c r="G30" s="1">
        <v>28</v>
      </c>
      <c r="H30" s="15">
        <v>4</v>
      </c>
      <c r="I30" s="16"/>
      <c r="J30" s="1">
        <v>28</v>
      </c>
      <c r="K30" s="15">
        <v>12</v>
      </c>
      <c r="L30" s="15"/>
      <c r="M30" s="1">
        <v>28</v>
      </c>
      <c r="N30" s="17">
        <v>0.6</v>
      </c>
      <c r="O30" s="17"/>
      <c r="P30" s="1">
        <v>28</v>
      </c>
      <c r="Q30" s="15">
        <v>4</v>
      </c>
      <c r="R30" s="15"/>
      <c r="S30" s="1">
        <v>28</v>
      </c>
      <c r="T30" s="15">
        <v>18</v>
      </c>
      <c r="U30" s="3"/>
      <c r="V30" s="1">
        <v>28</v>
      </c>
      <c r="W30" s="7">
        <f t="shared" si="0"/>
        <v>8</v>
      </c>
      <c r="X30" s="7">
        <f t="shared" si="1"/>
        <v>7</v>
      </c>
      <c r="Y30" s="7">
        <f t="shared" si="2"/>
        <v>6</v>
      </c>
      <c r="Z30" s="7">
        <f t="shared" si="3"/>
        <v>6</v>
      </c>
      <c r="AA30" s="7">
        <f t="shared" si="4"/>
        <v>7</v>
      </c>
      <c r="AB30" s="13"/>
      <c r="AG30" s="1"/>
      <c r="AI30" s="12"/>
      <c r="AJ30" s="3"/>
      <c r="AK30" s="1">
        <v>28</v>
      </c>
      <c r="AL30" s="7">
        <v>0</v>
      </c>
      <c r="AM30" s="7">
        <v>1</v>
      </c>
      <c r="AN30" s="7">
        <v>0</v>
      </c>
      <c r="AO30" s="7">
        <v>0</v>
      </c>
      <c r="AP30" s="7">
        <v>0</v>
      </c>
      <c r="AQ30" s="3"/>
      <c r="AR30" s="1">
        <v>28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3"/>
      <c r="AY30" s="1">
        <v>28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3"/>
      <c r="BF30" s="1">
        <v>28</v>
      </c>
      <c r="BG30" s="7">
        <v>0</v>
      </c>
      <c r="BH30" s="7">
        <v>0</v>
      </c>
      <c r="BI30" s="7">
        <v>0</v>
      </c>
      <c r="BJ30" s="7">
        <v>0</v>
      </c>
      <c r="BK30" s="23">
        <v>0</v>
      </c>
      <c r="BM30" s="12"/>
      <c r="BN30" s="1">
        <v>28</v>
      </c>
      <c r="BO30" s="7">
        <f t="shared" si="5"/>
        <v>0</v>
      </c>
      <c r="BP30" s="7">
        <f t="shared" si="6"/>
        <v>1</v>
      </c>
      <c r="BQ30" s="7">
        <f t="shared" si="7"/>
        <v>0</v>
      </c>
      <c r="BR30" s="7">
        <f t="shared" si="8"/>
        <v>0</v>
      </c>
      <c r="BS30" s="7">
        <f t="shared" si="9"/>
        <v>0</v>
      </c>
      <c r="BT30" s="3"/>
      <c r="BU30" s="1">
        <v>28</v>
      </c>
      <c r="BV30" s="7">
        <f t="shared" si="10"/>
        <v>0</v>
      </c>
      <c r="BW30" s="7">
        <f t="shared" si="11"/>
        <v>1</v>
      </c>
      <c r="BX30" s="7">
        <f t="shared" si="12"/>
        <v>0</v>
      </c>
      <c r="BY30" s="7">
        <f t="shared" si="13"/>
        <v>0</v>
      </c>
      <c r="BZ30" s="7">
        <f t="shared" si="14"/>
        <v>0</v>
      </c>
      <c r="CA30" s="3"/>
      <c r="CB30" s="1">
        <v>28</v>
      </c>
      <c r="CC30" s="1">
        <f t="shared" si="15"/>
        <v>0</v>
      </c>
      <c r="CD30" s="1">
        <f t="shared" si="16"/>
        <v>1</v>
      </c>
      <c r="CE30" s="1">
        <f t="shared" si="17"/>
        <v>0</v>
      </c>
      <c r="CF30" s="1">
        <f t="shared" si="18"/>
        <v>0</v>
      </c>
      <c r="CG30" s="22">
        <f t="shared" si="19"/>
        <v>0</v>
      </c>
    </row>
    <row r="31" spans="1:85" x14ac:dyDescent="0.3">
      <c r="A31" s="14">
        <v>29</v>
      </c>
      <c r="B31" s="15">
        <v>9</v>
      </c>
      <c r="C31" s="16"/>
      <c r="D31" s="1">
        <v>29</v>
      </c>
      <c r="E31" s="15">
        <v>6</v>
      </c>
      <c r="F31" s="16"/>
      <c r="G31" s="1">
        <v>29</v>
      </c>
      <c r="H31" s="15">
        <v>6</v>
      </c>
      <c r="I31" s="16"/>
      <c r="J31" s="1">
        <v>29</v>
      </c>
      <c r="K31" s="15">
        <v>12</v>
      </c>
      <c r="L31" s="15"/>
      <c r="M31" s="1">
        <v>29</v>
      </c>
      <c r="N31" s="17">
        <v>0.3</v>
      </c>
      <c r="O31" s="17"/>
      <c r="P31" s="1">
        <v>29</v>
      </c>
      <c r="Q31" s="15">
        <v>1</v>
      </c>
      <c r="R31" s="15"/>
      <c r="S31" s="1">
        <v>29</v>
      </c>
      <c r="T31" s="15">
        <v>25</v>
      </c>
      <c r="U31" s="3"/>
      <c r="V31" s="1">
        <v>29</v>
      </c>
      <c r="W31" s="7">
        <f t="shared" si="0"/>
        <v>5</v>
      </c>
      <c r="X31" s="7">
        <f t="shared" si="1"/>
        <v>5</v>
      </c>
      <c r="Y31" s="7">
        <f t="shared" si="2"/>
        <v>4</v>
      </c>
      <c r="Z31" s="7">
        <f t="shared" si="3"/>
        <v>4</v>
      </c>
      <c r="AA31" s="7">
        <f t="shared" si="4"/>
        <v>4</v>
      </c>
      <c r="AB31" s="13"/>
      <c r="AG31" s="1"/>
      <c r="AI31" s="12"/>
      <c r="AJ31" s="3"/>
      <c r="AK31" s="1">
        <v>29</v>
      </c>
      <c r="AL31" s="7">
        <v>1</v>
      </c>
      <c r="AM31" s="7">
        <v>0</v>
      </c>
      <c r="AN31" s="7">
        <v>0</v>
      </c>
      <c r="AO31" s="7">
        <v>0</v>
      </c>
      <c r="AP31" s="7">
        <v>0</v>
      </c>
      <c r="AQ31" s="3"/>
      <c r="AR31" s="1">
        <v>29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3"/>
      <c r="AY31" s="1">
        <v>29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3"/>
      <c r="BF31" s="1">
        <v>29</v>
      </c>
      <c r="BG31" s="7">
        <v>0</v>
      </c>
      <c r="BH31" s="7">
        <v>0</v>
      </c>
      <c r="BI31" s="7">
        <v>0</v>
      </c>
      <c r="BJ31" s="7">
        <v>0</v>
      </c>
      <c r="BK31" s="23">
        <v>0</v>
      </c>
      <c r="BM31" s="12"/>
      <c r="BN31" s="1">
        <v>29</v>
      </c>
      <c r="BO31" s="7">
        <f t="shared" si="5"/>
        <v>1</v>
      </c>
      <c r="BP31" s="7">
        <f t="shared" si="6"/>
        <v>0</v>
      </c>
      <c r="BQ31" s="7">
        <f t="shared" si="7"/>
        <v>0</v>
      </c>
      <c r="BR31" s="7">
        <f t="shared" si="8"/>
        <v>0</v>
      </c>
      <c r="BS31" s="7">
        <f t="shared" si="9"/>
        <v>0</v>
      </c>
      <c r="BT31" s="3"/>
      <c r="BU31" s="1">
        <v>29</v>
      </c>
      <c r="BV31" s="7">
        <f t="shared" si="10"/>
        <v>1</v>
      </c>
      <c r="BW31" s="7">
        <f t="shared" si="11"/>
        <v>0</v>
      </c>
      <c r="BX31" s="7">
        <f t="shared" si="12"/>
        <v>0</v>
      </c>
      <c r="BY31" s="7">
        <f t="shared" si="13"/>
        <v>0</v>
      </c>
      <c r="BZ31" s="7">
        <f t="shared" si="14"/>
        <v>0</v>
      </c>
      <c r="CA31" s="3"/>
      <c r="CB31" s="1">
        <v>29</v>
      </c>
      <c r="CC31" s="1">
        <f t="shared" si="15"/>
        <v>1</v>
      </c>
      <c r="CD31" s="1">
        <f t="shared" si="16"/>
        <v>0</v>
      </c>
      <c r="CE31" s="1">
        <f t="shared" si="17"/>
        <v>0</v>
      </c>
      <c r="CF31" s="1">
        <f t="shared" si="18"/>
        <v>0</v>
      </c>
      <c r="CG31" s="22">
        <f t="shared" si="19"/>
        <v>0</v>
      </c>
    </row>
    <row r="32" spans="1:85" x14ac:dyDescent="0.3">
      <c r="A32" s="14">
        <v>30</v>
      </c>
      <c r="B32" s="15">
        <v>8</v>
      </c>
      <c r="C32" s="16"/>
      <c r="D32" s="1">
        <v>30</v>
      </c>
      <c r="E32" s="15">
        <v>10</v>
      </c>
      <c r="F32" s="16"/>
      <c r="G32" s="1">
        <v>30</v>
      </c>
      <c r="H32" s="15">
        <v>4</v>
      </c>
      <c r="I32" s="16"/>
      <c r="J32" s="1">
        <v>30</v>
      </c>
      <c r="K32" s="15">
        <v>14</v>
      </c>
      <c r="L32" s="15"/>
      <c r="M32" s="1">
        <v>30</v>
      </c>
      <c r="N32" s="17">
        <v>0.6</v>
      </c>
      <c r="O32" s="17"/>
      <c r="P32" s="1">
        <v>30</v>
      </c>
      <c r="Q32" s="15">
        <v>4</v>
      </c>
      <c r="R32" s="15"/>
      <c r="S32" s="1">
        <v>30</v>
      </c>
      <c r="T32" s="15">
        <v>20</v>
      </c>
      <c r="U32" s="3"/>
      <c r="V32" s="1">
        <v>30</v>
      </c>
      <c r="W32" s="7">
        <f t="shared" si="0"/>
        <v>8</v>
      </c>
      <c r="X32" s="7">
        <f t="shared" si="1"/>
        <v>7</v>
      </c>
      <c r="Y32" s="7">
        <f t="shared" si="2"/>
        <v>6</v>
      </c>
      <c r="Z32" s="7">
        <f t="shared" si="3"/>
        <v>6</v>
      </c>
      <c r="AA32" s="7">
        <f t="shared" si="4"/>
        <v>7</v>
      </c>
      <c r="AB32" s="13"/>
      <c r="AG32" s="1"/>
      <c r="AI32" s="12"/>
      <c r="AJ32" s="3"/>
      <c r="AK32" s="1">
        <v>30</v>
      </c>
      <c r="AL32" s="7">
        <v>0</v>
      </c>
      <c r="AM32" s="7">
        <v>1</v>
      </c>
      <c r="AN32" s="7">
        <v>0</v>
      </c>
      <c r="AO32" s="7">
        <v>0</v>
      </c>
      <c r="AP32" s="7">
        <v>0</v>
      </c>
      <c r="AQ32" s="3"/>
      <c r="AR32" s="1">
        <v>30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3"/>
      <c r="AY32" s="1">
        <v>30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3"/>
      <c r="BF32" s="1">
        <v>30</v>
      </c>
      <c r="BG32" s="7">
        <v>0</v>
      </c>
      <c r="BH32" s="7">
        <v>0</v>
      </c>
      <c r="BI32" s="7">
        <v>0</v>
      </c>
      <c r="BJ32" s="7">
        <v>0</v>
      </c>
      <c r="BK32" s="23">
        <v>0</v>
      </c>
      <c r="BM32" s="12"/>
      <c r="BN32" s="1">
        <v>30</v>
      </c>
      <c r="BO32" s="7">
        <f t="shared" si="5"/>
        <v>0</v>
      </c>
      <c r="BP32" s="7">
        <f t="shared" si="6"/>
        <v>1</v>
      </c>
      <c r="BQ32" s="7">
        <f t="shared" si="7"/>
        <v>0</v>
      </c>
      <c r="BR32" s="7">
        <f t="shared" si="8"/>
        <v>0</v>
      </c>
      <c r="BS32" s="7">
        <f t="shared" si="9"/>
        <v>0</v>
      </c>
      <c r="BT32" s="3"/>
      <c r="BU32" s="1">
        <v>30</v>
      </c>
      <c r="BV32" s="7">
        <f t="shared" si="10"/>
        <v>0</v>
      </c>
      <c r="BW32" s="7">
        <f t="shared" si="11"/>
        <v>1</v>
      </c>
      <c r="BX32" s="7">
        <f t="shared" si="12"/>
        <v>0</v>
      </c>
      <c r="BY32" s="7">
        <f t="shared" si="13"/>
        <v>0</v>
      </c>
      <c r="BZ32" s="7">
        <f t="shared" si="14"/>
        <v>0</v>
      </c>
      <c r="CA32" s="3"/>
      <c r="CB32" s="1">
        <v>30</v>
      </c>
      <c r="CC32" s="1">
        <f t="shared" si="15"/>
        <v>0</v>
      </c>
      <c r="CD32" s="1">
        <f t="shared" si="16"/>
        <v>1</v>
      </c>
      <c r="CE32" s="1">
        <f t="shared" si="17"/>
        <v>0</v>
      </c>
      <c r="CF32" s="1">
        <f t="shared" si="18"/>
        <v>0</v>
      </c>
      <c r="CG32" s="22">
        <f t="shared" si="19"/>
        <v>0</v>
      </c>
    </row>
    <row r="33" spans="1:85" x14ac:dyDescent="0.3">
      <c r="A33" s="14">
        <v>31</v>
      </c>
      <c r="B33" s="15">
        <v>5</v>
      </c>
      <c r="C33" s="16"/>
      <c r="D33" s="1">
        <v>31</v>
      </c>
      <c r="E33" s="15">
        <v>9</v>
      </c>
      <c r="F33" s="16"/>
      <c r="G33" s="1">
        <v>31</v>
      </c>
      <c r="H33" s="15">
        <v>3</v>
      </c>
      <c r="I33" s="16"/>
      <c r="J33" s="1">
        <v>31</v>
      </c>
      <c r="K33" s="15">
        <v>7</v>
      </c>
      <c r="L33" s="15"/>
      <c r="M33" s="1">
        <v>31</v>
      </c>
      <c r="N33" s="17">
        <v>0.6</v>
      </c>
      <c r="O33" s="17"/>
      <c r="P33" s="1">
        <v>31</v>
      </c>
      <c r="Q33" s="15">
        <v>4</v>
      </c>
      <c r="R33" s="15"/>
      <c r="S33" s="1">
        <v>31</v>
      </c>
      <c r="T33" s="15">
        <v>18</v>
      </c>
      <c r="U33" s="3"/>
      <c r="V33" s="1">
        <v>31</v>
      </c>
      <c r="W33" s="7">
        <f t="shared" si="0"/>
        <v>11</v>
      </c>
      <c r="X33" s="7">
        <f t="shared" si="1"/>
        <v>10</v>
      </c>
      <c r="Y33" s="7">
        <f t="shared" si="2"/>
        <v>8</v>
      </c>
      <c r="Z33" s="7">
        <f t="shared" si="3"/>
        <v>9</v>
      </c>
      <c r="AA33" s="7">
        <f t="shared" si="4"/>
        <v>9</v>
      </c>
      <c r="AB33" s="13"/>
      <c r="AG33" s="1"/>
      <c r="AI33" s="12"/>
      <c r="AJ33" s="3"/>
      <c r="AK33" s="1">
        <v>31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3"/>
      <c r="AR33" s="1">
        <v>31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3"/>
      <c r="AY33" s="1">
        <v>31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3"/>
      <c r="BF33" s="1">
        <v>31</v>
      </c>
      <c r="BG33" s="7">
        <v>0</v>
      </c>
      <c r="BH33" s="7">
        <v>0</v>
      </c>
      <c r="BI33" s="7">
        <v>0</v>
      </c>
      <c r="BJ33" s="7">
        <v>0</v>
      </c>
      <c r="BK33" s="23">
        <v>0</v>
      </c>
      <c r="BM33" s="12"/>
      <c r="BN33" s="1">
        <v>31</v>
      </c>
      <c r="BO33" s="7">
        <f t="shared" si="5"/>
        <v>0</v>
      </c>
      <c r="BP33" s="7">
        <f t="shared" si="6"/>
        <v>0</v>
      </c>
      <c r="BQ33" s="7">
        <f t="shared" si="7"/>
        <v>0</v>
      </c>
      <c r="BR33" s="7">
        <f t="shared" si="8"/>
        <v>0</v>
      </c>
      <c r="BS33" s="7">
        <f t="shared" si="9"/>
        <v>0</v>
      </c>
      <c r="BT33" s="3"/>
      <c r="BU33" s="1">
        <v>31</v>
      </c>
      <c r="BV33" s="7">
        <f t="shared" si="10"/>
        <v>0</v>
      </c>
      <c r="BW33" s="7">
        <f t="shared" si="11"/>
        <v>0</v>
      </c>
      <c r="BX33" s="7">
        <f t="shared" si="12"/>
        <v>0</v>
      </c>
      <c r="BY33" s="7">
        <f t="shared" si="13"/>
        <v>0</v>
      </c>
      <c r="BZ33" s="7">
        <f t="shared" si="14"/>
        <v>0</v>
      </c>
      <c r="CA33" s="3"/>
      <c r="CB33" s="1">
        <v>31</v>
      </c>
      <c r="CC33" s="1">
        <f t="shared" si="15"/>
        <v>0</v>
      </c>
      <c r="CD33" s="1">
        <f t="shared" si="16"/>
        <v>0</v>
      </c>
      <c r="CE33" s="1">
        <f t="shared" si="17"/>
        <v>0</v>
      </c>
      <c r="CF33" s="1">
        <f t="shared" si="18"/>
        <v>0</v>
      </c>
      <c r="CG33" s="22">
        <f t="shared" si="19"/>
        <v>0</v>
      </c>
    </row>
    <row r="34" spans="1:85" x14ac:dyDescent="0.3">
      <c r="A34" s="14">
        <v>32</v>
      </c>
      <c r="B34" s="15">
        <v>13</v>
      </c>
      <c r="C34" s="16"/>
      <c r="D34" s="1">
        <v>32</v>
      </c>
      <c r="E34" s="15">
        <v>10</v>
      </c>
      <c r="F34" s="16"/>
      <c r="G34" s="1">
        <v>32</v>
      </c>
      <c r="H34" s="15">
        <v>7</v>
      </c>
      <c r="I34" s="16"/>
      <c r="J34" s="1">
        <v>32</v>
      </c>
      <c r="K34" s="15">
        <v>9</v>
      </c>
      <c r="L34" s="15"/>
      <c r="M34" s="1">
        <v>32</v>
      </c>
      <c r="N34" s="17">
        <v>0.2</v>
      </c>
      <c r="O34" s="17"/>
      <c r="P34" s="1">
        <v>32</v>
      </c>
      <c r="Q34" s="15">
        <v>3</v>
      </c>
      <c r="R34" s="15"/>
      <c r="S34" s="1">
        <v>32</v>
      </c>
      <c r="T34" s="15">
        <v>23</v>
      </c>
      <c r="U34" s="3"/>
      <c r="V34" s="1">
        <v>32</v>
      </c>
      <c r="W34" s="7">
        <f t="shared" si="0"/>
        <v>4</v>
      </c>
      <c r="X34" s="7">
        <f t="shared" si="1"/>
        <v>4</v>
      </c>
      <c r="Y34" s="7">
        <f t="shared" si="2"/>
        <v>3</v>
      </c>
      <c r="Z34" s="7">
        <f t="shared" si="3"/>
        <v>3</v>
      </c>
      <c r="AA34" s="7">
        <f t="shared" si="4"/>
        <v>4</v>
      </c>
      <c r="AB34" s="13"/>
      <c r="AG34" s="1"/>
      <c r="AI34" s="12"/>
      <c r="AJ34" s="3"/>
      <c r="AK34" s="1">
        <v>32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3"/>
      <c r="AR34" s="1">
        <v>32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3"/>
      <c r="AY34" s="1">
        <v>32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3"/>
      <c r="BF34" s="1">
        <v>32</v>
      </c>
      <c r="BG34" s="7">
        <v>0</v>
      </c>
      <c r="BH34" s="7">
        <v>0</v>
      </c>
      <c r="BI34" s="7">
        <v>0</v>
      </c>
      <c r="BJ34" s="7">
        <v>0</v>
      </c>
      <c r="BK34" s="23">
        <v>0</v>
      </c>
      <c r="BM34" s="12"/>
      <c r="BN34" s="1">
        <v>32</v>
      </c>
      <c r="BO34" s="7">
        <f t="shared" si="5"/>
        <v>0</v>
      </c>
      <c r="BP34" s="7">
        <f t="shared" si="6"/>
        <v>0</v>
      </c>
      <c r="BQ34" s="7">
        <f t="shared" si="7"/>
        <v>0</v>
      </c>
      <c r="BR34" s="7">
        <f t="shared" si="8"/>
        <v>0</v>
      </c>
      <c r="BS34" s="7">
        <f t="shared" si="9"/>
        <v>0</v>
      </c>
      <c r="BT34" s="3"/>
      <c r="BU34" s="1">
        <v>32</v>
      </c>
      <c r="BV34" s="7">
        <f t="shared" si="10"/>
        <v>0</v>
      </c>
      <c r="BW34" s="7">
        <f t="shared" si="11"/>
        <v>0</v>
      </c>
      <c r="BX34" s="7">
        <f t="shared" si="12"/>
        <v>0</v>
      </c>
      <c r="BY34" s="7">
        <f t="shared" si="13"/>
        <v>0</v>
      </c>
      <c r="BZ34" s="7">
        <f t="shared" si="14"/>
        <v>0</v>
      </c>
      <c r="CA34" s="3"/>
      <c r="CB34" s="1">
        <v>32</v>
      </c>
      <c r="CC34" s="1">
        <f t="shared" si="15"/>
        <v>0</v>
      </c>
      <c r="CD34" s="1">
        <f t="shared" si="16"/>
        <v>0</v>
      </c>
      <c r="CE34" s="1">
        <f t="shared" si="17"/>
        <v>0</v>
      </c>
      <c r="CF34" s="1">
        <f t="shared" si="18"/>
        <v>0</v>
      </c>
      <c r="CG34" s="22">
        <f t="shared" si="19"/>
        <v>0</v>
      </c>
    </row>
    <row r="35" spans="1:85" x14ac:dyDescent="0.3">
      <c r="A35" s="14">
        <v>33</v>
      </c>
      <c r="B35" s="15">
        <v>10</v>
      </c>
      <c r="C35" s="16"/>
      <c r="D35" s="1">
        <v>33</v>
      </c>
      <c r="E35" s="15">
        <v>7</v>
      </c>
      <c r="F35" s="16"/>
      <c r="G35" s="1">
        <v>33</v>
      </c>
      <c r="H35" s="15">
        <v>8</v>
      </c>
      <c r="I35" s="16"/>
      <c r="J35" s="1">
        <v>33</v>
      </c>
      <c r="K35" s="15">
        <v>5</v>
      </c>
      <c r="L35" s="15"/>
      <c r="M35" s="1">
        <v>33</v>
      </c>
      <c r="N35" s="17">
        <v>0.8</v>
      </c>
      <c r="O35" s="17"/>
      <c r="P35" s="1">
        <v>33</v>
      </c>
      <c r="Q35" s="15">
        <v>1</v>
      </c>
      <c r="R35" s="15"/>
      <c r="S35" s="1">
        <v>33</v>
      </c>
      <c r="T35" s="15">
        <v>20</v>
      </c>
      <c r="U35" s="3"/>
      <c r="V35" s="1">
        <v>33</v>
      </c>
      <c r="W35" s="7">
        <f t="shared" si="0"/>
        <v>4</v>
      </c>
      <c r="X35" s="7">
        <f t="shared" si="1"/>
        <v>3</v>
      </c>
      <c r="Y35" s="7">
        <f t="shared" si="2"/>
        <v>3</v>
      </c>
      <c r="Z35" s="7">
        <f t="shared" si="3"/>
        <v>3</v>
      </c>
      <c r="AA35" s="7">
        <f t="shared" si="4"/>
        <v>3</v>
      </c>
      <c r="AB35" s="13"/>
      <c r="AG35" s="1"/>
      <c r="AI35" s="12"/>
      <c r="AJ35" s="3"/>
      <c r="AK35" s="1">
        <v>33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3"/>
      <c r="AR35" s="1">
        <v>33</v>
      </c>
      <c r="AS35" s="7">
        <v>0</v>
      </c>
      <c r="AT35" s="7">
        <v>0</v>
      </c>
      <c r="AU35" s="7">
        <v>0</v>
      </c>
      <c r="AV35" s="7">
        <v>0</v>
      </c>
      <c r="AW35" s="7">
        <v>1</v>
      </c>
      <c r="AX35" s="3"/>
      <c r="AY35" s="1">
        <v>33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3"/>
      <c r="BF35" s="1">
        <v>33</v>
      </c>
      <c r="BG35" s="7">
        <v>0</v>
      </c>
      <c r="BH35" s="7">
        <v>0</v>
      </c>
      <c r="BI35" s="7">
        <v>0</v>
      </c>
      <c r="BJ35" s="7">
        <v>0</v>
      </c>
      <c r="BK35" s="23">
        <v>0</v>
      </c>
      <c r="BM35" s="12"/>
      <c r="BN35" s="1">
        <v>33</v>
      </c>
      <c r="BO35" s="7">
        <f t="shared" si="5"/>
        <v>0</v>
      </c>
      <c r="BP35" s="7">
        <f t="shared" si="6"/>
        <v>0</v>
      </c>
      <c r="BQ35" s="7">
        <f t="shared" si="7"/>
        <v>0</v>
      </c>
      <c r="BR35" s="7">
        <f t="shared" si="8"/>
        <v>0</v>
      </c>
      <c r="BS35" s="7">
        <f t="shared" si="9"/>
        <v>1</v>
      </c>
      <c r="BT35" s="3"/>
      <c r="BU35" s="1">
        <v>33</v>
      </c>
      <c r="BV35" s="7">
        <f t="shared" si="10"/>
        <v>0</v>
      </c>
      <c r="BW35" s="7">
        <f t="shared" si="11"/>
        <v>0</v>
      </c>
      <c r="BX35" s="7">
        <f t="shared" si="12"/>
        <v>0</v>
      </c>
      <c r="BY35" s="7">
        <f t="shared" si="13"/>
        <v>0</v>
      </c>
      <c r="BZ35" s="7">
        <f t="shared" si="14"/>
        <v>2</v>
      </c>
      <c r="CA35" s="3"/>
      <c r="CB35" s="1">
        <v>33</v>
      </c>
      <c r="CC35" s="1">
        <f t="shared" si="15"/>
        <v>0</v>
      </c>
      <c r="CD35" s="1">
        <f t="shared" si="16"/>
        <v>0</v>
      </c>
      <c r="CE35" s="1">
        <f t="shared" si="17"/>
        <v>0</v>
      </c>
      <c r="CF35" s="1">
        <f t="shared" si="18"/>
        <v>0</v>
      </c>
      <c r="CG35" s="22">
        <f t="shared" si="19"/>
        <v>1.7411011265922482</v>
      </c>
    </row>
    <row r="36" spans="1:85" x14ac:dyDescent="0.3">
      <c r="A36" s="14">
        <v>34</v>
      </c>
      <c r="B36" s="15">
        <v>9</v>
      </c>
      <c r="C36" s="16"/>
      <c r="D36" s="1">
        <v>34</v>
      </c>
      <c r="E36" s="15">
        <v>6</v>
      </c>
      <c r="F36" s="16"/>
      <c r="G36" s="1">
        <v>34</v>
      </c>
      <c r="H36" s="15">
        <v>5</v>
      </c>
      <c r="I36" s="16"/>
      <c r="J36" s="1">
        <v>34</v>
      </c>
      <c r="K36" s="15">
        <v>1</v>
      </c>
      <c r="L36" s="15"/>
      <c r="M36" s="1">
        <v>34</v>
      </c>
      <c r="N36" s="17">
        <v>0.6</v>
      </c>
      <c r="O36" s="17"/>
      <c r="P36" s="1">
        <v>34</v>
      </c>
      <c r="Q36" s="15">
        <v>3</v>
      </c>
      <c r="R36" s="15"/>
      <c r="S36" s="1">
        <v>34</v>
      </c>
      <c r="T36" s="15">
        <v>25</v>
      </c>
      <c r="U36" s="3"/>
      <c r="V36" s="1">
        <v>34</v>
      </c>
      <c r="W36" s="7">
        <f t="shared" si="0"/>
        <v>6</v>
      </c>
      <c r="X36" s="7">
        <f t="shared" si="1"/>
        <v>6</v>
      </c>
      <c r="Y36" s="7">
        <f t="shared" si="2"/>
        <v>5</v>
      </c>
      <c r="Z36" s="7">
        <f t="shared" si="3"/>
        <v>5</v>
      </c>
      <c r="AA36" s="7">
        <f t="shared" si="4"/>
        <v>5</v>
      </c>
      <c r="AB36" s="13"/>
      <c r="AG36" s="1"/>
      <c r="AI36" s="12"/>
      <c r="AJ36" s="3"/>
      <c r="AK36" s="1">
        <v>34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3"/>
      <c r="AR36" s="1">
        <v>34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3"/>
      <c r="AY36" s="1">
        <v>34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3"/>
      <c r="BF36" s="1">
        <v>34</v>
      </c>
      <c r="BG36" s="7">
        <v>0</v>
      </c>
      <c r="BH36" s="7">
        <v>0</v>
      </c>
      <c r="BI36" s="7">
        <v>0</v>
      </c>
      <c r="BJ36" s="7">
        <v>0</v>
      </c>
      <c r="BK36" s="23">
        <v>0</v>
      </c>
      <c r="BM36" s="12"/>
      <c r="BN36" s="1">
        <v>34</v>
      </c>
      <c r="BO36" s="7">
        <f t="shared" si="5"/>
        <v>0</v>
      </c>
      <c r="BP36" s="7">
        <f t="shared" si="6"/>
        <v>0</v>
      </c>
      <c r="BQ36" s="7">
        <f t="shared" si="7"/>
        <v>0</v>
      </c>
      <c r="BR36" s="7">
        <f t="shared" si="8"/>
        <v>0</v>
      </c>
      <c r="BS36" s="7">
        <f t="shared" si="9"/>
        <v>0</v>
      </c>
      <c r="BT36" s="3"/>
      <c r="BU36" s="1">
        <v>34</v>
      </c>
      <c r="BV36" s="7">
        <f t="shared" si="10"/>
        <v>0</v>
      </c>
      <c r="BW36" s="7">
        <f t="shared" si="11"/>
        <v>0</v>
      </c>
      <c r="BX36" s="7">
        <f t="shared" si="12"/>
        <v>0</v>
      </c>
      <c r="BY36" s="7">
        <f t="shared" si="13"/>
        <v>0</v>
      </c>
      <c r="BZ36" s="7">
        <f t="shared" si="14"/>
        <v>0</v>
      </c>
      <c r="CA36" s="3"/>
      <c r="CB36" s="1">
        <v>34</v>
      </c>
      <c r="CC36" s="1">
        <f t="shared" si="15"/>
        <v>0</v>
      </c>
      <c r="CD36" s="1">
        <f t="shared" si="16"/>
        <v>0</v>
      </c>
      <c r="CE36" s="1">
        <f t="shared" si="17"/>
        <v>0</v>
      </c>
      <c r="CF36" s="1">
        <f t="shared" si="18"/>
        <v>0</v>
      </c>
      <c r="CG36" s="22">
        <f t="shared" si="19"/>
        <v>0</v>
      </c>
    </row>
    <row r="37" spans="1:85" x14ac:dyDescent="0.3">
      <c r="A37" s="14">
        <v>35</v>
      </c>
      <c r="B37" s="15">
        <v>5</v>
      </c>
      <c r="C37" s="16"/>
      <c r="D37" s="1">
        <v>35</v>
      </c>
      <c r="E37" s="15">
        <v>10</v>
      </c>
      <c r="F37" s="16"/>
      <c r="G37" s="1">
        <v>35</v>
      </c>
      <c r="H37" s="15">
        <v>6</v>
      </c>
      <c r="I37" s="16"/>
      <c r="J37" s="1">
        <v>35</v>
      </c>
      <c r="K37" s="15">
        <v>5</v>
      </c>
      <c r="L37" s="15"/>
      <c r="M37" s="1">
        <v>35</v>
      </c>
      <c r="N37" s="17">
        <v>0.5</v>
      </c>
      <c r="O37" s="17"/>
      <c r="P37" s="1">
        <v>35</v>
      </c>
      <c r="Q37" s="15">
        <v>4</v>
      </c>
      <c r="R37" s="15"/>
      <c r="S37" s="1">
        <v>35</v>
      </c>
      <c r="T37" s="15">
        <v>24</v>
      </c>
      <c r="U37" s="3"/>
      <c r="V37" s="1">
        <v>35</v>
      </c>
      <c r="W37" s="7">
        <f t="shared" si="0"/>
        <v>5</v>
      </c>
      <c r="X37" s="7">
        <f t="shared" si="1"/>
        <v>5</v>
      </c>
      <c r="Y37" s="7">
        <f t="shared" si="2"/>
        <v>4</v>
      </c>
      <c r="Z37" s="7">
        <f t="shared" si="3"/>
        <v>4</v>
      </c>
      <c r="AA37" s="7">
        <f t="shared" si="4"/>
        <v>4</v>
      </c>
      <c r="AB37" s="13"/>
      <c r="AG37" s="1"/>
      <c r="AI37" s="12"/>
      <c r="AJ37" s="3"/>
      <c r="AK37" s="1">
        <v>35</v>
      </c>
      <c r="AL37" s="7">
        <v>1</v>
      </c>
      <c r="AM37" s="7">
        <v>0</v>
      </c>
      <c r="AN37" s="7">
        <v>0</v>
      </c>
      <c r="AO37" s="7">
        <v>0</v>
      </c>
      <c r="AP37" s="7">
        <v>0</v>
      </c>
      <c r="AQ37" s="3"/>
      <c r="AR37" s="1">
        <v>35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3"/>
      <c r="AY37" s="1">
        <v>35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3"/>
      <c r="BF37" s="1">
        <v>35</v>
      </c>
      <c r="BG37" s="7">
        <v>0</v>
      </c>
      <c r="BH37" s="7">
        <v>0</v>
      </c>
      <c r="BI37" s="7">
        <v>0</v>
      </c>
      <c r="BJ37" s="7">
        <v>0</v>
      </c>
      <c r="BK37" s="23">
        <v>0</v>
      </c>
      <c r="BM37" s="12"/>
      <c r="BN37" s="1">
        <v>35</v>
      </c>
      <c r="BO37" s="7">
        <f t="shared" si="5"/>
        <v>1</v>
      </c>
      <c r="BP37" s="7">
        <f t="shared" si="6"/>
        <v>0</v>
      </c>
      <c r="BQ37" s="7">
        <f t="shared" si="7"/>
        <v>0</v>
      </c>
      <c r="BR37" s="7">
        <f t="shared" si="8"/>
        <v>0</v>
      </c>
      <c r="BS37" s="7">
        <f t="shared" si="9"/>
        <v>0</v>
      </c>
      <c r="BT37" s="3"/>
      <c r="BU37" s="1">
        <v>35</v>
      </c>
      <c r="BV37" s="7">
        <f t="shared" si="10"/>
        <v>1</v>
      </c>
      <c r="BW37" s="7">
        <f t="shared" si="11"/>
        <v>0</v>
      </c>
      <c r="BX37" s="7">
        <f t="shared" si="12"/>
        <v>0</v>
      </c>
      <c r="BY37" s="7">
        <f t="shared" si="13"/>
        <v>0</v>
      </c>
      <c r="BZ37" s="7">
        <f t="shared" si="14"/>
        <v>0</v>
      </c>
      <c r="CA37" s="3"/>
      <c r="CB37" s="1">
        <v>35</v>
      </c>
      <c r="CC37" s="1">
        <f t="shared" si="15"/>
        <v>1</v>
      </c>
      <c r="CD37" s="1">
        <f t="shared" si="16"/>
        <v>0</v>
      </c>
      <c r="CE37" s="1">
        <f t="shared" si="17"/>
        <v>0</v>
      </c>
      <c r="CF37" s="1">
        <f t="shared" si="18"/>
        <v>0</v>
      </c>
      <c r="CG37" s="22">
        <f t="shared" si="19"/>
        <v>0</v>
      </c>
    </row>
    <row r="38" spans="1:85" x14ac:dyDescent="0.3">
      <c r="A38" s="14">
        <v>36</v>
      </c>
      <c r="B38" s="15">
        <v>9</v>
      </c>
      <c r="C38" s="16"/>
      <c r="D38" s="1">
        <v>36</v>
      </c>
      <c r="E38" s="15">
        <v>7</v>
      </c>
      <c r="F38" s="16"/>
      <c r="G38" s="1">
        <v>36</v>
      </c>
      <c r="H38" s="15">
        <v>7</v>
      </c>
      <c r="I38" s="16"/>
      <c r="J38" s="1">
        <v>36</v>
      </c>
      <c r="K38" s="15">
        <v>11</v>
      </c>
      <c r="L38" s="15"/>
      <c r="M38" s="1">
        <v>36</v>
      </c>
      <c r="N38" s="17">
        <v>0.1</v>
      </c>
      <c r="O38" s="17"/>
      <c r="P38" s="1">
        <v>36</v>
      </c>
      <c r="Q38" s="15">
        <v>2</v>
      </c>
      <c r="R38" s="15"/>
      <c r="S38" s="1">
        <v>36</v>
      </c>
      <c r="T38" s="15">
        <v>18</v>
      </c>
      <c r="U38" s="3"/>
      <c r="V38" s="1">
        <v>36</v>
      </c>
      <c r="W38" s="7">
        <f t="shared" si="0"/>
        <v>4</v>
      </c>
      <c r="X38" s="7">
        <f t="shared" si="1"/>
        <v>4</v>
      </c>
      <c r="Y38" s="7">
        <f t="shared" si="2"/>
        <v>3</v>
      </c>
      <c r="Z38" s="7">
        <f t="shared" si="3"/>
        <v>3</v>
      </c>
      <c r="AA38" s="7">
        <f t="shared" si="4"/>
        <v>4</v>
      </c>
      <c r="AB38" s="13"/>
      <c r="AG38" s="1"/>
      <c r="AI38" s="12"/>
      <c r="AJ38" s="3"/>
      <c r="AK38" s="1">
        <v>36</v>
      </c>
      <c r="AL38" s="7">
        <v>0</v>
      </c>
      <c r="AM38" s="7">
        <v>0</v>
      </c>
      <c r="AN38" s="7">
        <v>0</v>
      </c>
      <c r="AO38" s="7">
        <v>0</v>
      </c>
      <c r="AP38" s="7">
        <v>1</v>
      </c>
      <c r="AQ38" s="3"/>
      <c r="AR38" s="1">
        <v>36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3"/>
      <c r="AY38" s="1">
        <v>36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3"/>
      <c r="BF38" s="1">
        <v>36</v>
      </c>
      <c r="BG38" s="7">
        <v>0</v>
      </c>
      <c r="BH38" s="7">
        <v>0</v>
      </c>
      <c r="BI38" s="7">
        <v>0</v>
      </c>
      <c r="BJ38" s="7">
        <v>0</v>
      </c>
      <c r="BK38" s="23">
        <v>0</v>
      </c>
      <c r="BM38" s="12"/>
      <c r="BN38" s="1">
        <v>36</v>
      </c>
      <c r="BO38" s="7">
        <f t="shared" si="5"/>
        <v>0</v>
      </c>
      <c r="BP38" s="7">
        <f t="shared" si="6"/>
        <v>0</v>
      </c>
      <c r="BQ38" s="7">
        <f t="shared" si="7"/>
        <v>0</v>
      </c>
      <c r="BR38" s="7">
        <f t="shared" si="8"/>
        <v>0</v>
      </c>
      <c r="BS38" s="7">
        <f t="shared" si="9"/>
        <v>1</v>
      </c>
      <c r="BT38" s="3"/>
      <c r="BU38" s="1">
        <v>36</v>
      </c>
      <c r="BV38" s="7">
        <f t="shared" si="10"/>
        <v>0</v>
      </c>
      <c r="BW38" s="7">
        <f t="shared" si="11"/>
        <v>0</v>
      </c>
      <c r="BX38" s="7">
        <f t="shared" si="12"/>
        <v>0</v>
      </c>
      <c r="BY38" s="7">
        <f t="shared" si="13"/>
        <v>0</v>
      </c>
      <c r="BZ38" s="7">
        <f t="shared" si="14"/>
        <v>1</v>
      </c>
      <c r="CA38" s="3"/>
      <c r="CB38" s="1">
        <v>36</v>
      </c>
      <c r="CC38" s="1">
        <f t="shared" si="15"/>
        <v>0</v>
      </c>
      <c r="CD38" s="1">
        <f t="shared" si="16"/>
        <v>0</v>
      </c>
      <c r="CE38" s="1">
        <f t="shared" si="17"/>
        <v>0</v>
      </c>
      <c r="CF38" s="1">
        <f t="shared" si="18"/>
        <v>0</v>
      </c>
      <c r="CG38" s="22">
        <f t="shared" si="19"/>
        <v>1</v>
      </c>
    </row>
    <row r="39" spans="1:85" x14ac:dyDescent="0.3">
      <c r="A39" s="14">
        <v>37</v>
      </c>
      <c r="B39" s="15">
        <v>13</v>
      </c>
      <c r="C39" s="16"/>
      <c r="D39" s="1">
        <v>37</v>
      </c>
      <c r="E39" s="15">
        <v>9</v>
      </c>
      <c r="F39" s="16"/>
      <c r="G39" s="1">
        <v>37</v>
      </c>
      <c r="H39" s="15">
        <v>3</v>
      </c>
      <c r="I39" s="16"/>
      <c r="J39" s="1">
        <v>37</v>
      </c>
      <c r="K39" s="15">
        <v>4</v>
      </c>
      <c r="L39" s="15"/>
      <c r="M39" s="1">
        <v>37</v>
      </c>
      <c r="N39" s="17">
        <v>0.6</v>
      </c>
      <c r="O39" s="17"/>
      <c r="P39" s="1">
        <v>37</v>
      </c>
      <c r="Q39" s="15">
        <v>3</v>
      </c>
      <c r="R39" s="15"/>
      <c r="S39" s="1">
        <v>37</v>
      </c>
      <c r="T39" s="15">
        <v>17</v>
      </c>
      <c r="U39" s="3"/>
      <c r="V39" s="1">
        <v>37</v>
      </c>
      <c r="W39" s="7">
        <f t="shared" si="0"/>
        <v>11</v>
      </c>
      <c r="X39" s="7">
        <f t="shared" si="1"/>
        <v>10</v>
      </c>
      <c r="Y39" s="7">
        <f t="shared" si="2"/>
        <v>8</v>
      </c>
      <c r="Z39" s="7">
        <f t="shared" si="3"/>
        <v>9</v>
      </c>
      <c r="AA39" s="7">
        <f t="shared" si="4"/>
        <v>9</v>
      </c>
      <c r="AB39" s="13"/>
      <c r="AG39" s="1"/>
      <c r="AI39" s="12"/>
      <c r="AJ39" s="3"/>
      <c r="AK39" s="1">
        <v>37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3"/>
      <c r="AR39" s="1">
        <v>37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3"/>
      <c r="AY39" s="1">
        <v>37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3"/>
      <c r="BF39" s="1">
        <v>37</v>
      </c>
      <c r="BG39" s="7">
        <v>0</v>
      </c>
      <c r="BH39" s="7">
        <v>0</v>
      </c>
      <c r="BI39" s="7">
        <v>0</v>
      </c>
      <c r="BJ39" s="7">
        <v>0</v>
      </c>
      <c r="BK39" s="23">
        <v>0</v>
      </c>
      <c r="BM39" s="12"/>
      <c r="BN39" s="1">
        <v>37</v>
      </c>
      <c r="BO39" s="7">
        <f t="shared" si="5"/>
        <v>0</v>
      </c>
      <c r="BP39" s="7">
        <f t="shared" si="6"/>
        <v>0</v>
      </c>
      <c r="BQ39" s="7">
        <f t="shared" si="7"/>
        <v>0</v>
      </c>
      <c r="BR39" s="7">
        <f t="shared" si="8"/>
        <v>0</v>
      </c>
      <c r="BS39" s="7">
        <f t="shared" si="9"/>
        <v>0</v>
      </c>
      <c r="BT39" s="3"/>
      <c r="BU39" s="1">
        <v>37</v>
      </c>
      <c r="BV39" s="7">
        <f t="shared" si="10"/>
        <v>0</v>
      </c>
      <c r="BW39" s="7">
        <f t="shared" si="11"/>
        <v>0</v>
      </c>
      <c r="BX39" s="7">
        <f t="shared" si="12"/>
        <v>0</v>
      </c>
      <c r="BY39" s="7">
        <f t="shared" si="13"/>
        <v>0</v>
      </c>
      <c r="BZ39" s="7">
        <f t="shared" si="14"/>
        <v>0</v>
      </c>
      <c r="CA39" s="3"/>
      <c r="CB39" s="1">
        <v>37</v>
      </c>
      <c r="CC39" s="1">
        <f t="shared" si="15"/>
        <v>0</v>
      </c>
      <c r="CD39" s="1">
        <f t="shared" si="16"/>
        <v>0</v>
      </c>
      <c r="CE39" s="1">
        <f t="shared" si="17"/>
        <v>0</v>
      </c>
      <c r="CF39" s="1">
        <f t="shared" si="18"/>
        <v>0</v>
      </c>
      <c r="CG39" s="22">
        <f t="shared" si="19"/>
        <v>0</v>
      </c>
    </row>
    <row r="40" spans="1:85" x14ac:dyDescent="0.3">
      <c r="A40" s="14">
        <v>38</v>
      </c>
      <c r="B40" s="15">
        <v>6</v>
      </c>
      <c r="C40" s="16"/>
      <c r="D40" s="1">
        <v>38</v>
      </c>
      <c r="E40" s="15">
        <v>10</v>
      </c>
      <c r="F40" s="16"/>
      <c r="G40" s="1">
        <v>38</v>
      </c>
      <c r="H40" s="15">
        <v>8</v>
      </c>
      <c r="I40" s="16"/>
      <c r="J40" s="1">
        <v>38</v>
      </c>
      <c r="K40" s="15">
        <v>7</v>
      </c>
      <c r="L40" s="15"/>
      <c r="M40" s="1">
        <v>38</v>
      </c>
      <c r="N40" s="17">
        <v>0.1</v>
      </c>
      <c r="O40" s="17"/>
      <c r="P40" s="1">
        <v>38</v>
      </c>
      <c r="Q40" s="15">
        <v>4</v>
      </c>
      <c r="R40" s="15"/>
      <c r="S40" s="1">
        <v>38</v>
      </c>
      <c r="T40" s="15">
        <v>16</v>
      </c>
      <c r="U40" s="3"/>
      <c r="V40" s="1">
        <v>38</v>
      </c>
      <c r="W40" s="7">
        <f t="shared" si="0"/>
        <v>4</v>
      </c>
      <c r="X40" s="7">
        <f t="shared" si="1"/>
        <v>3</v>
      </c>
      <c r="Y40" s="7">
        <f t="shared" si="2"/>
        <v>3</v>
      </c>
      <c r="Z40" s="7">
        <f t="shared" si="3"/>
        <v>3</v>
      </c>
      <c r="AA40" s="7">
        <f t="shared" si="4"/>
        <v>3</v>
      </c>
      <c r="AB40" s="13"/>
      <c r="AG40" s="1"/>
      <c r="AI40" s="12"/>
      <c r="AJ40" s="3"/>
      <c r="AK40" s="1">
        <v>38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3"/>
      <c r="AR40" s="1">
        <v>38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3"/>
      <c r="AY40" s="1">
        <v>38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3"/>
      <c r="BF40" s="1">
        <v>38</v>
      </c>
      <c r="BG40" s="7">
        <v>0</v>
      </c>
      <c r="BH40" s="7">
        <v>0</v>
      </c>
      <c r="BI40" s="7">
        <v>0</v>
      </c>
      <c r="BJ40" s="7">
        <v>0</v>
      </c>
      <c r="BK40" s="23">
        <v>0</v>
      </c>
      <c r="BM40" s="12"/>
      <c r="BN40" s="1">
        <v>38</v>
      </c>
      <c r="BO40" s="7">
        <f t="shared" si="5"/>
        <v>0</v>
      </c>
      <c r="BP40" s="7">
        <f t="shared" si="6"/>
        <v>0</v>
      </c>
      <c r="BQ40" s="7">
        <f t="shared" si="7"/>
        <v>0</v>
      </c>
      <c r="BR40" s="7">
        <f t="shared" si="8"/>
        <v>0</v>
      </c>
      <c r="BS40" s="7">
        <f t="shared" si="9"/>
        <v>0</v>
      </c>
      <c r="BT40" s="3"/>
      <c r="BU40" s="1">
        <v>38</v>
      </c>
      <c r="BV40" s="7">
        <f t="shared" si="10"/>
        <v>0</v>
      </c>
      <c r="BW40" s="7">
        <f t="shared" si="11"/>
        <v>0</v>
      </c>
      <c r="BX40" s="7">
        <f t="shared" si="12"/>
        <v>0</v>
      </c>
      <c r="BY40" s="7">
        <f t="shared" si="13"/>
        <v>0</v>
      </c>
      <c r="BZ40" s="7">
        <f t="shared" si="14"/>
        <v>0</v>
      </c>
      <c r="CA40" s="3"/>
      <c r="CB40" s="1">
        <v>38</v>
      </c>
      <c r="CC40" s="1">
        <f t="shared" si="15"/>
        <v>0</v>
      </c>
      <c r="CD40" s="1">
        <f t="shared" si="16"/>
        <v>0</v>
      </c>
      <c r="CE40" s="1">
        <f t="shared" si="17"/>
        <v>0</v>
      </c>
      <c r="CF40" s="1">
        <f t="shared" si="18"/>
        <v>0</v>
      </c>
      <c r="CG40" s="22">
        <f t="shared" si="19"/>
        <v>0</v>
      </c>
    </row>
    <row r="41" spans="1:85" x14ac:dyDescent="0.3">
      <c r="A41" s="14">
        <v>39</v>
      </c>
      <c r="B41" s="15">
        <v>7</v>
      </c>
      <c r="C41" s="16"/>
      <c r="D41" s="1">
        <v>39</v>
      </c>
      <c r="E41" s="15">
        <v>6</v>
      </c>
      <c r="F41" s="16"/>
      <c r="G41" s="1">
        <v>39</v>
      </c>
      <c r="H41" s="15">
        <v>3</v>
      </c>
      <c r="I41" s="16"/>
      <c r="J41" s="1">
        <v>39</v>
      </c>
      <c r="K41" s="15">
        <v>5</v>
      </c>
      <c r="L41" s="15"/>
      <c r="M41" s="1">
        <v>39</v>
      </c>
      <c r="N41" s="17">
        <v>0.8</v>
      </c>
      <c r="O41" s="17"/>
      <c r="P41" s="1">
        <v>39</v>
      </c>
      <c r="Q41" s="15">
        <v>4</v>
      </c>
      <c r="R41" s="15"/>
      <c r="S41" s="1">
        <v>39</v>
      </c>
      <c r="T41" s="15">
        <v>15</v>
      </c>
      <c r="U41" s="3"/>
      <c r="V41" s="1">
        <v>39</v>
      </c>
      <c r="W41" s="7">
        <f t="shared" si="0"/>
        <v>11</v>
      </c>
      <c r="X41" s="7">
        <f t="shared" si="1"/>
        <v>10</v>
      </c>
      <c r="Y41" s="7">
        <f t="shared" si="2"/>
        <v>8</v>
      </c>
      <c r="Z41" s="7">
        <f t="shared" si="3"/>
        <v>9</v>
      </c>
      <c r="AA41" s="7">
        <f t="shared" si="4"/>
        <v>9</v>
      </c>
      <c r="AB41" s="13"/>
      <c r="AG41" s="1"/>
      <c r="AI41" s="12"/>
      <c r="AJ41" s="3"/>
      <c r="AK41" s="1">
        <v>39</v>
      </c>
      <c r="AL41" s="7">
        <v>1</v>
      </c>
      <c r="AM41" s="7">
        <v>0</v>
      </c>
      <c r="AN41" s="7">
        <v>0</v>
      </c>
      <c r="AO41" s="7">
        <v>0</v>
      </c>
      <c r="AP41" s="7">
        <v>0</v>
      </c>
      <c r="AQ41" s="3"/>
      <c r="AR41" s="1">
        <v>39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3"/>
      <c r="AY41" s="1">
        <v>39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3"/>
      <c r="BF41" s="1">
        <v>39</v>
      </c>
      <c r="BG41" s="7">
        <v>0</v>
      </c>
      <c r="BH41" s="7">
        <v>0</v>
      </c>
      <c r="BI41" s="7">
        <v>0</v>
      </c>
      <c r="BJ41" s="7">
        <v>0</v>
      </c>
      <c r="BK41" s="23">
        <v>0</v>
      </c>
      <c r="BM41" s="12"/>
      <c r="BN41" s="1">
        <v>39</v>
      </c>
      <c r="BO41" s="7">
        <f t="shared" si="5"/>
        <v>1</v>
      </c>
      <c r="BP41" s="7">
        <f t="shared" si="6"/>
        <v>0</v>
      </c>
      <c r="BQ41" s="7">
        <f t="shared" si="7"/>
        <v>0</v>
      </c>
      <c r="BR41" s="7">
        <f t="shared" si="8"/>
        <v>0</v>
      </c>
      <c r="BS41" s="7">
        <f t="shared" si="9"/>
        <v>0</v>
      </c>
      <c r="BT41" s="3"/>
      <c r="BU41" s="1">
        <v>39</v>
      </c>
      <c r="BV41" s="7">
        <f t="shared" si="10"/>
        <v>1</v>
      </c>
      <c r="BW41" s="7">
        <f t="shared" si="11"/>
        <v>0</v>
      </c>
      <c r="BX41" s="7">
        <f t="shared" si="12"/>
        <v>0</v>
      </c>
      <c r="BY41" s="7">
        <f t="shared" si="13"/>
        <v>0</v>
      </c>
      <c r="BZ41" s="7">
        <f t="shared" si="14"/>
        <v>0</v>
      </c>
      <c r="CA41" s="3"/>
      <c r="CB41" s="1">
        <v>39</v>
      </c>
      <c r="CC41" s="1">
        <f t="shared" si="15"/>
        <v>1</v>
      </c>
      <c r="CD41" s="1">
        <f t="shared" si="16"/>
        <v>0</v>
      </c>
      <c r="CE41" s="1">
        <f t="shared" si="17"/>
        <v>0</v>
      </c>
      <c r="CF41" s="1">
        <f t="shared" si="18"/>
        <v>0</v>
      </c>
      <c r="CG41" s="22">
        <f t="shared" si="19"/>
        <v>0</v>
      </c>
    </row>
    <row r="42" spans="1:85" x14ac:dyDescent="0.3">
      <c r="A42" s="14">
        <v>40</v>
      </c>
      <c r="B42" s="15">
        <v>9</v>
      </c>
      <c r="C42" s="16"/>
      <c r="D42" s="1">
        <v>40</v>
      </c>
      <c r="E42" s="15">
        <v>9</v>
      </c>
      <c r="F42" s="16"/>
      <c r="G42" s="1">
        <v>40</v>
      </c>
      <c r="H42" s="15">
        <v>6</v>
      </c>
      <c r="I42" s="16"/>
      <c r="J42" s="1">
        <v>40</v>
      </c>
      <c r="K42" s="15">
        <v>11</v>
      </c>
      <c r="L42" s="15"/>
      <c r="M42" s="1">
        <v>40</v>
      </c>
      <c r="N42" s="17">
        <v>0.7</v>
      </c>
      <c r="O42" s="17"/>
      <c r="P42" s="1">
        <v>40</v>
      </c>
      <c r="Q42" s="15">
        <v>3</v>
      </c>
      <c r="R42" s="15"/>
      <c r="S42" s="1">
        <v>40</v>
      </c>
      <c r="T42" s="15">
        <v>19</v>
      </c>
      <c r="U42" s="3"/>
      <c r="V42" s="1">
        <v>40</v>
      </c>
      <c r="W42" s="7">
        <f t="shared" si="0"/>
        <v>5</v>
      </c>
      <c r="X42" s="7">
        <f t="shared" si="1"/>
        <v>5</v>
      </c>
      <c r="Y42" s="7">
        <f t="shared" si="2"/>
        <v>4</v>
      </c>
      <c r="Z42" s="7">
        <f t="shared" si="3"/>
        <v>4</v>
      </c>
      <c r="AA42" s="7">
        <f t="shared" si="4"/>
        <v>4</v>
      </c>
      <c r="AB42" s="13"/>
      <c r="AG42" s="1"/>
      <c r="AI42" s="12"/>
      <c r="AJ42" s="3"/>
      <c r="AK42" s="1">
        <v>40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3"/>
      <c r="AR42" s="1">
        <v>40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3"/>
      <c r="AY42" s="1">
        <v>40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3"/>
      <c r="BF42" s="1">
        <v>40</v>
      </c>
      <c r="BG42" s="7">
        <v>0</v>
      </c>
      <c r="BH42" s="7">
        <v>0</v>
      </c>
      <c r="BI42" s="7">
        <v>0</v>
      </c>
      <c r="BJ42" s="7">
        <v>0</v>
      </c>
      <c r="BK42" s="23">
        <v>1</v>
      </c>
      <c r="BM42" s="12"/>
      <c r="BN42" s="1">
        <v>40</v>
      </c>
      <c r="BO42" s="7">
        <f t="shared" si="5"/>
        <v>0</v>
      </c>
      <c r="BP42" s="7">
        <f t="shared" si="6"/>
        <v>0</v>
      </c>
      <c r="BQ42" s="7">
        <f t="shared" si="7"/>
        <v>0</v>
      </c>
      <c r="BR42" s="7">
        <f t="shared" si="8"/>
        <v>0</v>
      </c>
      <c r="BS42" s="7">
        <f t="shared" si="9"/>
        <v>1</v>
      </c>
      <c r="BT42" s="3"/>
      <c r="BU42" s="1">
        <v>40</v>
      </c>
      <c r="BV42" s="7">
        <f t="shared" si="10"/>
        <v>0</v>
      </c>
      <c r="BW42" s="7">
        <f t="shared" si="11"/>
        <v>0</v>
      </c>
      <c r="BX42" s="7">
        <f t="shared" si="12"/>
        <v>0</v>
      </c>
      <c r="BY42" s="7">
        <f t="shared" si="13"/>
        <v>0</v>
      </c>
      <c r="BZ42" s="7">
        <f t="shared" si="14"/>
        <v>4</v>
      </c>
      <c r="CA42" s="3"/>
      <c r="CB42" s="1">
        <v>40</v>
      </c>
      <c r="CC42" s="1">
        <f t="shared" si="15"/>
        <v>0</v>
      </c>
      <c r="CD42" s="1">
        <f t="shared" si="16"/>
        <v>0</v>
      </c>
      <c r="CE42" s="1">
        <f t="shared" si="17"/>
        <v>0</v>
      </c>
      <c r="CF42" s="1">
        <f t="shared" si="18"/>
        <v>0</v>
      </c>
      <c r="CG42" s="22">
        <f t="shared" si="19"/>
        <v>2.6390158215457884</v>
      </c>
    </row>
    <row r="43" spans="1:85" x14ac:dyDescent="0.3">
      <c r="A43" s="14">
        <v>41</v>
      </c>
      <c r="B43" s="15">
        <v>7</v>
      </c>
      <c r="C43" s="16"/>
      <c r="D43" s="1">
        <v>41</v>
      </c>
      <c r="E43" s="15">
        <v>7</v>
      </c>
      <c r="F43" s="16"/>
      <c r="G43" s="1">
        <v>41</v>
      </c>
      <c r="H43" s="15">
        <v>8</v>
      </c>
      <c r="I43" s="16"/>
      <c r="J43" s="1">
        <v>41</v>
      </c>
      <c r="K43" s="15">
        <v>4</v>
      </c>
      <c r="L43" s="15"/>
      <c r="M43" s="1">
        <v>41</v>
      </c>
      <c r="N43" s="17">
        <v>0.8</v>
      </c>
      <c r="O43" s="17"/>
      <c r="P43" s="1">
        <v>41</v>
      </c>
      <c r="Q43" s="15">
        <v>2</v>
      </c>
      <c r="R43" s="15"/>
      <c r="S43" s="1">
        <v>41</v>
      </c>
      <c r="T43" s="15">
        <v>15</v>
      </c>
      <c r="U43" s="3"/>
      <c r="V43" s="1">
        <v>41</v>
      </c>
      <c r="W43" s="7">
        <f t="shared" si="0"/>
        <v>4</v>
      </c>
      <c r="X43" s="7">
        <f t="shared" si="1"/>
        <v>3</v>
      </c>
      <c r="Y43" s="7">
        <f t="shared" si="2"/>
        <v>3</v>
      </c>
      <c r="Z43" s="7">
        <f t="shared" si="3"/>
        <v>3</v>
      </c>
      <c r="AA43" s="7">
        <f t="shared" si="4"/>
        <v>3</v>
      </c>
      <c r="AB43" s="13"/>
      <c r="AG43" s="1"/>
      <c r="AI43" s="12"/>
      <c r="AJ43" s="3"/>
      <c r="AK43" s="1">
        <v>41</v>
      </c>
      <c r="AL43" s="7">
        <v>1</v>
      </c>
      <c r="AM43" s="7">
        <v>0</v>
      </c>
      <c r="AN43" s="7">
        <v>0</v>
      </c>
      <c r="AO43" s="7">
        <v>0</v>
      </c>
      <c r="AP43" s="7">
        <v>0</v>
      </c>
      <c r="AQ43" s="3"/>
      <c r="AR43" s="1">
        <v>41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3"/>
      <c r="AY43" s="1">
        <v>41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3"/>
      <c r="BF43" s="1">
        <v>41</v>
      </c>
      <c r="BG43" s="7">
        <v>0</v>
      </c>
      <c r="BH43" s="7">
        <v>0</v>
      </c>
      <c r="BI43" s="7">
        <v>0</v>
      </c>
      <c r="BJ43" s="7">
        <v>0</v>
      </c>
      <c r="BK43" s="23">
        <v>0</v>
      </c>
      <c r="BM43" s="12"/>
      <c r="BN43" s="1">
        <v>41</v>
      </c>
      <c r="BO43" s="7">
        <f t="shared" si="5"/>
        <v>1</v>
      </c>
      <c r="BP43" s="7">
        <f t="shared" si="6"/>
        <v>0</v>
      </c>
      <c r="BQ43" s="7">
        <f t="shared" si="7"/>
        <v>0</v>
      </c>
      <c r="BR43" s="7">
        <f t="shared" si="8"/>
        <v>0</v>
      </c>
      <c r="BS43" s="7">
        <f t="shared" si="9"/>
        <v>0</v>
      </c>
      <c r="BT43" s="3"/>
      <c r="BU43" s="1">
        <v>41</v>
      </c>
      <c r="BV43" s="7">
        <f t="shared" si="10"/>
        <v>1</v>
      </c>
      <c r="BW43" s="7">
        <f t="shared" si="11"/>
        <v>0</v>
      </c>
      <c r="BX43" s="7">
        <f t="shared" si="12"/>
        <v>0</v>
      </c>
      <c r="BY43" s="7">
        <f t="shared" si="13"/>
        <v>0</v>
      </c>
      <c r="BZ43" s="7">
        <f t="shared" si="14"/>
        <v>0</v>
      </c>
      <c r="CA43" s="3"/>
      <c r="CB43" s="1">
        <v>41</v>
      </c>
      <c r="CC43" s="1">
        <f t="shared" si="15"/>
        <v>1</v>
      </c>
      <c r="CD43" s="1">
        <f t="shared" si="16"/>
        <v>0</v>
      </c>
      <c r="CE43" s="1">
        <f t="shared" si="17"/>
        <v>0</v>
      </c>
      <c r="CF43" s="1">
        <f t="shared" si="18"/>
        <v>0</v>
      </c>
      <c r="CG43" s="22">
        <f t="shared" si="19"/>
        <v>0</v>
      </c>
    </row>
    <row r="44" spans="1:85" x14ac:dyDescent="0.3">
      <c r="A44" s="14">
        <v>42</v>
      </c>
      <c r="B44" s="15">
        <v>7</v>
      </c>
      <c r="C44" s="16"/>
      <c r="D44" s="1">
        <v>42</v>
      </c>
      <c r="E44" s="15">
        <v>5</v>
      </c>
      <c r="F44" s="16"/>
      <c r="G44" s="1">
        <v>42</v>
      </c>
      <c r="H44" s="15">
        <v>2</v>
      </c>
      <c r="I44" s="16"/>
      <c r="J44" s="1">
        <v>42</v>
      </c>
      <c r="K44" s="15">
        <v>13</v>
      </c>
      <c r="L44" s="15"/>
      <c r="M44" s="1">
        <v>42</v>
      </c>
      <c r="N44" s="17">
        <v>0.8</v>
      </c>
      <c r="O44" s="17"/>
      <c r="P44" s="1">
        <v>42</v>
      </c>
      <c r="Q44" s="15">
        <v>3</v>
      </c>
      <c r="R44" s="15"/>
      <c r="S44" s="1">
        <v>42</v>
      </c>
      <c r="T44" s="15">
        <v>23</v>
      </c>
      <c r="U44" s="3"/>
      <c r="V44" s="1">
        <v>42</v>
      </c>
      <c r="W44" s="7">
        <f t="shared" si="0"/>
        <v>17</v>
      </c>
      <c r="X44" s="7">
        <f t="shared" si="1"/>
        <v>15</v>
      </c>
      <c r="Y44" s="7">
        <f t="shared" si="2"/>
        <v>13</v>
      </c>
      <c r="Z44" s="7">
        <f t="shared" si="3"/>
        <v>13</v>
      </c>
      <c r="AA44" s="7">
        <f t="shared" si="4"/>
        <v>14</v>
      </c>
      <c r="AB44" s="13"/>
      <c r="AG44" s="1"/>
      <c r="AI44" s="12"/>
      <c r="AJ44" s="3"/>
      <c r="AK44" s="1">
        <v>42</v>
      </c>
      <c r="AL44" s="7">
        <v>0</v>
      </c>
      <c r="AM44" s="7">
        <v>0</v>
      </c>
      <c r="AN44" s="7">
        <v>1</v>
      </c>
      <c r="AO44" s="7">
        <v>0</v>
      </c>
      <c r="AP44" s="7">
        <v>0</v>
      </c>
      <c r="AQ44" s="3"/>
      <c r="AR44" s="1">
        <v>42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3"/>
      <c r="AY44" s="1">
        <v>42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3"/>
      <c r="BF44" s="1">
        <v>42</v>
      </c>
      <c r="BG44" s="7">
        <v>0</v>
      </c>
      <c r="BH44" s="7">
        <v>0</v>
      </c>
      <c r="BI44" s="7">
        <v>0</v>
      </c>
      <c r="BJ44" s="7">
        <v>0</v>
      </c>
      <c r="BK44" s="23">
        <v>0</v>
      </c>
      <c r="BM44" s="12"/>
      <c r="BN44" s="1">
        <v>42</v>
      </c>
      <c r="BO44" s="7">
        <f t="shared" si="5"/>
        <v>0</v>
      </c>
      <c r="BP44" s="7">
        <f t="shared" si="6"/>
        <v>0</v>
      </c>
      <c r="BQ44" s="7">
        <f t="shared" si="7"/>
        <v>1</v>
      </c>
      <c r="BR44" s="7">
        <f t="shared" si="8"/>
        <v>0</v>
      </c>
      <c r="BS44" s="7">
        <f t="shared" si="9"/>
        <v>0</v>
      </c>
      <c r="BT44" s="3"/>
      <c r="BU44" s="1">
        <v>42</v>
      </c>
      <c r="BV44" s="7">
        <f t="shared" si="10"/>
        <v>0</v>
      </c>
      <c r="BW44" s="7">
        <f t="shared" si="11"/>
        <v>0</v>
      </c>
      <c r="BX44" s="7">
        <f t="shared" si="12"/>
        <v>1</v>
      </c>
      <c r="BY44" s="7">
        <f t="shared" si="13"/>
        <v>0</v>
      </c>
      <c r="BZ44" s="7">
        <f t="shared" si="14"/>
        <v>0</v>
      </c>
      <c r="CA44" s="3"/>
      <c r="CB44" s="1">
        <v>42</v>
      </c>
      <c r="CC44" s="1">
        <f t="shared" si="15"/>
        <v>0</v>
      </c>
      <c r="CD44" s="1">
        <f t="shared" si="16"/>
        <v>0</v>
      </c>
      <c r="CE44" s="1">
        <f t="shared" si="17"/>
        <v>1</v>
      </c>
      <c r="CF44" s="1">
        <f t="shared" si="18"/>
        <v>0</v>
      </c>
      <c r="CG44" s="22">
        <f t="shared" si="19"/>
        <v>0</v>
      </c>
    </row>
    <row r="45" spans="1:85" x14ac:dyDescent="0.3">
      <c r="A45" s="14">
        <v>43</v>
      </c>
      <c r="B45" s="15">
        <v>10</v>
      </c>
      <c r="C45" s="16"/>
      <c r="D45" s="1">
        <v>43</v>
      </c>
      <c r="E45" s="15">
        <v>7</v>
      </c>
      <c r="F45" s="16"/>
      <c r="G45" s="1">
        <v>43</v>
      </c>
      <c r="H45" s="15">
        <v>6</v>
      </c>
      <c r="I45" s="16"/>
      <c r="J45" s="1">
        <v>43</v>
      </c>
      <c r="K45" s="15">
        <v>13</v>
      </c>
      <c r="L45" s="15"/>
      <c r="M45" s="1">
        <v>43</v>
      </c>
      <c r="N45" s="17">
        <v>0.9</v>
      </c>
      <c r="O45" s="17"/>
      <c r="P45" s="1">
        <v>43</v>
      </c>
      <c r="Q45" s="15">
        <v>1</v>
      </c>
      <c r="R45" s="15"/>
      <c r="S45" s="1">
        <v>43</v>
      </c>
      <c r="T45" s="15">
        <v>24</v>
      </c>
      <c r="U45" s="3"/>
      <c r="V45" s="1">
        <v>43</v>
      </c>
      <c r="W45" s="7">
        <f t="shared" si="0"/>
        <v>5</v>
      </c>
      <c r="X45" s="7">
        <f t="shared" si="1"/>
        <v>5</v>
      </c>
      <c r="Y45" s="7">
        <f t="shared" si="2"/>
        <v>4</v>
      </c>
      <c r="Z45" s="7">
        <f t="shared" si="3"/>
        <v>4</v>
      </c>
      <c r="AA45" s="7">
        <f t="shared" si="4"/>
        <v>4</v>
      </c>
      <c r="AB45" s="13"/>
      <c r="AG45" s="1"/>
      <c r="AI45" s="12"/>
      <c r="AJ45" s="3"/>
      <c r="AK45" s="1">
        <v>43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3"/>
      <c r="AR45" s="1">
        <v>43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3"/>
      <c r="AY45" s="1">
        <v>43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3"/>
      <c r="BF45" s="1">
        <v>43</v>
      </c>
      <c r="BG45" s="7">
        <v>0</v>
      </c>
      <c r="BH45" s="7">
        <v>0</v>
      </c>
      <c r="BI45" s="7">
        <v>1</v>
      </c>
      <c r="BJ45" s="7">
        <v>0</v>
      </c>
      <c r="BK45" s="23">
        <v>0</v>
      </c>
      <c r="BM45" s="12"/>
      <c r="BN45" s="1">
        <v>43</v>
      </c>
      <c r="BO45" s="7">
        <f t="shared" si="5"/>
        <v>0</v>
      </c>
      <c r="BP45" s="7">
        <f t="shared" si="6"/>
        <v>0</v>
      </c>
      <c r="BQ45" s="7">
        <f t="shared" si="7"/>
        <v>1</v>
      </c>
      <c r="BR45" s="7">
        <f t="shared" si="8"/>
        <v>0</v>
      </c>
      <c r="BS45" s="7">
        <f t="shared" si="9"/>
        <v>0</v>
      </c>
      <c r="BT45" s="3"/>
      <c r="BU45" s="1">
        <v>43</v>
      </c>
      <c r="BV45" s="7">
        <f t="shared" si="10"/>
        <v>0</v>
      </c>
      <c r="BW45" s="7">
        <f t="shared" si="11"/>
        <v>0</v>
      </c>
      <c r="BX45" s="7">
        <f t="shared" si="12"/>
        <v>4</v>
      </c>
      <c r="BY45" s="7">
        <f t="shared" si="13"/>
        <v>0</v>
      </c>
      <c r="BZ45" s="7">
        <f t="shared" si="14"/>
        <v>0</v>
      </c>
      <c r="CA45" s="3"/>
      <c r="CB45" s="1">
        <v>43</v>
      </c>
      <c r="CC45" s="1">
        <f t="shared" si="15"/>
        <v>0</v>
      </c>
      <c r="CD45" s="1">
        <f t="shared" si="16"/>
        <v>0</v>
      </c>
      <c r="CE45" s="1">
        <f t="shared" si="17"/>
        <v>3.4822022531844965</v>
      </c>
      <c r="CF45" s="1">
        <f t="shared" si="18"/>
        <v>0</v>
      </c>
      <c r="CG45" s="22">
        <f t="shared" si="19"/>
        <v>0</v>
      </c>
    </row>
    <row r="46" spans="1:85" x14ac:dyDescent="0.3">
      <c r="A46" s="14">
        <v>44</v>
      </c>
      <c r="B46" s="15">
        <v>13</v>
      </c>
      <c r="C46" s="16"/>
      <c r="D46" s="1">
        <v>44</v>
      </c>
      <c r="E46" s="15">
        <v>6</v>
      </c>
      <c r="F46" s="16"/>
      <c r="G46" s="1">
        <v>44</v>
      </c>
      <c r="H46" s="15">
        <v>6</v>
      </c>
      <c r="I46" s="16"/>
      <c r="J46" s="1">
        <v>44</v>
      </c>
      <c r="K46" s="15">
        <v>4</v>
      </c>
      <c r="L46" s="15"/>
      <c r="M46" s="1">
        <v>44</v>
      </c>
      <c r="N46" s="17">
        <v>0.8</v>
      </c>
      <c r="O46" s="17"/>
      <c r="P46" s="1">
        <v>44</v>
      </c>
      <c r="Q46" s="15">
        <v>5</v>
      </c>
      <c r="R46" s="15"/>
      <c r="S46" s="1">
        <v>44</v>
      </c>
      <c r="T46" s="15">
        <v>20</v>
      </c>
      <c r="U46" s="3"/>
      <c r="V46" s="1">
        <v>44</v>
      </c>
      <c r="W46" s="7">
        <f t="shared" si="0"/>
        <v>5</v>
      </c>
      <c r="X46" s="7">
        <f t="shared" si="1"/>
        <v>5</v>
      </c>
      <c r="Y46" s="7">
        <f t="shared" si="2"/>
        <v>4</v>
      </c>
      <c r="Z46" s="7">
        <f t="shared" si="3"/>
        <v>4</v>
      </c>
      <c r="AA46" s="7">
        <f t="shared" si="4"/>
        <v>4</v>
      </c>
      <c r="AB46" s="13"/>
      <c r="AG46" s="1"/>
      <c r="AI46" s="12"/>
      <c r="AJ46" s="3"/>
      <c r="AK46" s="1">
        <v>44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3"/>
      <c r="AR46" s="1">
        <v>44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3"/>
      <c r="AY46" s="1">
        <v>44</v>
      </c>
      <c r="AZ46" s="7">
        <v>0</v>
      </c>
      <c r="BA46" s="7">
        <v>0</v>
      </c>
      <c r="BB46" s="7">
        <v>0</v>
      </c>
      <c r="BC46" s="7">
        <v>0</v>
      </c>
      <c r="BD46" s="7">
        <v>1</v>
      </c>
      <c r="BE46" s="3"/>
      <c r="BF46" s="1">
        <v>44</v>
      </c>
      <c r="BG46" s="7">
        <v>0</v>
      </c>
      <c r="BH46" s="7">
        <v>0</v>
      </c>
      <c r="BI46" s="7">
        <v>0</v>
      </c>
      <c r="BJ46" s="7">
        <v>0</v>
      </c>
      <c r="BK46" s="23">
        <v>0</v>
      </c>
      <c r="BM46" s="12"/>
      <c r="BN46" s="1">
        <v>44</v>
      </c>
      <c r="BO46" s="7">
        <f t="shared" si="5"/>
        <v>0</v>
      </c>
      <c r="BP46" s="7">
        <f t="shared" si="6"/>
        <v>0</v>
      </c>
      <c r="BQ46" s="7">
        <f t="shared" si="7"/>
        <v>0</v>
      </c>
      <c r="BR46" s="7">
        <f t="shared" si="8"/>
        <v>0</v>
      </c>
      <c r="BS46" s="7">
        <f t="shared" si="9"/>
        <v>1</v>
      </c>
      <c r="BT46" s="3"/>
      <c r="BU46" s="1">
        <v>44</v>
      </c>
      <c r="BV46" s="7">
        <f t="shared" si="10"/>
        <v>0</v>
      </c>
      <c r="BW46" s="7">
        <f t="shared" si="11"/>
        <v>0</v>
      </c>
      <c r="BX46" s="7">
        <f t="shared" si="12"/>
        <v>0</v>
      </c>
      <c r="BY46" s="7">
        <f t="shared" si="13"/>
        <v>0</v>
      </c>
      <c r="BZ46" s="7">
        <f t="shared" si="14"/>
        <v>3</v>
      </c>
      <c r="CA46" s="3"/>
      <c r="CB46" s="1">
        <v>44</v>
      </c>
      <c r="CC46" s="1">
        <f t="shared" si="15"/>
        <v>0</v>
      </c>
      <c r="CD46" s="1">
        <f t="shared" si="16"/>
        <v>0</v>
      </c>
      <c r="CE46" s="1">
        <f t="shared" si="17"/>
        <v>0</v>
      </c>
      <c r="CF46" s="1">
        <f t="shared" si="18"/>
        <v>0</v>
      </c>
      <c r="CG46" s="22">
        <f t="shared" si="19"/>
        <v>2.4082246852806923</v>
      </c>
    </row>
    <row r="47" spans="1:85" x14ac:dyDescent="0.3">
      <c r="A47" s="14">
        <v>45</v>
      </c>
      <c r="B47" s="15">
        <v>15</v>
      </c>
      <c r="C47" s="16"/>
      <c r="D47" s="1">
        <v>45</v>
      </c>
      <c r="E47" s="15">
        <v>6</v>
      </c>
      <c r="F47" s="16"/>
      <c r="G47" s="1">
        <v>45</v>
      </c>
      <c r="H47" s="15">
        <v>4</v>
      </c>
      <c r="I47" s="16"/>
      <c r="J47" s="1">
        <v>45</v>
      </c>
      <c r="K47" s="15">
        <v>12</v>
      </c>
      <c r="L47" s="15"/>
      <c r="M47" s="1">
        <v>45</v>
      </c>
      <c r="N47" s="17">
        <v>0.7</v>
      </c>
      <c r="O47" s="17"/>
      <c r="P47" s="1">
        <v>45</v>
      </c>
      <c r="Q47" s="15">
        <v>4</v>
      </c>
      <c r="R47" s="15"/>
      <c r="S47" s="1">
        <v>45</v>
      </c>
      <c r="T47" s="15">
        <v>20</v>
      </c>
      <c r="U47" s="3"/>
      <c r="V47" s="1">
        <v>45</v>
      </c>
      <c r="W47" s="7">
        <f t="shared" si="0"/>
        <v>8</v>
      </c>
      <c r="X47" s="7">
        <f t="shared" si="1"/>
        <v>7</v>
      </c>
      <c r="Y47" s="7">
        <f t="shared" si="2"/>
        <v>6</v>
      </c>
      <c r="Z47" s="7">
        <f t="shared" si="3"/>
        <v>6</v>
      </c>
      <c r="AA47" s="7">
        <f t="shared" si="4"/>
        <v>7</v>
      </c>
      <c r="AB47" s="13"/>
      <c r="AG47" s="1"/>
      <c r="AI47" s="12"/>
      <c r="AJ47" s="3"/>
      <c r="AK47" s="1">
        <v>45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3"/>
      <c r="AR47" s="1">
        <v>45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3"/>
      <c r="AY47" s="1">
        <v>45</v>
      </c>
      <c r="AZ47" s="7">
        <v>0</v>
      </c>
      <c r="BA47" s="7">
        <v>0</v>
      </c>
      <c r="BB47" s="7">
        <v>0</v>
      </c>
      <c r="BC47" s="7">
        <v>1</v>
      </c>
      <c r="BD47" s="7">
        <v>0</v>
      </c>
      <c r="BE47" s="3"/>
      <c r="BF47" s="1">
        <v>45</v>
      </c>
      <c r="BG47" s="7">
        <v>0</v>
      </c>
      <c r="BH47" s="7">
        <v>0</v>
      </c>
      <c r="BI47" s="7">
        <v>0</v>
      </c>
      <c r="BJ47" s="7">
        <v>0</v>
      </c>
      <c r="BK47" s="23">
        <v>0</v>
      </c>
      <c r="BM47" s="12"/>
      <c r="BN47" s="1">
        <v>45</v>
      </c>
      <c r="BO47" s="7">
        <f t="shared" si="5"/>
        <v>0</v>
      </c>
      <c r="BP47" s="7">
        <f t="shared" si="6"/>
        <v>0</v>
      </c>
      <c r="BQ47" s="7">
        <f t="shared" si="7"/>
        <v>0</v>
      </c>
      <c r="BR47" s="7">
        <f t="shared" si="8"/>
        <v>1</v>
      </c>
      <c r="BS47" s="7">
        <f t="shared" si="9"/>
        <v>0</v>
      </c>
      <c r="BT47" s="3"/>
      <c r="BU47" s="1">
        <v>45</v>
      </c>
      <c r="BV47" s="7">
        <f t="shared" si="10"/>
        <v>0</v>
      </c>
      <c r="BW47" s="7">
        <f t="shared" si="11"/>
        <v>0</v>
      </c>
      <c r="BX47" s="7">
        <f t="shared" si="12"/>
        <v>0</v>
      </c>
      <c r="BY47" s="7">
        <f t="shared" si="13"/>
        <v>3</v>
      </c>
      <c r="BZ47" s="7">
        <f t="shared" si="14"/>
        <v>0</v>
      </c>
      <c r="CA47" s="3"/>
      <c r="CB47" s="1">
        <v>45</v>
      </c>
      <c r="CC47" s="1">
        <f t="shared" si="15"/>
        <v>0</v>
      </c>
      <c r="CD47" s="1">
        <f t="shared" si="16"/>
        <v>0</v>
      </c>
      <c r="CE47" s="1">
        <f t="shared" si="17"/>
        <v>0</v>
      </c>
      <c r="CF47" s="1">
        <f t="shared" si="18"/>
        <v>2.1576692799745931</v>
      </c>
      <c r="CG47" s="22">
        <f t="shared" si="19"/>
        <v>0</v>
      </c>
    </row>
    <row r="48" spans="1:85" x14ac:dyDescent="0.3">
      <c r="A48" s="14">
        <v>46</v>
      </c>
      <c r="B48" s="15">
        <v>11</v>
      </c>
      <c r="C48" s="16"/>
      <c r="D48" s="1">
        <v>46</v>
      </c>
      <c r="E48" s="15">
        <v>6</v>
      </c>
      <c r="F48" s="16"/>
      <c r="G48" s="1">
        <v>46</v>
      </c>
      <c r="H48" s="15">
        <v>8</v>
      </c>
      <c r="I48" s="16"/>
      <c r="J48" s="1">
        <v>46</v>
      </c>
      <c r="K48" s="15">
        <v>5</v>
      </c>
      <c r="L48" s="15"/>
      <c r="M48" s="1">
        <v>46</v>
      </c>
      <c r="N48" s="17">
        <v>0.3</v>
      </c>
      <c r="O48" s="17"/>
      <c r="P48" s="1">
        <v>46</v>
      </c>
      <c r="Q48" s="15">
        <v>1</v>
      </c>
      <c r="R48" s="15"/>
      <c r="S48" s="1">
        <v>46</v>
      </c>
      <c r="T48" s="15">
        <v>21</v>
      </c>
      <c r="U48" s="3"/>
      <c r="V48" s="1">
        <v>46</v>
      </c>
      <c r="W48" s="7">
        <f t="shared" si="0"/>
        <v>4</v>
      </c>
      <c r="X48" s="7">
        <f t="shared" si="1"/>
        <v>3</v>
      </c>
      <c r="Y48" s="7">
        <f t="shared" si="2"/>
        <v>3</v>
      </c>
      <c r="Z48" s="7">
        <f t="shared" si="3"/>
        <v>3</v>
      </c>
      <c r="AA48" s="7">
        <f t="shared" si="4"/>
        <v>3</v>
      </c>
      <c r="AB48" s="13"/>
      <c r="AG48" s="1"/>
      <c r="AI48" s="12"/>
      <c r="AJ48" s="3"/>
      <c r="AK48" s="1">
        <v>46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3"/>
      <c r="AR48" s="1">
        <v>46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3"/>
      <c r="AY48" s="1">
        <v>46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3"/>
      <c r="BF48" s="1">
        <v>46</v>
      </c>
      <c r="BG48" s="7">
        <v>0</v>
      </c>
      <c r="BH48" s="7">
        <v>0</v>
      </c>
      <c r="BI48" s="7">
        <v>0</v>
      </c>
      <c r="BJ48" s="7">
        <v>0</v>
      </c>
      <c r="BK48" s="23">
        <v>0</v>
      </c>
      <c r="BM48" s="12"/>
      <c r="BN48" s="1">
        <v>46</v>
      </c>
      <c r="BO48" s="7">
        <f t="shared" si="5"/>
        <v>0</v>
      </c>
      <c r="BP48" s="7">
        <f t="shared" si="6"/>
        <v>0</v>
      </c>
      <c r="BQ48" s="7">
        <f t="shared" si="7"/>
        <v>0</v>
      </c>
      <c r="BR48" s="7">
        <f t="shared" si="8"/>
        <v>0</v>
      </c>
      <c r="BS48" s="7">
        <f t="shared" si="9"/>
        <v>0</v>
      </c>
      <c r="BT48" s="3"/>
      <c r="BU48" s="1">
        <v>46</v>
      </c>
      <c r="BV48" s="7">
        <f t="shared" si="10"/>
        <v>0</v>
      </c>
      <c r="BW48" s="7">
        <f t="shared" si="11"/>
        <v>0</v>
      </c>
      <c r="BX48" s="7">
        <f t="shared" si="12"/>
        <v>0</v>
      </c>
      <c r="BY48" s="7">
        <f t="shared" si="13"/>
        <v>0</v>
      </c>
      <c r="BZ48" s="7">
        <f t="shared" si="14"/>
        <v>0</v>
      </c>
      <c r="CA48" s="3"/>
      <c r="CB48" s="1">
        <v>46</v>
      </c>
      <c r="CC48" s="1">
        <f t="shared" si="15"/>
        <v>0</v>
      </c>
      <c r="CD48" s="1">
        <f t="shared" si="16"/>
        <v>0</v>
      </c>
      <c r="CE48" s="1">
        <f t="shared" si="17"/>
        <v>0</v>
      </c>
      <c r="CF48" s="1">
        <f t="shared" si="18"/>
        <v>0</v>
      </c>
      <c r="CG48" s="22">
        <f t="shared" si="19"/>
        <v>0</v>
      </c>
    </row>
    <row r="49" spans="1:85" x14ac:dyDescent="0.3">
      <c r="A49" s="14">
        <v>47</v>
      </c>
      <c r="B49" s="15">
        <v>13</v>
      </c>
      <c r="C49" s="16"/>
      <c r="D49" s="1">
        <v>47</v>
      </c>
      <c r="E49" s="15">
        <v>5</v>
      </c>
      <c r="F49" s="16"/>
      <c r="G49" s="1">
        <v>47</v>
      </c>
      <c r="H49" s="15">
        <v>3</v>
      </c>
      <c r="I49" s="16"/>
      <c r="J49" s="1">
        <v>47</v>
      </c>
      <c r="K49" s="15">
        <v>8</v>
      </c>
      <c r="L49" s="15"/>
      <c r="M49" s="1">
        <v>47</v>
      </c>
      <c r="N49" s="17">
        <v>0.5</v>
      </c>
      <c r="O49" s="17"/>
      <c r="P49" s="1">
        <v>47</v>
      </c>
      <c r="Q49" s="15">
        <v>1</v>
      </c>
      <c r="R49" s="15"/>
      <c r="S49" s="1">
        <v>47</v>
      </c>
      <c r="T49" s="15">
        <v>21</v>
      </c>
      <c r="U49" s="3"/>
      <c r="V49" s="1">
        <v>47</v>
      </c>
      <c r="W49" s="7">
        <f t="shared" si="0"/>
        <v>11</v>
      </c>
      <c r="X49" s="7">
        <f t="shared" si="1"/>
        <v>10</v>
      </c>
      <c r="Y49" s="7">
        <f t="shared" si="2"/>
        <v>8</v>
      </c>
      <c r="Z49" s="7">
        <f t="shared" si="3"/>
        <v>9</v>
      </c>
      <c r="AA49" s="7">
        <f t="shared" si="4"/>
        <v>9</v>
      </c>
      <c r="AB49" s="13"/>
      <c r="AG49" s="1"/>
      <c r="AI49" s="12"/>
      <c r="AJ49" s="3"/>
      <c r="AK49" s="1">
        <v>47</v>
      </c>
      <c r="AL49" s="7">
        <v>1</v>
      </c>
      <c r="AM49" s="7">
        <v>0</v>
      </c>
      <c r="AN49" s="7">
        <v>0</v>
      </c>
      <c r="AO49" s="7">
        <v>0</v>
      </c>
      <c r="AP49" s="7">
        <v>0</v>
      </c>
      <c r="AQ49" s="3"/>
      <c r="AR49" s="1">
        <v>47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3"/>
      <c r="AY49" s="1">
        <v>47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3"/>
      <c r="BF49" s="1">
        <v>47</v>
      </c>
      <c r="BG49" s="7">
        <v>0</v>
      </c>
      <c r="BH49" s="7">
        <v>0</v>
      </c>
      <c r="BI49" s="7">
        <v>0</v>
      </c>
      <c r="BJ49" s="7">
        <v>0</v>
      </c>
      <c r="BK49" s="23">
        <v>0</v>
      </c>
      <c r="BM49" s="12"/>
      <c r="BN49" s="1">
        <v>47</v>
      </c>
      <c r="BO49" s="7">
        <f t="shared" si="5"/>
        <v>1</v>
      </c>
      <c r="BP49" s="7">
        <f t="shared" si="6"/>
        <v>0</v>
      </c>
      <c r="BQ49" s="7">
        <f t="shared" si="7"/>
        <v>0</v>
      </c>
      <c r="BR49" s="7">
        <f t="shared" si="8"/>
        <v>0</v>
      </c>
      <c r="BS49" s="7">
        <f t="shared" si="9"/>
        <v>0</v>
      </c>
      <c r="BT49" s="3"/>
      <c r="BU49" s="1">
        <v>47</v>
      </c>
      <c r="BV49" s="7">
        <f t="shared" si="10"/>
        <v>1</v>
      </c>
      <c r="BW49" s="7">
        <f t="shared" si="11"/>
        <v>0</v>
      </c>
      <c r="BX49" s="7">
        <f t="shared" si="12"/>
        <v>0</v>
      </c>
      <c r="BY49" s="7">
        <f t="shared" si="13"/>
        <v>0</v>
      </c>
      <c r="BZ49" s="7">
        <f t="shared" si="14"/>
        <v>0</v>
      </c>
      <c r="CA49" s="3"/>
      <c r="CB49" s="1">
        <v>47</v>
      </c>
      <c r="CC49" s="1">
        <f t="shared" si="15"/>
        <v>1</v>
      </c>
      <c r="CD49" s="1">
        <f t="shared" si="16"/>
        <v>0</v>
      </c>
      <c r="CE49" s="1">
        <f t="shared" si="17"/>
        <v>0</v>
      </c>
      <c r="CF49" s="1">
        <f t="shared" si="18"/>
        <v>0</v>
      </c>
      <c r="CG49" s="22">
        <f t="shared" si="19"/>
        <v>0</v>
      </c>
    </row>
    <row r="50" spans="1:85" x14ac:dyDescent="0.3">
      <c r="A50" s="14">
        <v>48</v>
      </c>
      <c r="B50" s="15">
        <v>14</v>
      </c>
      <c r="C50" s="16"/>
      <c r="D50" s="1">
        <v>48</v>
      </c>
      <c r="E50" s="15">
        <v>8</v>
      </c>
      <c r="F50" s="16"/>
      <c r="G50" s="1">
        <v>48</v>
      </c>
      <c r="H50" s="15">
        <v>8</v>
      </c>
      <c r="I50" s="16"/>
      <c r="J50" s="1">
        <v>48</v>
      </c>
      <c r="K50" s="15">
        <v>13</v>
      </c>
      <c r="L50" s="15"/>
      <c r="M50" s="1">
        <v>48</v>
      </c>
      <c r="N50" s="17">
        <v>0.7</v>
      </c>
      <c r="O50" s="17"/>
      <c r="P50" s="1">
        <v>48</v>
      </c>
      <c r="Q50" s="15">
        <v>4</v>
      </c>
      <c r="R50" s="15"/>
      <c r="S50" s="1">
        <v>48</v>
      </c>
      <c r="T50" s="15">
        <v>22</v>
      </c>
      <c r="U50" s="3"/>
      <c r="V50" s="1">
        <v>48</v>
      </c>
      <c r="W50" s="7">
        <f t="shared" si="0"/>
        <v>4</v>
      </c>
      <c r="X50" s="7">
        <f t="shared" si="1"/>
        <v>3</v>
      </c>
      <c r="Y50" s="7">
        <f t="shared" si="2"/>
        <v>3</v>
      </c>
      <c r="Z50" s="7">
        <f t="shared" si="3"/>
        <v>3</v>
      </c>
      <c r="AA50" s="7">
        <f t="shared" si="4"/>
        <v>3</v>
      </c>
      <c r="AB50" s="13"/>
      <c r="AG50" s="1"/>
      <c r="AI50" s="12"/>
      <c r="AJ50" s="3"/>
      <c r="AK50" s="1">
        <v>48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3"/>
      <c r="AR50" s="1">
        <v>48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3"/>
      <c r="AY50" s="1">
        <v>48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3"/>
      <c r="BF50" s="1">
        <v>48</v>
      </c>
      <c r="BG50" s="7">
        <v>0</v>
      </c>
      <c r="BH50" s="7">
        <v>1</v>
      </c>
      <c r="BI50" s="7">
        <v>0</v>
      </c>
      <c r="BJ50" s="7">
        <v>0</v>
      </c>
      <c r="BK50" s="23">
        <v>0</v>
      </c>
      <c r="BM50" s="12"/>
      <c r="BN50" s="1">
        <v>48</v>
      </c>
      <c r="BO50" s="7">
        <f t="shared" si="5"/>
        <v>0</v>
      </c>
      <c r="BP50" s="7">
        <f t="shared" si="6"/>
        <v>1</v>
      </c>
      <c r="BQ50" s="7">
        <f t="shared" si="7"/>
        <v>0</v>
      </c>
      <c r="BR50" s="7">
        <f t="shared" si="8"/>
        <v>0</v>
      </c>
      <c r="BS50" s="7">
        <f t="shared" si="9"/>
        <v>0</v>
      </c>
      <c r="BT50" s="3"/>
      <c r="BU50" s="1">
        <v>48</v>
      </c>
      <c r="BV50" s="7">
        <f t="shared" si="10"/>
        <v>0</v>
      </c>
      <c r="BW50" s="7">
        <f t="shared" si="11"/>
        <v>4</v>
      </c>
      <c r="BX50" s="7">
        <f t="shared" si="12"/>
        <v>0</v>
      </c>
      <c r="BY50" s="7">
        <f t="shared" si="13"/>
        <v>0</v>
      </c>
      <c r="BZ50" s="7">
        <f t="shared" si="14"/>
        <v>0</v>
      </c>
      <c r="CA50" s="3"/>
      <c r="CB50" s="1">
        <v>48</v>
      </c>
      <c r="CC50" s="1">
        <f t="shared" si="15"/>
        <v>0</v>
      </c>
      <c r="CD50" s="1">
        <f t="shared" si="16"/>
        <v>2.6390158215457884</v>
      </c>
      <c r="CE50" s="1">
        <f t="shared" si="17"/>
        <v>0</v>
      </c>
      <c r="CF50" s="1">
        <f t="shared" si="18"/>
        <v>0</v>
      </c>
      <c r="CG50" s="22">
        <f t="shared" si="19"/>
        <v>0</v>
      </c>
    </row>
    <row r="51" spans="1:85" x14ac:dyDescent="0.3">
      <c r="A51" s="14">
        <v>49</v>
      </c>
      <c r="B51" s="15">
        <v>14</v>
      </c>
      <c r="C51" s="16"/>
      <c r="D51" s="1">
        <v>49</v>
      </c>
      <c r="E51" s="15">
        <v>9</v>
      </c>
      <c r="F51" s="16"/>
      <c r="G51" s="1">
        <v>49</v>
      </c>
      <c r="H51" s="15">
        <v>4</v>
      </c>
      <c r="I51" s="16"/>
      <c r="J51" s="1">
        <v>49</v>
      </c>
      <c r="K51" s="15">
        <v>6</v>
      </c>
      <c r="L51" s="15"/>
      <c r="M51" s="1">
        <v>49</v>
      </c>
      <c r="N51" s="17">
        <v>0.3</v>
      </c>
      <c r="O51" s="17"/>
      <c r="P51" s="1">
        <v>49</v>
      </c>
      <c r="Q51" s="15">
        <v>5</v>
      </c>
      <c r="R51" s="15"/>
      <c r="S51" s="1">
        <v>49</v>
      </c>
      <c r="T51" s="15">
        <v>22</v>
      </c>
      <c r="U51" s="3"/>
      <c r="V51" s="1">
        <v>49</v>
      </c>
      <c r="W51" s="7">
        <f t="shared" si="0"/>
        <v>8</v>
      </c>
      <c r="X51" s="7">
        <f t="shared" si="1"/>
        <v>7</v>
      </c>
      <c r="Y51" s="7">
        <f t="shared" si="2"/>
        <v>6</v>
      </c>
      <c r="Z51" s="7">
        <f t="shared" si="3"/>
        <v>6</v>
      </c>
      <c r="AA51" s="7">
        <f t="shared" si="4"/>
        <v>7</v>
      </c>
      <c r="AB51" s="13"/>
      <c r="AG51" s="1"/>
      <c r="AI51" s="12"/>
      <c r="AJ51" s="3"/>
      <c r="AK51" s="1">
        <v>49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3"/>
      <c r="AR51" s="1">
        <v>49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3"/>
      <c r="AY51" s="1">
        <v>49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3"/>
      <c r="BF51" s="1">
        <v>49</v>
      </c>
      <c r="BG51" s="7">
        <v>0</v>
      </c>
      <c r="BH51" s="7">
        <v>0</v>
      </c>
      <c r="BI51" s="7">
        <v>0</v>
      </c>
      <c r="BJ51" s="7">
        <v>0</v>
      </c>
      <c r="BK51" s="23">
        <v>0</v>
      </c>
      <c r="BM51" s="12"/>
      <c r="BN51" s="1">
        <v>49</v>
      </c>
      <c r="BO51" s="7">
        <f t="shared" si="5"/>
        <v>0</v>
      </c>
      <c r="BP51" s="7">
        <f t="shared" si="6"/>
        <v>0</v>
      </c>
      <c r="BQ51" s="7">
        <f t="shared" si="7"/>
        <v>0</v>
      </c>
      <c r="BR51" s="7">
        <f t="shared" si="8"/>
        <v>0</v>
      </c>
      <c r="BS51" s="7">
        <f t="shared" si="9"/>
        <v>0</v>
      </c>
      <c r="BT51" s="3"/>
      <c r="BU51" s="1">
        <v>49</v>
      </c>
      <c r="BV51" s="7">
        <f t="shared" si="10"/>
        <v>0</v>
      </c>
      <c r="BW51" s="7">
        <f t="shared" si="11"/>
        <v>0</v>
      </c>
      <c r="BX51" s="7">
        <f t="shared" si="12"/>
        <v>0</v>
      </c>
      <c r="BY51" s="7">
        <f t="shared" si="13"/>
        <v>0</v>
      </c>
      <c r="BZ51" s="7">
        <f t="shared" si="14"/>
        <v>0</v>
      </c>
      <c r="CA51" s="3"/>
      <c r="CB51" s="1">
        <v>49</v>
      </c>
      <c r="CC51" s="1">
        <f t="shared" si="15"/>
        <v>0</v>
      </c>
      <c r="CD51" s="1">
        <f t="shared" si="16"/>
        <v>0</v>
      </c>
      <c r="CE51" s="1">
        <f t="shared" si="17"/>
        <v>0</v>
      </c>
      <c r="CF51" s="1">
        <f t="shared" si="18"/>
        <v>0</v>
      </c>
      <c r="CG51" s="22">
        <f t="shared" si="19"/>
        <v>0</v>
      </c>
    </row>
    <row r="52" spans="1:85" x14ac:dyDescent="0.3">
      <c r="A52" s="14">
        <v>50</v>
      </c>
      <c r="B52" s="15">
        <v>14</v>
      </c>
      <c r="C52" s="16"/>
      <c r="D52" s="1">
        <v>50</v>
      </c>
      <c r="E52" s="15">
        <v>6</v>
      </c>
      <c r="F52" s="16"/>
      <c r="G52" s="1">
        <v>50</v>
      </c>
      <c r="H52" s="15">
        <v>2</v>
      </c>
      <c r="I52" s="16"/>
      <c r="J52" s="1">
        <v>50</v>
      </c>
      <c r="K52" s="15">
        <v>12</v>
      </c>
      <c r="L52" s="15"/>
      <c r="M52" s="1">
        <v>50</v>
      </c>
      <c r="N52" s="17">
        <v>0.9</v>
      </c>
      <c r="O52" s="17"/>
      <c r="P52" s="1">
        <v>50</v>
      </c>
      <c r="Q52" s="15">
        <v>3</v>
      </c>
      <c r="R52" s="15"/>
      <c r="S52" s="1">
        <v>50</v>
      </c>
      <c r="T52" s="15">
        <v>21</v>
      </c>
      <c r="U52" s="3"/>
      <c r="V52" s="1">
        <v>50</v>
      </c>
      <c r="W52" s="7">
        <f t="shared" si="0"/>
        <v>17</v>
      </c>
      <c r="X52" s="7">
        <f t="shared" si="1"/>
        <v>15</v>
      </c>
      <c r="Y52" s="7">
        <f t="shared" si="2"/>
        <v>13</v>
      </c>
      <c r="Z52" s="7">
        <f t="shared" si="3"/>
        <v>13</v>
      </c>
      <c r="AA52" s="7">
        <f t="shared" si="4"/>
        <v>14</v>
      </c>
      <c r="AB52" s="13"/>
      <c r="AG52" s="1"/>
      <c r="AI52" s="12"/>
      <c r="AJ52" s="3"/>
      <c r="AK52" s="1">
        <v>50</v>
      </c>
      <c r="AL52" s="7">
        <v>0</v>
      </c>
      <c r="AM52" s="7">
        <v>0</v>
      </c>
      <c r="AN52" s="7">
        <v>1</v>
      </c>
      <c r="AO52" s="7">
        <v>0</v>
      </c>
      <c r="AP52" s="7">
        <v>0</v>
      </c>
      <c r="AQ52" s="3"/>
      <c r="AR52" s="1">
        <v>50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3"/>
      <c r="AY52" s="1">
        <v>50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3"/>
      <c r="BF52" s="1">
        <v>50</v>
      </c>
      <c r="BG52" s="7">
        <v>0</v>
      </c>
      <c r="BH52" s="7">
        <v>0</v>
      </c>
      <c r="BI52" s="7">
        <v>0</v>
      </c>
      <c r="BJ52" s="7">
        <v>0</v>
      </c>
      <c r="BK52" s="23">
        <v>0</v>
      </c>
      <c r="BM52" s="12"/>
      <c r="BN52" s="1">
        <v>50</v>
      </c>
      <c r="BO52" s="7">
        <f t="shared" si="5"/>
        <v>0</v>
      </c>
      <c r="BP52" s="7">
        <f t="shared" si="6"/>
        <v>0</v>
      </c>
      <c r="BQ52" s="7">
        <f t="shared" si="7"/>
        <v>1</v>
      </c>
      <c r="BR52" s="7">
        <f t="shared" si="8"/>
        <v>0</v>
      </c>
      <c r="BS52" s="7">
        <f t="shared" si="9"/>
        <v>0</v>
      </c>
      <c r="BT52" s="3"/>
      <c r="BU52" s="1">
        <v>50</v>
      </c>
      <c r="BV52" s="7">
        <f t="shared" si="10"/>
        <v>0</v>
      </c>
      <c r="BW52" s="7">
        <f t="shared" si="11"/>
        <v>0</v>
      </c>
      <c r="BX52" s="7">
        <f t="shared" si="12"/>
        <v>1</v>
      </c>
      <c r="BY52" s="7">
        <f t="shared" si="13"/>
        <v>0</v>
      </c>
      <c r="BZ52" s="7">
        <f t="shared" si="14"/>
        <v>0</v>
      </c>
      <c r="CA52" s="3"/>
      <c r="CB52" s="1">
        <v>50</v>
      </c>
      <c r="CC52" s="1">
        <f t="shared" si="15"/>
        <v>0</v>
      </c>
      <c r="CD52" s="1">
        <f t="shared" si="16"/>
        <v>0</v>
      </c>
      <c r="CE52" s="1">
        <f t="shared" si="17"/>
        <v>1</v>
      </c>
      <c r="CF52" s="1">
        <f t="shared" si="18"/>
        <v>0</v>
      </c>
      <c r="CG52" s="22">
        <f t="shared" si="19"/>
        <v>0</v>
      </c>
    </row>
    <row r="53" spans="1:85" x14ac:dyDescent="0.3">
      <c r="A53" s="14">
        <v>51</v>
      </c>
      <c r="B53" s="15">
        <v>8</v>
      </c>
      <c r="C53" s="16"/>
      <c r="D53" s="1">
        <v>51</v>
      </c>
      <c r="E53" s="15">
        <v>8</v>
      </c>
      <c r="F53" s="16"/>
      <c r="G53" s="1">
        <v>51</v>
      </c>
      <c r="H53" s="15">
        <v>2</v>
      </c>
      <c r="I53" s="16"/>
      <c r="J53" s="1">
        <v>51</v>
      </c>
      <c r="K53" s="15">
        <v>4</v>
      </c>
      <c r="L53" s="15"/>
      <c r="M53" s="1">
        <v>51</v>
      </c>
      <c r="N53" s="17">
        <v>0.1</v>
      </c>
      <c r="O53" s="17"/>
      <c r="P53" s="1">
        <v>51</v>
      </c>
      <c r="Q53" s="15">
        <v>1</v>
      </c>
      <c r="R53" s="15"/>
      <c r="S53" s="1">
        <v>51</v>
      </c>
      <c r="T53" s="15">
        <v>17</v>
      </c>
      <c r="U53" s="3"/>
      <c r="V53" s="1">
        <v>51</v>
      </c>
      <c r="W53" s="7">
        <f t="shared" si="0"/>
        <v>17</v>
      </c>
      <c r="X53" s="7">
        <f t="shared" si="1"/>
        <v>15</v>
      </c>
      <c r="Y53" s="7">
        <f t="shared" si="2"/>
        <v>13</v>
      </c>
      <c r="Z53" s="7">
        <f t="shared" si="3"/>
        <v>13</v>
      </c>
      <c r="AA53" s="7">
        <f t="shared" si="4"/>
        <v>14</v>
      </c>
      <c r="AB53" s="13"/>
      <c r="AG53" s="1"/>
      <c r="AI53" s="12"/>
      <c r="AJ53" s="3"/>
      <c r="AK53" s="1">
        <v>51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3"/>
      <c r="AR53" s="1">
        <v>51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3"/>
      <c r="AY53" s="1">
        <v>51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3"/>
      <c r="BF53" s="1">
        <v>51</v>
      </c>
      <c r="BG53" s="7">
        <v>0</v>
      </c>
      <c r="BH53" s="7">
        <v>0</v>
      </c>
      <c r="BI53" s="7">
        <v>0</v>
      </c>
      <c r="BJ53" s="7">
        <v>0</v>
      </c>
      <c r="BK53" s="23">
        <v>0</v>
      </c>
      <c r="BM53" s="12"/>
      <c r="BN53" s="1">
        <v>51</v>
      </c>
      <c r="BO53" s="7">
        <f t="shared" si="5"/>
        <v>0</v>
      </c>
      <c r="BP53" s="7">
        <f t="shared" si="6"/>
        <v>0</v>
      </c>
      <c r="BQ53" s="7">
        <f t="shared" si="7"/>
        <v>0</v>
      </c>
      <c r="BR53" s="7">
        <f t="shared" si="8"/>
        <v>0</v>
      </c>
      <c r="BS53" s="7">
        <f t="shared" si="9"/>
        <v>0</v>
      </c>
      <c r="BT53" s="3"/>
      <c r="BU53" s="1">
        <v>51</v>
      </c>
      <c r="BV53" s="7">
        <f t="shared" si="10"/>
        <v>0</v>
      </c>
      <c r="BW53" s="7">
        <f t="shared" si="11"/>
        <v>0</v>
      </c>
      <c r="BX53" s="7">
        <f t="shared" si="12"/>
        <v>0</v>
      </c>
      <c r="BY53" s="7">
        <f t="shared" si="13"/>
        <v>0</v>
      </c>
      <c r="BZ53" s="7">
        <f t="shared" si="14"/>
        <v>0</v>
      </c>
      <c r="CA53" s="3"/>
      <c r="CB53" s="1">
        <v>51</v>
      </c>
      <c r="CC53" s="1">
        <f t="shared" si="15"/>
        <v>0</v>
      </c>
      <c r="CD53" s="1">
        <f t="shared" si="16"/>
        <v>0</v>
      </c>
      <c r="CE53" s="1">
        <f t="shared" si="17"/>
        <v>0</v>
      </c>
      <c r="CF53" s="1">
        <f t="shared" si="18"/>
        <v>0</v>
      </c>
      <c r="CG53" s="22">
        <f t="shared" si="19"/>
        <v>0</v>
      </c>
    </row>
    <row r="54" spans="1:85" x14ac:dyDescent="0.3">
      <c r="A54" s="14">
        <v>52</v>
      </c>
      <c r="B54" s="15">
        <v>9</v>
      </c>
      <c r="C54" s="16"/>
      <c r="D54" s="1">
        <v>52</v>
      </c>
      <c r="E54" s="15">
        <v>10</v>
      </c>
      <c r="F54" s="16"/>
      <c r="G54" s="1">
        <v>52</v>
      </c>
      <c r="H54" s="15">
        <v>3</v>
      </c>
      <c r="I54" s="16"/>
      <c r="J54" s="1">
        <v>52</v>
      </c>
      <c r="K54" s="15">
        <v>7</v>
      </c>
      <c r="L54" s="15"/>
      <c r="M54" s="1">
        <v>52</v>
      </c>
      <c r="N54" s="17">
        <v>0.5</v>
      </c>
      <c r="O54" s="17"/>
      <c r="P54" s="1">
        <v>52</v>
      </c>
      <c r="Q54" s="15">
        <v>4</v>
      </c>
      <c r="R54" s="15"/>
      <c r="S54" s="1">
        <v>52</v>
      </c>
      <c r="T54" s="15">
        <v>15</v>
      </c>
      <c r="U54" s="3"/>
      <c r="V54" s="1">
        <v>52</v>
      </c>
      <c r="W54" s="7">
        <f t="shared" si="0"/>
        <v>11</v>
      </c>
      <c r="X54" s="7">
        <f t="shared" si="1"/>
        <v>10</v>
      </c>
      <c r="Y54" s="7">
        <f t="shared" si="2"/>
        <v>8</v>
      </c>
      <c r="Z54" s="7">
        <f t="shared" si="3"/>
        <v>9</v>
      </c>
      <c r="AA54" s="7">
        <f t="shared" si="4"/>
        <v>9</v>
      </c>
      <c r="AB54" s="13"/>
      <c r="AG54" s="1"/>
      <c r="AI54" s="12"/>
      <c r="AJ54" s="3"/>
      <c r="AK54" s="1">
        <v>52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3"/>
      <c r="AR54" s="1">
        <v>52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3"/>
      <c r="AY54" s="1">
        <v>52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3"/>
      <c r="BF54" s="1">
        <v>52</v>
      </c>
      <c r="BG54" s="7">
        <v>0</v>
      </c>
      <c r="BH54" s="7">
        <v>0</v>
      </c>
      <c r="BI54" s="7">
        <v>0</v>
      </c>
      <c r="BJ54" s="7">
        <v>0</v>
      </c>
      <c r="BK54" s="23">
        <v>0</v>
      </c>
      <c r="BM54" s="12"/>
      <c r="BN54" s="1">
        <v>52</v>
      </c>
      <c r="BO54" s="7">
        <f t="shared" si="5"/>
        <v>0</v>
      </c>
      <c r="BP54" s="7">
        <f t="shared" si="6"/>
        <v>0</v>
      </c>
      <c r="BQ54" s="7">
        <f t="shared" si="7"/>
        <v>0</v>
      </c>
      <c r="BR54" s="7">
        <f t="shared" si="8"/>
        <v>0</v>
      </c>
      <c r="BS54" s="7">
        <f t="shared" si="9"/>
        <v>0</v>
      </c>
      <c r="BT54" s="3"/>
      <c r="BU54" s="1">
        <v>52</v>
      </c>
      <c r="BV54" s="7">
        <f t="shared" si="10"/>
        <v>0</v>
      </c>
      <c r="BW54" s="7">
        <f t="shared" si="11"/>
        <v>0</v>
      </c>
      <c r="BX54" s="7">
        <f t="shared" si="12"/>
        <v>0</v>
      </c>
      <c r="BY54" s="7">
        <f t="shared" si="13"/>
        <v>0</v>
      </c>
      <c r="BZ54" s="7">
        <f t="shared" si="14"/>
        <v>0</v>
      </c>
      <c r="CA54" s="3"/>
      <c r="CB54" s="1">
        <v>52</v>
      </c>
      <c r="CC54" s="1">
        <f t="shared" si="15"/>
        <v>0</v>
      </c>
      <c r="CD54" s="1">
        <f t="shared" si="16"/>
        <v>0</v>
      </c>
      <c r="CE54" s="1">
        <f t="shared" si="17"/>
        <v>0</v>
      </c>
      <c r="CF54" s="1">
        <f t="shared" si="18"/>
        <v>0</v>
      </c>
      <c r="CG54" s="22">
        <f t="shared" si="19"/>
        <v>0</v>
      </c>
    </row>
    <row r="55" spans="1:85" x14ac:dyDescent="0.3">
      <c r="A55" s="14">
        <v>53</v>
      </c>
      <c r="B55" s="15">
        <v>7</v>
      </c>
      <c r="C55" s="16"/>
      <c r="D55" s="1">
        <v>53</v>
      </c>
      <c r="E55" s="15">
        <v>5</v>
      </c>
      <c r="F55" s="16"/>
      <c r="G55" s="1">
        <v>53</v>
      </c>
      <c r="H55" s="15">
        <v>5</v>
      </c>
      <c r="I55" s="16"/>
      <c r="J55" s="1">
        <v>53</v>
      </c>
      <c r="K55" s="15">
        <v>13</v>
      </c>
      <c r="L55" s="15"/>
      <c r="M55" s="1">
        <v>53</v>
      </c>
      <c r="N55" s="17">
        <v>0.4</v>
      </c>
      <c r="O55" s="17"/>
      <c r="P55" s="1">
        <v>53</v>
      </c>
      <c r="Q55" s="15">
        <v>5</v>
      </c>
      <c r="R55" s="15"/>
      <c r="S55" s="1">
        <v>53</v>
      </c>
      <c r="T55" s="15">
        <v>23</v>
      </c>
      <c r="U55" s="3"/>
      <c r="V55" s="1">
        <v>53</v>
      </c>
      <c r="W55" s="7">
        <f t="shared" si="0"/>
        <v>6</v>
      </c>
      <c r="X55" s="7">
        <f t="shared" si="1"/>
        <v>6</v>
      </c>
      <c r="Y55" s="7">
        <f t="shared" si="2"/>
        <v>5</v>
      </c>
      <c r="Z55" s="7">
        <f t="shared" si="3"/>
        <v>5</v>
      </c>
      <c r="AA55" s="7">
        <f t="shared" si="4"/>
        <v>5</v>
      </c>
      <c r="AB55" s="13"/>
      <c r="AG55" s="1"/>
      <c r="AI55" s="12"/>
      <c r="AJ55" s="3"/>
      <c r="AK55" s="1">
        <v>53</v>
      </c>
      <c r="AL55" s="7">
        <v>0</v>
      </c>
      <c r="AM55" s="7">
        <v>0</v>
      </c>
      <c r="AN55" s="7">
        <v>0</v>
      </c>
      <c r="AO55" s="7">
        <v>0</v>
      </c>
      <c r="AP55" s="7">
        <v>1</v>
      </c>
      <c r="AQ55" s="3"/>
      <c r="AR55" s="1">
        <v>53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3"/>
      <c r="AY55" s="1">
        <v>53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3"/>
      <c r="BF55" s="1">
        <v>53</v>
      </c>
      <c r="BG55" s="7">
        <v>0</v>
      </c>
      <c r="BH55" s="7">
        <v>0</v>
      </c>
      <c r="BI55" s="7">
        <v>0</v>
      </c>
      <c r="BJ55" s="7">
        <v>0</v>
      </c>
      <c r="BK55" s="23">
        <v>0</v>
      </c>
      <c r="BM55" s="12"/>
      <c r="BN55" s="1">
        <v>53</v>
      </c>
      <c r="BO55" s="7">
        <f t="shared" si="5"/>
        <v>0</v>
      </c>
      <c r="BP55" s="7">
        <f t="shared" si="6"/>
        <v>0</v>
      </c>
      <c r="BQ55" s="7">
        <f t="shared" si="7"/>
        <v>0</v>
      </c>
      <c r="BR55" s="7">
        <f t="shared" si="8"/>
        <v>0</v>
      </c>
      <c r="BS55" s="7">
        <f t="shared" si="9"/>
        <v>1</v>
      </c>
      <c r="BT55" s="3"/>
      <c r="BU55" s="1">
        <v>53</v>
      </c>
      <c r="BV55" s="7">
        <f t="shared" si="10"/>
        <v>0</v>
      </c>
      <c r="BW55" s="7">
        <f t="shared" si="11"/>
        <v>0</v>
      </c>
      <c r="BX55" s="7">
        <f t="shared" si="12"/>
        <v>0</v>
      </c>
      <c r="BY55" s="7">
        <f t="shared" si="13"/>
        <v>0</v>
      </c>
      <c r="BZ55" s="7">
        <f t="shared" si="14"/>
        <v>1</v>
      </c>
      <c r="CA55" s="3"/>
      <c r="CB55" s="1">
        <v>53</v>
      </c>
      <c r="CC55" s="1">
        <f t="shared" si="15"/>
        <v>0</v>
      </c>
      <c r="CD55" s="1">
        <f t="shared" si="16"/>
        <v>0</v>
      </c>
      <c r="CE55" s="1">
        <f t="shared" si="17"/>
        <v>0</v>
      </c>
      <c r="CF55" s="1">
        <f t="shared" si="18"/>
        <v>0</v>
      </c>
      <c r="CG55" s="22">
        <f t="shared" si="19"/>
        <v>1</v>
      </c>
    </row>
    <row r="56" spans="1:85" x14ac:dyDescent="0.3">
      <c r="A56" s="14">
        <v>54</v>
      </c>
      <c r="B56" s="15">
        <v>12</v>
      </c>
      <c r="C56" s="16"/>
      <c r="D56" s="1">
        <v>54</v>
      </c>
      <c r="E56" s="15">
        <v>7</v>
      </c>
      <c r="F56" s="16"/>
      <c r="G56" s="1">
        <v>54</v>
      </c>
      <c r="H56" s="15">
        <v>7</v>
      </c>
      <c r="I56" s="16"/>
      <c r="J56" s="1">
        <v>54</v>
      </c>
      <c r="K56" s="15">
        <v>12</v>
      </c>
      <c r="L56" s="15"/>
      <c r="M56" s="1">
        <v>54</v>
      </c>
      <c r="N56" s="17">
        <v>0.8</v>
      </c>
      <c r="O56" s="17"/>
      <c r="P56" s="1">
        <v>54</v>
      </c>
      <c r="Q56" s="15">
        <v>4</v>
      </c>
      <c r="R56" s="15"/>
      <c r="S56" s="1">
        <v>54</v>
      </c>
      <c r="T56" s="15">
        <v>24</v>
      </c>
      <c r="U56" s="3"/>
      <c r="V56" s="1">
        <v>54</v>
      </c>
      <c r="W56" s="7">
        <f t="shared" si="0"/>
        <v>4</v>
      </c>
      <c r="X56" s="7">
        <f t="shared" si="1"/>
        <v>4</v>
      </c>
      <c r="Y56" s="7">
        <f t="shared" si="2"/>
        <v>3</v>
      </c>
      <c r="Z56" s="7">
        <f t="shared" si="3"/>
        <v>3</v>
      </c>
      <c r="AA56" s="7">
        <f t="shared" si="4"/>
        <v>4</v>
      </c>
      <c r="AB56" s="13"/>
      <c r="AG56" s="1"/>
      <c r="AI56" s="12"/>
      <c r="AJ56" s="3"/>
      <c r="AK56" s="1">
        <v>54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3"/>
      <c r="AR56" s="1">
        <v>54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3"/>
      <c r="AY56" s="1">
        <v>54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3"/>
      <c r="BF56" s="1">
        <v>54</v>
      </c>
      <c r="BG56" s="7">
        <v>0</v>
      </c>
      <c r="BH56" s="7">
        <v>0</v>
      </c>
      <c r="BI56" s="7">
        <v>1</v>
      </c>
      <c r="BJ56" s="7">
        <v>0</v>
      </c>
      <c r="BK56" s="23">
        <v>0</v>
      </c>
      <c r="BM56" s="12"/>
      <c r="BN56" s="1">
        <v>54</v>
      </c>
      <c r="BO56" s="7">
        <f t="shared" si="5"/>
        <v>0</v>
      </c>
      <c r="BP56" s="7">
        <f t="shared" si="6"/>
        <v>0</v>
      </c>
      <c r="BQ56" s="7">
        <f t="shared" si="7"/>
        <v>1</v>
      </c>
      <c r="BR56" s="7">
        <f t="shared" si="8"/>
        <v>0</v>
      </c>
      <c r="BS56" s="7">
        <f t="shared" si="9"/>
        <v>0</v>
      </c>
      <c r="BT56" s="3"/>
      <c r="BU56" s="1">
        <v>54</v>
      </c>
      <c r="BV56" s="7">
        <f t="shared" si="10"/>
        <v>0</v>
      </c>
      <c r="BW56" s="7">
        <f t="shared" si="11"/>
        <v>0</v>
      </c>
      <c r="BX56" s="7">
        <f t="shared" si="12"/>
        <v>4</v>
      </c>
      <c r="BY56" s="7">
        <f t="shared" si="13"/>
        <v>0</v>
      </c>
      <c r="BZ56" s="7">
        <f t="shared" si="14"/>
        <v>0</v>
      </c>
      <c r="CA56" s="3"/>
      <c r="CB56" s="1">
        <v>54</v>
      </c>
      <c r="CC56" s="1">
        <f t="shared" si="15"/>
        <v>0</v>
      </c>
      <c r="CD56" s="1">
        <f t="shared" si="16"/>
        <v>0</v>
      </c>
      <c r="CE56" s="1">
        <f t="shared" si="17"/>
        <v>3.031433133020796</v>
      </c>
      <c r="CF56" s="1">
        <f t="shared" si="18"/>
        <v>0</v>
      </c>
      <c r="CG56" s="22">
        <f t="shared" si="19"/>
        <v>0</v>
      </c>
    </row>
    <row r="57" spans="1:85" x14ac:dyDescent="0.3">
      <c r="A57" s="14">
        <v>55</v>
      </c>
      <c r="B57" s="15">
        <v>6</v>
      </c>
      <c r="C57" s="16"/>
      <c r="D57" s="1">
        <v>55</v>
      </c>
      <c r="E57" s="15">
        <v>6</v>
      </c>
      <c r="F57" s="16"/>
      <c r="G57" s="1">
        <v>55</v>
      </c>
      <c r="H57" s="15">
        <v>4</v>
      </c>
      <c r="I57" s="16"/>
      <c r="J57" s="1">
        <v>55</v>
      </c>
      <c r="K57" s="15">
        <v>2</v>
      </c>
      <c r="L57" s="15"/>
      <c r="M57" s="1">
        <v>55</v>
      </c>
      <c r="N57" s="17">
        <v>0.8</v>
      </c>
      <c r="O57" s="17"/>
      <c r="P57" s="1">
        <v>55</v>
      </c>
      <c r="Q57" s="15">
        <v>3</v>
      </c>
      <c r="R57" s="15"/>
      <c r="S57" s="1">
        <v>55</v>
      </c>
      <c r="T57" s="15">
        <v>24</v>
      </c>
      <c r="U57" s="3"/>
      <c r="V57" s="1">
        <v>55</v>
      </c>
      <c r="W57" s="7">
        <f t="shared" si="0"/>
        <v>8</v>
      </c>
      <c r="X57" s="7">
        <f t="shared" si="1"/>
        <v>7</v>
      </c>
      <c r="Y57" s="7">
        <f t="shared" si="2"/>
        <v>6</v>
      </c>
      <c r="Z57" s="7">
        <f t="shared" si="3"/>
        <v>6</v>
      </c>
      <c r="AA57" s="7">
        <f t="shared" si="4"/>
        <v>7</v>
      </c>
      <c r="AB57" s="13"/>
      <c r="AG57" s="1"/>
      <c r="AI57" s="12"/>
      <c r="AJ57" s="3"/>
      <c r="AK57" s="1">
        <v>55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3"/>
      <c r="AR57" s="1">
        <v>55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3"/>
      <c r="AY57" s="1">
        <v>55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3"/>
      <c r="BF57" s="1">
        <v>55</v>
      </c>
      <c r="BG57" s="7">
        <v>0</v>
      </c>
      <c r="BH57" s="7">
        <v>0</v>
      </c>
      <c r="BI57" s="7">
        <v>0</v>
      </c>
      <c r="BJ57" s="7">
        <v>0</v>
      </c>
      <c r="BK57" s="23">
        <v>0</v>
      </c>
      <c r="BM57" s="12"/>
      <c r="BN57" s="1">
        <v>55</v>
      </c>
      <c r="BO57" s="7">
        <f t="shared" si="5"/>
        <v>0</v>
      </c>
      <c r="BP57" s="7">
        <f t="shared" si="6"/>
        <v>0</v>
      </c>
      <c r="BQ57" s="7">
        <f t="shared" si="7"/>
        <v>0</v>
      </c>
      <c r="BR57" s="7">
        <f t="shared" si="8"/>
        <v>0</v>
      </c>
      <c r="BS57" s="7">
        <f t="shared" si="9"/>
        <v>0</v>
      </c>
      <c r="BT57" s="3"/>
      <c r="BU57" s="1">
        <v>55</v>
      </c>
      <c r="BV57" s="7">
        <f t="shared" si="10"/>
        <v>0</v>
      </c>
      <c r="BW57" s="7">
        <f t="shared" si="11"/>
        <v>0</v>
      </c>
      <c r="BX57" s="7">
        <f t="shared" si="12"/>
        <v>0</v>
      </c>
      <c r="BY57" s="7">
        <f t="shared" si="13"/>
        <v>0</v>
      </c>
      <c r="BZ57" s="7">
        <f t="shared" si="14"/>
        <v>0</v>
      </c>
      <c r="CA57" s="3"/>
      <c r="CB57" s="1">
        <v>55</v>
      </c>
      <c r="CC57" s="1">
        <f t="shared" si="15"/>
        <v>0</v>
      </c>
      <c r="CD57" s="1">
        <f t="shared" si="16"/>
        <v>0</v>
      </c>
      <c r="CE57" s="1">
        <f t="shared" si="17"/>
        <v>0</v>
      </c>
      <c r="CF57" s="1">
        <f t="shared" si="18"/>
        <v>0</v>
      </c>
      <c r="CG57" s="22">
        <f t="shared" si="19"/>
        <v>0</v>
      </c>
    </row>
    <row r="58" spans="1:85" x14ac:dyDescent="0.3">
      <c r="A58" s="14">
        <v>56</v>
      </c>
      <c r="B58" s="15">
        <v>5</v>
      </c>
      <c r="C58" s="16"/>
      <c r="D58" s="1">
        <v>56</v>
      </c>
      <c r="E58" s="15">
        <v>7</v>
      </c>
      <c r="F58" s="16"/>
      <c r="G58" s="1">
        <v>56</v>
      </c>
      <c r="H58" s="15">
        <v>7</v>
      </c>
      <c r="I58" s="16"/>
      <c r="J58" s="1">
        <v>56</v>
      </c>
      <c r="K58" s="15">
        <v>13</v>
      </c>
      <c r="L58" s="15"/>
      <c r="M58" s="1">
        <v>56</v>
      </c>
      <c r="N58" s="17">
        <v>0.9</v>
      </c>
      <c r="O58" s="17"/>
      <c r="P58" s="1">
        <v>56</v>
      </c>
      <c r="Q58" s="15">
        <v>4</v>
      </c>
      <c r="R58" s="15"/>
      <c r="S58" s="1">
        <v>56</v>
      </c>
      <c r="T58" s="15">
        <v>22</v>
      </c>
      <c r="U58" s="3"/>
      <c r="V58" s="1">
        <v>56</v>
      </c>
      <c r="W58" s="7">
        <f t="shared" si="0"/>
        <v>4</v>
      </c>
      <c r="X58" s="7">
        <f t="shared" si="1"/>
        <v>4</v>
      </c>
      <c r="Y58" s="7">
        <f t="shared" si="2"/>
        <v>3</v>
      </c>
      <c r="Z58" s="7">
        <f t="shared" si="3"/>
        <v>3</v>
      </c>
      <c r="AA58" s="7">
        <f t="shared" si="4"/>
        <v>4</v>
      </c>
      <c r="AB58" s="13"/>
      <c r="AG58" s="1"/>
      <c r="AI58" s="12"/>
      <c r="AJ58" s="3"/>
      <c r="AK58" s="1">
        <v>56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3"/>
      <c r="AR58" s="1">
        <v>56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3"/>
      <c r="AY58" s="1">
        <v>56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3"/>
      <c r="BF58" s="1">
        <v>56</v>
      </c>
      <c r="BG58" s="7">
        <v>0</v>
      </c>
      <c r="BH58" s="7">
        <v>1</v>
      </c>
      <c r="BI58" s="7">
        <v>0</v>
      </c>
      <c r="BJ58" s="7">
        <v>0</v>
      </c>
      <c r="BK58" s="23">
        <v>0</v>
      </c>
      <c r="BM58" s="12"/>
      <c r="BN58" s="1">
        <v>56</v>
      </c>
      <c r="BO58" s="7">
        <f t="shared" si="5"/>
        <v>0</v>
      </c>
      <c r="BP58" s="7">
        <f t="shared" si="6"/>
        <v>1</v>
      </c>
      <c r="BQ58" s="7">
        <f t="shared" si="7"/>
        <v>0</v>
      </c>
      <c r="BR58" s="7">
        <f t="shared" si="8"/>
        <v>0</v>
      </c>
      <c r="BS58" s="7">
        <f t="shared" si="9"/>
        <v>0</v>
      </c>
      <c r="BT58" s="3"/>
      <c r="BU58" s="1">
        <v>56</v>
      </c>
      <c r="BV58" s="7">
        <f t="shared" si="10"/>
        <v>0</v>
      </c>
      <c r="BW58" s="7">
        <f t="shared" si="11"/>
        <v>4</v>
      </c>
      <c r="BX58" s="7">
        <f t="shared" si="12"/>
        <v>0</v>
      </c>
      <c r="BY58" s="7">
        <f t="shared" si="13"/>
        <v>0</v>
      </c>
      <c r="BZ58" s="7">
        <f t="shared" si="14"/>
        <v>0</v>
      </c>
      <c r="CA58" s="3"/>
      <c r="CB58" s="1">
        <v>56</v>
      </c>
      <c r="CC58" s="1">
        <f t="shared" si="15"/>
        <v>0</v>
      </c>
      <c r="CD58" s="1">
        <f t="shared" si="16"/>
        <v>3.4822022531844965</v>
      </c>
      <c r="CE58" s="1">
        <f t="shared" si="17"/>
        <v>0</v>
      </c>
      <c r="CF58" s="1">
        <f t="shared" si="18"/>
        <v>0</v>
      </c>
      <c r="CG58" s="22">
        <f t="shared" si="19"/>
        <v>0</v>
      </c>
    </row>
    <row r="59" spans="1:85" x14ac:dyDescent="0.3">
      <c r="A59" s="14">
        <v>57</v>
      </c>
      <c r="B59" s="15">
        <v>6</v>
      </c>
      <c r="C59" s="16"/>
      <c r="D59" s="1">
        <v>57</v>
      </c>
      <c r="E59" s="15">
        <v>9</v>
      </c>
      <c r="F59" s="16"/>
      <c r="G59" s="1">
        <v>57</v>
      </c>
      <c r="H59" s="15">
        <v>5</v>
      </c>
      <c r="I59" s="16"/>
      <c r="J59" s="1">
        <v>57</v>
      </c>
      <c r="K59" s="15">
        <v>5</v>
      </c>
      <c r="L59" s="15"/>
      <c r="M59" s="1">
        <v>57</v>
      </c>
      <c r="N59" s="17">
        <v>0.3</v>
      </c>
      <c r="O59" s="17"/>
      <c r="P59" s="1">
        <v>57</v>
      </c>
      <c r="Q59" s="15">
        <v>5</v>
      </c>
      <c r="R59" s="15"/>
      <c r="S59" s="1">
        <v>57</v>
      </c>
      <c r="T59" s="15">
        <v>20</v>
      </c>
      <c r="U59" s="3"/>
      <c r="V59" s="1">
        <v>57</v>
      </c>
      <c r="W59" s="7">
        <f t="shared" si="0"/>
        <v>6</v>
      </c>
      <c r="X59" s="7">
        <f t="shared" si="1"/>
        <v>6</v>
      </c>
      <c r="Y59" s="7">
        <f t="shared" si="2"/>
        <v>5</v>
      </c>
      <c r="Z59" s="7">
        <f t="shared" si="3"/>
        <v>5</v>
      </c>
      <c r="AA59" s="7">
        <f t="shared" si="4"/>
        <v>5</v>
      </c>
      <c r="AB59" s="13"/>
      <c r="AG59" s="1"/>
      <c r="AI59" s="12"/>
      <c r="AJ59" s="3"/>
      <c r="AK59" s="1">
        <v>57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3"/>
      <c r="AR59" s="1">
        <v>57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3"/>
      <c r="AY59" s="1">
        <v>57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3"/>
      <c r="BF59" s="1">
        <v>57</v>
      </c>
      <c r="BG59" s="7">
        <v>0</v>
      </c>
      <c r="BH59" s="7">
        <v>0</v>
      </c>
      <c r="BI59" s="7">
        <v>0</v>
      </c>
      <c r="BJ59" s="7">
        <v>0</v>
      </c>
      <c r="BK59" s="23">
        <v>0</v>
      </c>
      <c r="BM59" s="12"/>
      <c r="BN59" s="1">
        <v>57</v>
      </c>
      <c r="BO59" s="7">
        <f t="shared" si="5"/>
        <v>0</v>
      </c>
      <c r="BP59" s="7">
        <f t="shared" si="6"/>
        <v>0</v>
      </c>
      <c r="BQ59" s="7">
        <f t="shared" si="7"/>
        <v>0</v>
      </c>
      <c r="BR59" s="7">
        <f t="shared" si="8"/>
        <v>0</v>
      </c>
      <c r="BS59" s="7">
        <f t="shared" si="9"/>
        <v>0</v>
      </c>
      <c r="BT59" s="3"/>
      <c r="BU59" s="1">
        <v>57</v>
      </c>
      <c r="BV59" s="7">
        <f t="shared" si="10"/>
        <v>0</v>
      </c>
      <c r="BW59" s="7">
        <f t="shared" si="11"/>
        <v>0</v>
      </c>
      <c r="BX59" s="7">
        <f t="shared" si="12"/>
        <v>0</v>
      </c>
      <c r="BY59" s="7">
        <f t="shared" si="13"/>
        <v>0</v>
      </c>
      <c r="BZ59" s="7">
        <f t="shared" si="14"/>
        <v>0</v>
      </c>
      <c r="CA59" s="3"/>
      <c r="CB59" s="1">
        <v>57</v>
      </c>
      <c r="CC59" s="1">
        <f t="shared" si="15"/>
        <v>0</v>
      </c>
      <c r="CD59" s="1">
        <f t="shared" si="16"/>
        <v>0</v>
      </c>
      <c r="CE59" s="1">
        <f t="shared" si="17"/>
        <v>0</v>
      </c>
      <c r="CF59" s="1">
        <f t="shared" si="18"/>
        <v>0</v>
      </c>
      <c r="CG59" s="22">
        <f t="shared" si="19"/>
        <v>0</v>
      </c>
    </row>
    <row r="60" spans="1:85" x14ac:dyDescent="0.3">
      <c r="A60" s="14">
        <v>58</v>
      </c>
      <c r="B60" s="15">
        <v>14</v>
      </c>
      <c r="C60" s="16"/>
      <c r="D60" s="1">
        <v>58</v>
      </c>
      <c r="E60" s="15">
        <v>5</v>
      </c>
      <c r="F60" s="16"/>
      <c r="G60" s="1">
        <v>58</v>
      </c>
      <c r="H60" s="15">
        <v>3</v>
      </c>
      <c r="I60" s="16"/>
      <c r="J60" s="1">
        <v>58</v>
      </c>
      <c r="K60" s="15">
        <v>2</v>
      </c>
      <c r="L60" s="15"/>
      <c r="M60" s="1">
        <v>58</v>
      </c>
      <c r="N60" s="17">
        <v>0.9</v>
      </c>
      <c r="O60" s="17"/>
      <c r="P60" s="1">
        <v>58</v>
      </c>
      <c r="Q60" s="15">
        <v>1</v>
      </c>
      <c r="R60" s="15"/>
      <c r="S60" s="1">
        <v>58</v>
      </c>
      <c r="T60" s="15">
        <v>22</v>
      </c>
      <c r="U60" s="3"/>
      <c r="V60" s="1">
        <v>58</v>
      </c>
      <c r="W60" s="7">
        <f t="shared" si="0"/>
        <v>11</v>
      </c>
      <c r="X60" s="7">
        <f t="shared" si="1"/>
        <v>10</v>
      </c>
      <c r="Y60" s="7">
        <f t="shared" si="2"/>
        <v>8</v>
      </c>
      <c r="Z60" s="7">
        <f t="shared" si="3"/>
        <v>9</v>
      </c>
      <c r="AA60" s="7">
        <f t="shared" si="4"/>
        <v>9</v>
      </c>
      <c r="AB60" s="13"/>
      <c r="AG60" s="1"/>
      <c r="AI60" s="12"/>
      <c r="AJ60" s="3"/>
      <c r="AK60" s="1">
        <v>58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3"/>
      <c r="AR60" s="1">
        <v>58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3"/>
      <c r="AY60" s="1">
        <v>58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3"/>
      <c r="BF60" s="1">
        <v>58</v>
      </c>
      <c r="BG60" s="7">
        <v>0</v>
      </c>
      <c r="BH60" s="7">
        <v>0</v>
      </c>
      <c r="BI60" s="7">
        <v>0</v>
      </c>
      <c r="BJ60" s="7">
        <v>0</v>
      </c>
      <c r="BK60" s="23">
        <v>0</v>
      </c>
      <c r="BM60" s="12"/>
      <c r="BN60" s="1">
        <v>58</v>
      </c>
      <c r="BO60" s="7">
        <f t="shared" si="5"/>
        <v>0</v>
      </c>
      <c r="BP60" s="7">
        <f t="shared" si="6"/>
        <v>0</v>
      </c>
      <c r="BQ60" s="7">
        <f t="shared" si="7"/>
        <v>0</v>
      </c>
      <c r="BR60" s="7">
        <f t="shared" si="8"/>
        <v>0</v>
      </c>
      <c r="BS60" s="7">
        <f t="shared" si="9"/>
        <v>0</v>
      </c>
      <c r="BT60" s="3"/>
      <c r="BU60" s="1">
        <v>58</v>
      </c>
      <c r="BV60" s="7">
        <f t="shared" si="10"/>
        <v>0</v>
      </c>
      <c r="BW60" s="7">
        <f t="shared" si="11"/>
        <v>0</v>
      </c>
      <c r="BX60" s="7">
        <f t="shared" si="12"/>
        <v>0</v>
      </c>
      <c r="BY60" s="7">
        <f t="shared" si="13"/>
        <v>0</v>
      </c>
      <c r="BZ60" s="7">
        <f t="shared" si="14"/>
        <v>0</v>
      </c>
      <c r="CA60" s="3"/>
      <c r="CB60" s="1">
        <v>58</v>
      </c>
      <c r="CC60" s="1">
        <f t="shared" si="15"/>
        <v>0</v>
      </c>
      <c r="CD60" s="1">
        <f t="shared" si="16"/>
        <v>0</v>
      </c>
      <c r="CE60" s="1">
        <f t="shared" si="17"/>
        <v>0</v>
      </c>
      <c r="CF60" s="1">
        <f t="shared" si="18"/>
        <v>0</v>
      </c>
      <c r="CG60" s="22">
        <f t="shared" si="19"/>
        <v>0</v>
      </c>
    </row>
    <row r="61" spans="1:85" x14ac:dyDescent="0.3">
      <c r="A61" s="14">
        <v>59</v>
      </c>
      <c r="B61" s="15">
        <v>6</v>
      </c>
      <c r="C61" s="16"/>
      <c r="D61" s="1">
        <v>59</v>
      </c>
      <c r="E61" s="15">
        <v>9</v>
      </c>
      <c r="F61" s="16"/>
      <c r="G61" s="1">
        <v>59</v>
      </c>
      <c r="H61" s="15">
        <v>6</v>
      </c>
      <c r="I61" s="16"/>
      <c r="J61" s="1">
        <v>59</v>
      </c>
      <c r="K61" s="15">
        <v>9</v>
      </c>
      <c r="L61" s="15"/>
      <c r="M61" s="1">
        <v>59</v>
      </c>
      <c r="N61" s="17">
        <v>0.9</v>
      </c>
      <c r="O61" s="17"/>
      <c r="P61" s="1">
        <v>59</v>
      </c>
      <c r="Q61" s="15">
        <v>2</v>
      </c>
      <c r="R61" s="15"/>
      <c r="S61" s="1">
        <v>59</v>
      </c>
      <c r="T61" s="15">
        <v>23</v>
      </c>
      <c r="U61" s="3"/>
      <c r="V61" s="1">
        <v>59</v>
      </c>
      <c r="W61" s="7">
        <f t="shared" si="0"/>
        <v>5</v>
      </c>
      <c r="X61" s="7">
        <f t="shared" si="1"/>
        <v>5</v>
      </c>
      <c r="Y61" s="7">
        <f t="shared" si="2"/>
        <v>4</v>
      </c>
      <c r="Z61" s="7">
        <f t="shared" si="3"/>
        <v>4</v>
      </c>
      <c r="AA61" s="7">
        <f t="shared" si="4"/>
        <v>4</v>
      </c>
      <c r="AB61" s="13"/>
      <c r="AG61" s="1"/>
      <c r="AI61" s="12"/>
      <c r="AJ61" s="3"/>
      <c r="AK61" s="1">
        <v>59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3"/>
      <c r="AR61" s="1">
        <v>59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3"/>
      <c r="AY61" s="1">
        <v>59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3"/>
      <c r="BF61" s="1">
        <v>59</v>
      </c>
      <c r="BG61" s="7">
        <v>0</v>
      </c>
      <c r="BH61" s="7">
        <v>0</v>
      </c>
      <c r="BI61" s="7">
        <v>0</v>
      </c>
      <c r="BJ61" s="7">
        <v>0</v>
      </c>
      <c r="BK61" s="23">
        <v>1</v>
      </c>
      <c r="BM61" s="12"/>
      <c r="BN61" s="1">
        <v>59</v>
      </c>
      <c r="BO61" s="7">
        <f t="shared" si="5"/>
        <v>0</v>
      </c>
      <c r="BP61" s="7">
        <f t="shared" si="6"/>
        <v>0</v>
      </c>
      <c r="BQ61" s="7">
        <f t="shared" si="7"/>
        <v>0</v>
      </c>
      <c r="BR61" s="7">
        <f t="shared" si="8"/>
        <v>0</v>
      </c>
      <c r="BS61" s="7">
        <f t="shared" si="9"/>
        <v>1</v>
      </c>
      <c r="BT61" s="3"/>
      <c r="BU61" s="1">
        <v>59</v>
      </c>
      <c r="BV61" s="7">
        <f t="shared" si="10"/>
        <v>0</v>
      </c>
      <c r="BW61" s="7">
        <f t="shared" si="11"/>
        <v>0</v>
      </c>
      <c r="BX61" s="7">
        <f t="shared" si="12"/>
        <v>0</v>
      </c>
      <c r="BY61" s="7">
        <f t="shared" si="13"/>
        <v>0</v>
      </c>
      <c r="BZ61" s="7">
        <f t="shared" si="14"/>
        <v>4</v>
      </c>
      <c r="CA61" s="3"/>
      <c r="CB61" s="1">
        <v>59</v>
      </c>
      <c r="CC61" s="1">
        <f t="shared" si="15"/>
        <v>0</v>
      </c>
      <c r="CD61" s="1">
        <f t="shared" si="16"/>
        <v>0</v>
      </c>
      <c r="CE61" s="1">
        <f t="shared" si="17"/>
        <v>0</v>
      </c>
      <c r="CF61" s="1">
        <f t="shared" si="18"/>
        <v>0</v>
      </c>
      <c r="CG61" s="22">
        <f t="shared" si="19"/>
        <v>3.4822022531844965</v>
      </c>
    </row>
    <row r="62" spans="1:85" x14ac:dyDescent="0.3">
      <c r="A62" s="14">
        <v>60</v>
      </c>
      <c r="B62" s="15">
        <v>7</v>
      </c>
      <c r="C62" s="16"/>
      <c r="D62" s="1">
        <v>60</v>
      </c>
      <c r="E62" s="15">
        <v>7</v>
      </c>
      <c r="F62" s="16"/>
      <c r="G62" s="1">
        <v>60</v>
      </c>
      <c r="H62" s="15">
        <v>3</v>
      </c>
      <c r="I62" s="16"/>
      <c r="J62" s="1">
        <v>60</v>
      </c>
      <c r="K62" s="15">
        <v>12</v>
      </c>
      <c r="L62" s="15"/>
      <c r="M62" s="1">
        <v>60</v>
      </c>
      <c r="N62" s="17">
        <v>0.5</v>
      </c>
      <c r="O62" s="17"/>
      <c r="P62" s="1">
        <v>60</v>
      </c>
      <c r="Q62" s="15">
        <v>2</v>
      </c>
      <c r="R62" s="15"/>
      <c r="S62" s="1">
        <v>60</v>
      </c>
      <c r="T62" s="15">
        <v>21</v>
      </c>
      <c r="U62" s="3"/>
      <c r="V62" s="1">
        <v>60</v>
      </c>
      <c r="W62" s="7">
        <f t="shared" si="0"/>
        <v>11</v>
      </c>
      <c r="X62" s="7">
        <f t="shared" si="1"/>
        <v>10</v>
      </c>
      <c r="Y62" s="7">
        <f t="shared" si="2"/>
        <v>8</v>
      </c>
      <c r="Z62" s="7">
        <f t="shared" si="3"/>
        <v>9</v>
      </c>
      <c r="AA62" s="7">
        <f t="shared" si="4"/>
        <v>9</v>
      </c>
      <c r="AB62" s="13"/>
      <c r="AG62" s="1"/>
      <c r="AI62" s="12"/>
      <c r="AJ62" s="3"/>
      <c r="AK62" s="1">
        <v>60</v>
      </c>
      <c r="AL62" s="7">
        <v>0</v>
      </c>
      <c r="AM62" s="7">
        <v>0</v>
      </c>
      <c r="AN62" s="7">
        <v>0</v>
      </c>
      <c r="AO62" s="7">
        <v>0</v>
      </c>
      <c r="AP62" s="7">
        <v>1</v>
      </c>
      <c r="AQ62" s="3"/>
      <c r="AR62" s="1">
        <v>60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3"/>
      <c r="AY62" s="1">
        <v>60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3"/>
      <c r="BF62" s="1">
        <v>60</v>
      </c>
      <c r="BG62" s="7">
        <v>0</v>
      </c>
      <c r="BH62" s="7">
        <v>0</v>
      </c>
      <c r="BI62" s="7">
        <v>0</v>
      </c>
      <c r="BJ62" s="7">
        <v>0</v>
      </c>
      <c r="BK62" s="23">
        <v>0</v>
      </c>
      <c r="BM62" s="12"/>
      <c r="BN62" s="1">
        <v>60</v>
      </c>
      <c r="BO62" s="7">
        <f t="shared" si="5"/>
        <v>0</v>
      </c>
      <c r="BP62" s="7">
        <f t="shared" si="6"/>
        <v>0</v>
      </c>
      <c r="BQ62" s="7">
        <f t="shared" si="7"/>
        <v>0</v>
      </c>
      <c r="BR62" s="7">
        <f t="shared" si="8"/>
        <v>0</v>
      </c>
      <c r="BS62" s="7">
        <f t="shared" si="9"/>
        <v>1</v>
      </c>
      <c r="BT62" s="3"/>
      <c r="BU62" s="1">
        <v>60</v>
      </c>
      <c r="BV62" s="7">
        <f t="shared" si="10"/>
        <v>0</v>
      </c>
      <c r="BW62" s="7">
        <f t="shared" si="11"/>
        <v>0</v>
      </c>
      <c r="BX62" s="7">
        <f t="shared" si="12"/>
        <v>0</v>
      </c>
      <c r="BY62" s="7">
        <f t="shared" si="13"/>
        <v>0</v>
      </c>
      <c r="BZ62" s="7">
        <f t="shared" si="14"/>
        <v>1</v>
      </c>
      <c r="CA62" s="3"/>
      <c r="CB62" s="1">
        <v>60</v>
      </c>
      <c r="CC62" s="1">
        <f t="shared" si="15"/>
        <v>0</v>
      </c>
      <c r="CD62" s="1">
        <f t="shared" si="16"/>
        <v>0</v>
      </c>
      <c r="CE62" s="1">
        <f t="shared" si="17"/>
        <v>0</v>
      </c>
      <c r="CF62" s="1">
        <f t="shared" si="18"/>
        <v>0</v>
      </c>
      <c r="CG62" s="22">
        <f t="shared" si="19"/>
        <v>1</v>
      </c>
    </row>
    <row r="63" spans="1:85" x14ac:dyDescent="0.3">
      <c r="A63" s="14">
        <v>61</v>
      </c>
      <c r="B63" s="15">
        <v>13</v>
      </c>
      <c r="C63" s="16"/>
      <c r="D63" s="1">
        <v>61</v>
      </c>
      <c r="E63" s="15">
        <v>10</v>
      </c>
      <c r="F63" s="16"/>
      <c r="G63" s="1">
        <v>61</v>
      </c>
      <c r="H63" s="15">
        <v>4</v>
      </c>
      <c r="I63" s="16"/>
      <c r="J63" s="1">
        <v>61</v>
      </c>
      <c r="K63" s="15">
        <v>10</v>
      </c>
      <c r="L63" s="15"/>
      <c r="M63" s="1">
        <v>61</v>
      </c>
      <c r="N63" s="17">
        <v>0.6</v>
      </c>
      <c r="O63" s="17"/>
      <c r="P63" s="1">
        <v>61</v>
      </c>
      <c r="Q63" s="15">
        <v>5</v>
      </c>
      <c r="R63" s="15"/>
      <c r="S63" s="1">
        <v>61</v>
      </c>
      <c r="T63" s="15">
        <v>17</v>
      </c>
      <c r="U63" s="3"/>
      <c r="V63" s="1">
        <v>61</v>
      </c>
      <c r="W63" s="7">
        <f t="shared" si="0"/>
        <v>8</v>
      </c>
      <c r="X63" s="7">
        <f t="shared" si="1"/>
        <v>7</v>
      </c>
      <c r="Y63" s="7">
        <f t="shared" si="2"/>
        <v>6</v>
      </c>
      <c r="Z63" s="7">
        <f t="shared" si="3"/>
        <v>6</v>
      </c>
      <c r="AA63" s="7">
        <f t="shared" si="4"/>
        <v>7</v>
      </c>
      <c r="AB63" s="13"/>
      <c r="AG63" s="1"/>
      <c r="AI63" s="12"/>
      <c r="AJ63" s="3"/>
      <c r="AK63" s="1">
        <v>61</v>
      </c>
      <c r="AL63" s="7">
        <v>0</v>
      </c>
      <c r="AM63" s="7">
        <v>1</v>
      </c>
      <c r="AN63" s="7">
        <v>0</v>
      </c>
      <c r="AO63" s="7">
        <v>0</v>
      </c>
      <c r="AP63" s="7">
        <v>0</v>
      </c>
      <c r="AQ63" s="3"/>
      <c r="AR63" s="1">
        <v>61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3"/>
      <c r="AY63" s="1">
        <v>61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3"/>
      <c r="BF63" s="1">
        <v>61</v>
      </c>
      <c r="BG63" s="7">
        <v>0</v>
      </c>
      <c r="BH63" s="7">
        <v>0</v>
      </c>
      <c r="BI63" s="7">
        <v>0</v>
      </c>
      <c r="BJ63" s="7">
        <v>0</v>
      </c>
      <c r="BK63" s="23">
        <v>0</v>
      </c>
      <c r="BM63" s="12"/>
      <c r="BN63" s="1">
        <v>61</v>
      </c>
      <c r="BO63" s="7">
        <f t="shared" si="5"/>
        <v>0</v>
      </c>
      <c r="BP63" s="7">
        <f t="shared" si="6"/>
        <v>1</v>
      </c>
      <c r="BQ63" s="7">
        <f t="shared" si="7"/>
        <v>0</v>
      </c>
      <c r="BR63" s="7">
        <f t="shared" si="8"/>
        <v>0</v>
      </c>
      <c r="BS63" s="7">
        <f t="shared" si="9"/>
        <v>0</v>
      </c>
      <c r="BT63" s="3"/>
      <c r="BU63" s="1">
        <v>61</v>
      </c>
      <c r="BV63" s="7">
        <f t="shared" si="10"/>
        <v>0</v>
      </c>
      <c r="BW63" s="7">
        <f t="shared" si="11"/>
        <v>1</v>
      </c>
      <c r="BX63" s="7">
        <f t="shared" si="12"/>
        <v>0</v>
      </c>
      <c r="BY63" s="7">
        <f t="shared" si="13"/>
        <v>0</v>
      </c>
      <c r="BZ63" s="7">
        <f t="shared" si="14"/>
        <v>0</v>
      </c>
      <c r="CA63" s="3"/>
      <c r="CB63" s="1">
        <v>61</v>
      </c>
      <c r="CC63" s="1">
        <f t="shared" si="15"/>
        <v>0</v>
      </c>
      <c r="CD63" s="1">
        <f t="shared" si="16"/>
        <v>1</v>
      </c>
      <c r="CE63" s="1">
        <f t="shared" si="17"/>
        <v>0</v>
      </c>
      <c r="CF63" s="1">
        <f t="shared" si="18"/>
        <v>0</v>
      </c>
      <c r="CG63" s="22">
        <f t="shared" si="19"/>
        <v>0</v>
      </c>
    </row>
    <row r="64" spans="1:85" x14ac:dyDescent="0.3">
      <c r="A64" s="14">
        <v>62</v>
      </c>
      <c r="B64" s="15">
        <v>14</v>
      </c>
      <c r="C64" s="16"/>
      <c r="D64" s="1">
        <v>62</v>
      </c>
      <c r="E64" s="15">
        <v>8</v>
      </c>
      <c r="F64" s="16"/>
      <c r="G64" s="1">
        <v>62</v>
      </c>
      <c r="H64" s="15">
        <v>7</v>
      </c>
      <c r="I64" s="16"/>
      <c r="J64" s="1">
        <v>62</v>
      </c>
      <c r="K64" s="15">
        <v>15</v>
      </c>
      <c r="L64" s="15"/>
      <c r="M64" s="1">
        <v>62</v>
      </c>
      <c r="N64" s="17">
        <v>0.9</v>
      </c>
      <c r="O64" s="17"/>
      <c r="P64" s="1">
        <v>62</v>
      </c>
      <c r="Q64" s="15">
        <v>2</v>
      </c>
      <c r="R64" s="15"/>
      <c r="S64" s="1">
        <v>62</v>
      </c>
      <c r="T64" s="15">
        <v>25</v>
      </c>
      <c r="U64" s="3"/>
      <c r="V64" s="1">
        <v>62</v>
      </c>
      <c r="W64" s="7">
        <f t="shared" si="0"/>
        <v>4</v>
      </c>
      <c r="X64" s="7">
        <f t="shared" si="1"/>
        <v>4</v>
      </c>
      <c r="Y64" s="7">
        <f t="shared" si="2"/>
        <v>3</v>
      </c>
      <c r="Z64" s="7">
        <f t="shared" si="3"/>
        <v>3</v>
      </c>
      <c r="AA64" s="7">
        <f t="shared" si="4"/>
        <v>4</v>
      </c>
      <c r="AB64" s="13"/>
      <c r="AG64" s="1"/>
      <c r="AI64" s="12"/>
      <c r="AJ64" s="3"/>
      <c r="AK64" s="1">
        <v>62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3"/>
      <c r="AR64" s="1">
        <v>62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3"/>
      <c r="AY64" s="1">
        <v>62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3"/>
      <c r="BF64" s="1">
        <v>62</v>
      </c>
      <c r="BG64" s="7">
        <v>0</v>
      </c>
      <c r="BH64" s="7">
        <v>0</v>
      </c>
      <c r="BI64" s="7">
        <v>1</v>
      </c>
      <c r="BJ64" s="7">
        <v>0</v>
      </c>
      <c r="BK64" s="23">
        <v>0</v>
      </c>
      <c r="BM64" s="12"/>
      <c r="BN64" s="1">
        <v>62</v>
      </c>
      <c r="BO64" s="7">
        <f t="shared" si="5"/>
        <v>0</v>
      </c>
      <c r="BP64" s="7">
        <f t="shared" si="6"/>
        <v>0</v>
      </c>
      <c r="BQ64" s="7">
        <f t="shared" si="7"/>
        <v>1</v>
      </c>
      <c r="BR64" s="7">
        <f t="shared" si="8"/>
        <v>0</v>
      </c>
      <c r="BS64" s="7">
        <f t="shared" si="9"/>
        <v>0</v>
      </c>
      <c r="BT64" s="3"/>
      <c r="BU64" s="1">
        <v>62</v>
      </c>
      <c r="BV64" s="7">
        <f t="shared" si="10"/>
        <v>0</v>
      </c>
      <c r="BW64" s="7">
        <f t="shared" si="11"/>
        <v>0</v>
      </c>
      <c r="BX64" s="7">
        <f t="shared" si="12"/>
        <v>4</v>
      </c>
      <c r="BY64" s="7">
        <f t="shared" si="13"/>
        <v>0</v>
      </c>
      <c r="BZ64" s="7">
        <f t="shared" si="14"/>
        <v>0</v>
      </c>
      <c r="CA64" s="3"/>
      <c r="CB64" s="1">
        <v>62</v>
      </c>
      <c r="CC64" s="1">
        <f t="shared" si="15"/>
        <v>0</v>
      </c>
      <c r="CD64" s="1">
        <f t="shared" si="16"/>
        <v>0</v>
      </c>
      <c r="CE64" s="1">
        <f t="shared" si="17"/>
        <v>3.4822022531844965</v>
      </c>
      <c r="CF64" s="1">
        <f t="shared" si="18"/>
        <v>0</v>
      </c>
      <c r="CG64" s="22">
        <f t="shared" si="19"/>
        <v>0</v>
      </c>
    </row>
    <row r="65" spans="1:85" x14ac:dyDescent="0.3">
      <c r="A65" s="14">
        <v>63</v>
      </c>
      <c r="B65" s="15">
        <v>14</v>
      </c>
      <c r="C65" s="16"/>
      <c r="D65" s="1">
        <v>63</v>
      </c>
      <c r="E65" s="15">
        <v>6</v>
      </c>
      <c r="F65" s="16"/>
      <c r="G65" s="1">
        <v>63</v>
      </c>
      <c r="H65" s="15">
        <v>6</v>
      </c>
      <c r="I65" s="16"/>
      <c r="J65" s="1">
        <v>63</v>
      </c>
      <c r="K65" s="15">
        <v>12</v>
      </c>
      <c r="L65" s="15"/>
      <c r="M65" s="1">
        <v>63</v>
      </c>
      <c r="N65" s="17">
        <v>0.2</v>
      </c>
      <c r="O65" s="17"/>
      <c r="P65" s="1">
        <v>63</v>
      </c>
      <c r="Q65" s="15">
        <v>2</v>
      </c>
      <c r="R65" s="15"/>
      <c r="S65" s="1">
        <v>63</v>
      </c>
      <c r="T65" s="15">
        <v>20</v>
      </c>
      <c r="U65" s="3"/>
      <c r="V65" s="1">
        <v>63</v>
      </c>
      <c r="W65" s="7">
        <f t="shared" si="0"/>
        <v>5</v>
      </c>
      <c r="X65" s="7">
        <f t="shared" si="1"/>
        <v>5</v>
      </c>
      <c r="Y65" s="7">
        <f t="shared" si="2"/>
        <v>4</v>
      </c>
      <c r="Z65" s="7">
        <f t="shared" si="3"/>
        <v>4</v>
      </c>
      <c r="AA65" s="7">
        <f t="shared" si="4"/>
        <v>4</v>
      </c>
      <c r="AB65" s="13"/>
      <c r="AG65" s="1"/>
      <c r="AI65" s="12"/>
      <c r="AJ65" s="3"/>
      <c r="AK65" s="1">
        <v>63</v>
      </c>
      <c r="AL65" s="7">
        <v>0</v>
      </c>
      <c r="AM65" s="7">
        <v>1</v>
      </c>
      <c r="AN65" s="7">
        <v>0</v>
      </c>
      <c r="AO65" s="7">
        <v>0</v>
      </c>
      <c r="AP65" s="7">
        <v>0</v>
      </c>
      <c r="AQ65" s="3"/>
      <c r="AR65" s="1">
        <v>63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3"/>
      <c r="AY65" s="1">
        <v>63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3"/>
      <c r="BF65" s="1">
        <v>63</v>
      </c>
      <c r="BG65" s="7">
        <v>0</v>
      </c>
      <c r="BH65" s="7">
        <v>0</v>
      </c>
      <c r="BI65" s="7">
        <v>0</v>
      </c>
      <c r="BJ65" s="7">
        <v>0</v>
      </c>
      <c r="BK65" s="23">
        <v>0</v>
      </c>
      <c r="BM65" s="12"/>
      <c r="BN65" s="1">
        <v>63</v>
      </c>
      <c r="BO65" s="7">
        <f t="shared" si="5"/>
        <v>0</v>
      </c>
      <c r="BP65" s="7">
        <f t="shared" si="6"/>
        <v>1</v>
      </c>
      <c r="BQ65" s="7">
        <f t="shared" si="7"/>
        <v>0</v>
      </c>
      <c r="BR65" s="7">
        <f t="shared" si="8"/>
        <v>0</v>
      </c>
      <c r="BS65" s="7">
        <f t="shared" si="9"/>
        <v>0</v>
      </c>
      <c r="BT65" s="3"/>
      <c r="BU65" s="1">
        <v>63</v>
      </c>
      <c r="BV65" s="7">
        <f t="shared" si="10"/>
        <v>0</v>
      </c>
      <c r="BW65" s="7">
        <f t="shared" si="11"/>
        <v>1</v>
      </c>
      <c r="BX65" s="7">
        <f t="shared" si="12"/>
        <v>0</v>
      </c>
      <c r="BY65" s="7">
        <f t="shared" si="13"/>
        <v>0</v>
      </c>
      <c r="BZ65" s="7">
        <f t="shared" si="14"/>
        <v>0</v>
      </c>
      <c r="CA65" s="3"/>
      <c r="CB65" s="1">
        <v>63</v>
      </c>
      <c r="CC65" s="1">
        <f t="shared" si="15"/>
        <v>0</v>
      </c>
      <c r="CD65" s="1">
        <f t="shared" si="16"/>
        <v>1</v>
      </c>
      <c r="CE65" s="1">
        <f t="shared" si="17"/>
        <v>0</v>
      </c>
      <c r="CF65" s="1">
        <f t="shared" si="18"/>
        <v>0</v>
      </c>
      <c r="CG65" s="22">
        <f t="shared" si="19"/>
        <v>0</v>
      </c>
    </row>
    <row r="66" spans="1:85" x14ac:dyDescent="0.3">
      <c r="A66" s="14">
        <v>64</v>
      </c>
      <c r="B66" s="15">
        <v>11</v>
      </c>
      <c r="C66" s="16"/>
      <c r="D66" s="1">
        <v>64</v>
      </c>
      <c r="E66" s="15">
        <v>7</v>
      </c>
      <c r="F66" s="16"/>
      <c r="G66" s="1">
        <v>64</v>
      </c>
      <c r="H66" s="15">
        <v>8</v>
      </c>
      <c r="I66" s="16"/>
      <c r="J66" s="1">
        <v>64</v>
      </c>
      <c r="K66" s="15">
        <v>6</v>
      </c>
      <c r="L66" s="15"/>
      <c r="M66" s="1">
        <v>64</v>
      </c>
      <c r="N66" s="17">
        <v>0.4</v>
      </c>
      <c r="O66" s="17"/>
      <c r="P66" s="1">
        <v>64</v>
      </c>
      <c r="Q66" s="15">
        <v>4</v>
      </c>
      <c r="R66" s="15"/>
      <c r="S66" s="1">
        <v>64</v>
      </c>
      <c r="T66" s="15">
        <v>17</v>
      </c>
      <c r="U66" s="3"/>
      <c r="V66" s="1">
        <v>64</v>
      </c>
      <c r="W66" s="7">
        <f t="shared" si="0"/>
        <v>4</v>
      </c>
      <c r="X66" s="7">
        <f t="shared" si="1"/>
        <v>3</v>
      </c>
      <c r="Y66" s="7">
        <f t="shared" si="2"/>
        <v>3</v>
      </c>
      <c r="Z66" s="7">
        <f t="shared" si="3"/>
        <v>3</v>
      </c>
      <c r="AA66" s="7">
        <f t="shared" si="4"/>
        <v>3</v>
      </c>
      <c r="AB66" s="13"/>
      <c r="AG66" s="1"/>
      <c r="AI66" s="12"/>
      <c r="AJ66" s="3"/>
      <c r="AK66" s="1">
        <v>64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3"/>
      <c r="AR66" s="1">
        <v>64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3"/>
      <c r="AY66" s="1">
        <v>64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3"/>
      <c r="BF66" s="1">
        <v>64</v>
      </c>
      <c r="BG66" s="7">
        <v>0</v>
      </c>
      <c r="BH66" s="7">
        <v>0</v>
      </c>
      <c r="BI66" s="7">
        <v>0</v>
      </c>
      <c r="BJ66" s="7">
        <v>0</v>
      </c>
      <c r="BK66" s="23">
        <v>0</v>
      </c>
      <c r="BM66" s="12"/>
      <c r="BN66" s="1">
        <v>64</v>
      </c>
      <c r="BO66" s="7">
        <f t="shared" si="5"/>
        <v>0</v>
      </c>
      <c r="BP66" s="7">
        <f t="shared" si="6"/>
        <v>0</v>
      </c>
      <c r="BQ66" s="7">
        <f t="shared" si="7"/>
        <v>0</v>
      </c>
      <c r="BR66" s="7">
        <f t="shared" si="8"/>
        <v>0</v>
      </c>
      <c r="BS66" s="7">
        <f t="shared" si="9"/>
        <v>0</v>
      </c>
      <c r="BT66" s="3"/>
      <c r="BU66" s="1">
        <v>64</v>
      </c>
      <c r="BV66" s="7">
        <f t="shared" si="10"/>
        <v>0</v>
      </c>
      <c r="BW66" s="7">
        <f t="shared" si="11"/>
        <v>0</v>
      </c>
      <c r="BX66" s="7">
        <f t="shared" si="12"/>
        <v>0</v>
      </c>
      <c r="BY66" s="7">
        <f t="shared" si="13"/>
        <v>0</v>
      </c>
      <c r="BZ66" s="7">
        <f t="shared" si="14"/>
        <v>0</v>
      </c>
      <c r="CA66" s="3"/>
      <c r="CB66" s="1">
        <v>64</v>
      </c>
      <c r="CC66" s="1">
        <f t="shared" si="15"/>
        <v>0</v>
      </c>
      <c r="CD66" s="1">
        <f t="shared" si="16"/>
        <v>0</v>
      </c>
      <c r="CE66" s="1">
        <f t="shared" si="17"/>
        <v>0</v>
      </c>
      <c r="CF66" s="1">
        <f t="shared" si="18"/>
        <v>0</v>
      </c>
      <c r="CG66" s="22">
        <f t="shared" si="19"/>
        <v>0</v>
      </c>
    </row>
    <row r="67" spans="1:85" x14ac:dyDescent="0.3">
      <c r="A67" s="14">
        <v>65</v>
      </c>
      <c r="B67" s="15">
        <v>11</v>
      </c>
      <c r="C67" s="16"/>
      <c r="D67" s="1">
        <v>65</v>
      </c>
      <c r="E67" s="15">
        <v>7</v>
      </c>
      <c r="F67" s="16"/>
      <c r="G67" s="1">
        <v>65</v>
      </c>
      <c r="H67" s="15">
        <v>2</v>
      </c>
      <c r="I67" s="16"/>
      <c r="J67" s="1">
        <v>65</v>
      </c>
      <c r="K67" s="15">
        <v>5</v>
      </c>
      <c r="L67" s="15"/>
      <c r="M67" s="1">
        <v>65</v>
      </c>
      <c r="N67" s="17">
        <v>0.3</v>
      </c>
      <c r="O67" s="17"/>
      <c r="P67" s="1">
        <v>65</v>
      </c>
      <c r="Q67" s="15">
        <v>2</v>
      </c>
      <c r="R67" s="15"/>
      <c r="S67" s="1">
        <v>65</v>
      </c>
      <c r="T67" s="15">
        <v>22</v>
      </c>
      <c r="U67" s="3"/>
      <c r="V67" s="1">
        <v>65</v>
      </c>
      <c r="W67" s="7">
        <f t="shared" si="0"/>
        <v>17</v>
      </c>
      <c r="X67" s="7">
        <f t="shared" si="1"/>
        <v>15</v>
      </c>
      <c r="Y67" s="7">
        <f t="shared" si="2"/>
        <v>13</v>
      </c>
      <c r="Z67" s="7">
        <f t="shared" si="3"/>
        <v>13</v>
      </c>
      <c r="AA67" s="7">
        <f t="shared" si="4"/>
        <v>14</v>
      </c>
      <c r="AB67" s="13"/>
      <c r="AG67" s="1"/>
      <c r="AI67" s="12"/>
      <c r="AJ67" s="3"/>
      <c r="AK67" s="1">
        <v>65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3"/>
      <c r="AR67" s="1">
        <v>65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3"/>
      <c r="AY67" s="1">
        <v>65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3"/>
      <c r="BF67" s="1">
        <v>65</v>
      </c>
      <c r="BG67" s="7">
        <v>0</v>
      </c>
      <c r="BH67" s="7">
        <v>0</v>
      </c>
      <c r="BI67" s="7">
        <v>0</v>
      </c>
      <c r="BJ67" s="7">
        <v>0</v>
      </c>
      <c r="BK67" s="23">
        <v>0</v>
      </c>
      <c r="BM67" s="12"/>
      <c r="BN67" s="1">
        <v>65</v>
      </c>
      <c r="BO67" s="7">
        <f t="shared" si="5"/>
        <v>0</v>
      </c>
      <c r="BP67" s="7">
        <f t="shared" si="6"/>
        <v>0</v>
      </c>
      <c r="BQ67" s="7">
        <f t="shared" si="7"/>
        <v>0</v>
      </c>
      <c r="BR67" s="7">
        <f t="shared" si="8"/>
        <v>0</v>
      </c>
      <c r="BS67" s="7">
        <f t="shared" si="9"/>
        <v>0</v>
      </c>
      <c r="BT67" s="3"/>
      <c r="BU67" s="1">
        <v>65</v>
      </c>
      <c r="BV67" s="7">
        <f t="shared" si="10"/>
        <v>0</v>
      </c>
      <c r="BW67" s="7">
        <f t="shared" si="11"/>
        <v>0</v>
      </c>
      <c r="BX67" s="7">
        <f t="shared" si="12"/>
        <v>0</v>
      </c>
      <c r="BY67" s="7">
        <f t="shared" si="13"/>
        <v>0</v>
      </c>
      <c r="BZ67" s="7">
        <f t="shared" si="14"/>
        <v>0</v>
      </c>
      <c r="CA67" s="3"/>
      <c r="CB67" s="1">
        <v>65</v>
      </c>
      <c r="CC67" s="1">
        <f t="shared" si="15"/>
        <v>0</v>
      </c>
      <c r="CD67" s="1">
        <f t="shared" si="16"/>
        <v>0</v>
      </c>
      <c r="CE67" s="1">
        <f t="shared" si="17"/>
        <v>0</v>
      </c>
      <c r="CF67" s="1">
        <f t="shared" si="18"/>
        <v>0</v>
      </c>
      <c r="CG67" s="22">
        <f t="shared" si="19"/>
        <v>0</v>
      </c>
    </row>
    <row r="68" spans="1:85" x14ac:dyDescent="0.3">
      <c r="A68" s="14">
        <v>66</v>
      </c>
      <c r="B68" s="15">
        <v>12</v>
      </c>
      <c r="C68" s="16"/>
      <c r="D68" s="1">
        <v>66</v>
      </c>
      <c r="E68" s="15">
        <v>5</v>
      </c>
      <c r="F68" s="16"/>
      <c r="G68" s="1">
        <v>66</v>
      </c>
      <c r="H68" s="15">
        <v>6</v>
      </c>
      <c r="I68" s="16"/>
      <c r="J68" s="1">
        <v>66</v>
      </c>
      <c r="K68" s="15">
        <v>4</v>
      </c>
      <c r="L68" s="15"/>
      <c r="M68" s="1">
        <v>66</v>
      </c>
      <c r="N68" s="17">
        <v>0.3</v>
      </c>
      <c r="O68" s="17"/>
      <c r="P68" s="1">
        <v>66</v>
      </c>
      <c r="Q68" s="15">
        <v>3</v>
      </c>
      <c r="R68" s="15"/>
      <c r="S68" s="1">
        <v>66</v>
      </c>
      <c r="T68" s="15">
        <v>23</v>
      </c>
      <c r="U68" s="3"/>
      <c r="V68" s="1">
        <v>66</v>
      </c>
      <c r="W68" s="7">
        <f t="shared" ref="W68:W102" si="20">$E$134/$H68-MOD($E$134/$H68,1)</f>
        <v>5</v>
      </c>
      <c r="X68" s="7">
        <f t="shared" ref="X68:X102" si="21">$E$135/$H68-MOD($E$135/$H68,1)</f>
        <v>5</v>
      </c>
      <c r="Y68" s="7">
        <f t="shared" ref="Y68:Y102" si="22">$E$136/$H68-MOD($E$136/$H68,1)</f>
        <v>4</v>
      </c>
      <c r="Z68" s="7">
        <f t="shared" ref="Z68:Z102" si="23">$E$137/$H68-MOD($E$137/$H68,1)</f>
        <v>4</v>
      </c>
      <c r="AA68" s="7">
        <f t="shared" ref="AA68:AA102" si="24">$E$138/$H68-MOD($E$138/$H68,1)</f>
        <v>4</v>
      </c>
      <c r="AB68" s="13"/>
      <c r="AG68" s="1"/>
      <c r="AI68" s="12"/>
      <c r="AJ68" s="3"/>
      <c r="AK68" s="1">
        <v>66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3"/>
      <c r="AR68" s="1">
        <v>66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3"/>
      <c r="AY68" s="1">
        <v>66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3"/>
      <c r="BF68" s="1">
        <v>66</v>
      </c>
      <c r="BG68" s="7">
        <v>0</v>
      </c>
      <c r="BH68" s="7">
        <v>0</v>
      </c>
      <c r="BI68" s="7">
        <v>0</v>
      </c>
      <c r="BJ68" s="7">
        <v>0</v>
      </c>
      <c r="BK68" s="23">
        <v>0</v>
      </c>
      <c r="BM68" s="12"/>
      <c r="BN68" s="1">
        <v>66</v>
      </c>
      <c r="BO68" s="7">
        <f t="shared" ref="BO68:BO102" si="25">AL68+AS68+AZ68+BG68</f>
        <v>0</v>
      </c>
      <c r="BP68" s="7">
        <f t="shared" ref="BP68:BP102" si="26">AM68+AT68+BA68+BH68</f>
        <v>0</v>
      </c>
      <c r="BQ68" s="7">
        <f t="shared" ref="BQ68:BQ102" si="27">AN68+AU68+BB68+BI68</f>
        <v>0</v>
      </c>
      <c r="BR68" s="7">
        <f t="shared" ref="BR68:BR102" si="28">AO68+AV68+BC68+BJ68</f>
        <v>0</v>
      </c>
      <c r="BS68" s="7">
        <f t="shared" ref="BS68:BS102" si="29">AP68+AW68+BD68+BK68</f>
        <v>0</v>
      </c>
      <c r="BT68" s="3"/>
      <c r="BU68" s="1">
        <v>66</v>
      </c>
      <c r="BV68" s="7">
        <f t="shared" ref="BV68:BV102" si="30">AL68+AS68*2+AZ68*3+BG68*4</f>
        <v>0</v>
      </c>
      <c r="BW68" s="7">
        <f t="shared" ref="BW68:BW102" si="31">AM68+AT68*2+BA68*3+BH68*4</f>
        <v>0</v>
      </c>
      <c r="BX68" s="7">
        <f t="shared" ref="BX68:BX102" si="32">AN68+AU68*2+BB68*3+BI68*4</f>
        <v>0</v>
      </c>
      <c r="BY68" s="7">
        <f t="shared" ref="BY68:BY102" si="33">AO68+AV68*2+BC68*3+BJ68*4</f>
        <v>0</v>
      </c>
      <c r="BZ68" s="7">
        <f t="shared" ref="BZ68:BZ102" si="34">AP68+AW68*2+BD68*3+BK68*4</f>
        <v>0</v>
      </c>
      <c r="CA68" s="3"/>
      <c r="CB68" s="1">
        <v>66</v>
      </c>
      <c r="CC68" s="1">
        <f t="shared" ref="CC68:CC102" si="35">AL68+AS68*POWER(2,$N68)+AZ68*POWER(3,$N68)+BG68*POWER(4,$N68)</f>
        <v>0</v>
      </c>
      <c r="CD68" s="1">
        <f t="shared" ref="CD68:CD102" si="36">AM68+AT68*POWER(2,$N68)+BA68*POWER(3,$N68)+BH68*POWER(4,$N68)</f>
        <v>0</v>
      </c>
      <c r="CE68" s="1">
        <f t="shared" ref="CE68:CE102" si="37">AN68+AU68*POWER(2,$N68)+BB68*POWER(3,$N68)+BI68*POWER(4,$N68)</f>
        <v>0</v>
      </c>
      <c r="CF68" s="1">
        <f t="shared" ref="CF68:CF102" si="38">AO68+AV68*POWER(2,$N68)+BC68*POWER(3,$N68)+BJ68*POWER(4,$N68)</f>
        <v>0</v>
      </c>
      <c r="CG68" s="22">
        <f t="shared" ref="CG68:CG102" si="39">AP68+AW68*POWER(2,$N68)+BD68*POWER(3,$N68)+BK68*POWER(4,$N68)</f>
        <v>0</v>
      </c>
    </row>
    <row r="69" spans="1:85" x14ac:dyDescent="0.3">
      <c r="A69" s="14">
        <v>67</v>
      </c>
      <c r="B69" s="15">
        <v>12</v>
      </c>
      <c r="C69" s="16"/>
      <c r="D69" s="1">
        <v>67</v>
      </c>
      <c r="E69" s="15">
        <v>6</v>
      </c>
      <c r="F69" s="16"/>
      <c r="G69" s="1">
        <v>67</v>
      </c>
      <c r="H69" s="15">
        <v>8</v>
      </c>
      <c r="I69" s="16"/>
      <c r="J69" s="1">
        <v>67</v>
      </c>
      <c r="K69" s="15">
        <v>2</v>
      </c>
      <c r="L69" s="15"/>
      <c r="M69" s="1">
        <v>67</v>
      </c>
      <c r="N69" s="17">
        <v>0.9</v>
      </c>
      <c r="O69" s="17"/>
      <c r="P69" s="1">
        <v>67</v>
      </c>
      <c r="Q69" s="15">
        <v>4</v>
      </c>
      <c r="R69" s="15"/>
      <c r="S69" s="1">
        <v>67</v>
      </c>
      <c r="T69" s="15">
        <v>25</v>
      </c>
      <c r="U69" s="3"/>
      <c r="V69" s="1">
        <v>67</v>
      </c>
      <c r="W69" s="7">
        <f t="shared" si="20"/>
        <v>4</v>
      </c>
      <c r="X69" s="7">
        <f t="shared" si="21"/>
        <v>3</v>
      </c>
      <c r="Y69" s="7">
        <f t="shared" si="22"/>
        <v>3</v>
      </c>
      <c r="Z69" s="7">
        <f t="shared" si="23"/>
        <v>3</v>
      </c>
      <c r="AA69" s="7">
        <f t="shared" si="24"/>
        <v>3</v>
      </c>
      <c r="AB69" s="13"/>
      <c r="AG69" s="1"/>
      <c r="AI69" s="12"/>
      <c r="AJ69" s="3"/>
      <c r="AK69" s="1">
        <v>67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3"/>
      <c r="AR69" s="1">
        <v>67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3"/>
      <c r="AY69" s="1">
        <v>67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3"/>
      <c r="BF69" s="1">
        <v>67</v>
      </c>
      <c r="BG69" s="7">
        <v>0</v>
      </c>
      <c r="BH69" s="7">
        <v>0</v>
      </c>
      <c r="BI69" s="7">
        <v>0</v>
      </c>
      <c r="BJ69" s="7">
        <v>0</v>
      </c>
      <c r="BK69" s="23">
        <v>0</v>
      </c>
      <c r="BM69" s="12"/>
      <c r="BN69" s="1">
        <v>67</v>
      </c>
      <c r="BO69" s="7">
        <f t="shared" si="25"/>
        <v>0</v>
      </c>
      <c r="BP69" s="7">
        <f t="shared" si="26"/>
        <v>0</v>
      </c>
      <c r="BQ69" s="7">
        <f t="shared" si="27"/>
        <v>0</v>
      </c>
      <c r="BR69" s="7">
        <f t="shared" si="28"/>
        <v>0</v>
      </c>
      <c r="BS69" s="7">
        <f t="shared" si="29"/>
        <v>0</v>
      </c>
      <c r="BT69" s="3"/>
      <c r="BU69" s="1">
        <v>67</v>
      </c>
      <c r="BV69" s="7">
        <f t="shared" si="30"/>
        <v>0</v>
      </c>
      <c r="BW69" s="7">
        <f t="shared" si="31"/>
        <v>0</v>
      </c>
      <c r="BX69" s="7">
        <f t="shared" si="32"/>
        <v>0</v>
      </c>
      <c r="BY69" s="7">
        <f t="shared" si="33"/>
        <v>0</v>
      </c>
      <c r="BZ69" s="7">
        <f t="shared" si="34"/>
        <v>0</v>
      </c>
      <c r="CA69" s="3"/>
      <c r="CB69" s="1">
        <v>67</v>
      </c>
      <c r="CC69" s="1">
        <f t="shared" si="35"/>
        <v>0</v>
      </c>
      <c r="CD69" s="1">
        <f t="shared" si="36"/>
        <v>0</v>
      </c>
      <c r="CE69" s="1">
        <f t="shared" si="37"/>
        <v>0</v>
      </c>
      <c r="CF69" s="1">
        <f t="shared" si="38"/>
        <v>0</v>
      </c>
      <c r="CG69" s="22">
        <f t="shared" si="39"/>
        <v>0</v>
      </c>
    </row>
    <row r="70" spans="1:85" x14ac:dyDescent="0.3">
      <c r="A70" s="14">
        <v>68</v>
      </c>
      <c r="B70" s="15">
        <v>7</v>
      </c>
      <c r="C70" s="16"/>
      <c r="D70" s="1">
        <v>68</v>
      </c>
      <c r="E70" s="15">
        <v>9</v>
      </c>
      <c r="F70" s="16"/>
      <c r="G70" s="1">
        <v>68</v>
      </c>
      <c r="H70" s="15">
        <v>5</v>
      </c>
      <c r="I70" s="16"/>
      <c r="J70" s="1">
        <v>68</v>
      </c>
      <c r="K70" s="15">
        <v>13</v>
      </c>
      <c r="L70" s="15"/>
      <c r="M70" s="1">
        <v>68</v>
      </c>
      <c r="N70" s="17">
        <v>0.2</v>
      </c>
      <c r="O70" s="17"/>
      <c r="P70" s="1">
        <v>68</v>
      </c>
      <c r="Q70" s="15">
        <v>2</v>
      </c>
      <c r="R70" s="15"/>
      <c r="S70" s="1">
        <v>68</v>
      </c>
      <c r="T70" s="15">
        <v>16</v>
      </c>
      <c r="U70" s="3"/>
      <c r="V70" s="1">
        <v>68</v>
      </c>
      <c r="W70" s="7">
        <f t="shared" si="20"/>
        <v>6</v>
      </c>
      <c r="X70" s="7">
        <f t="shared" si="21"/>
        <v>6</v>
      </c>
      <c r="Y70" s="7">
        <f t="shared" si="22"/>
        <v>5</v>
      </c>
      <c r="Z70" s="7">
        <f t="shared" si="23"/>
        <v>5</v>
      </c>
      <c r="AA70" s="7">
        <f t="shared" si="24"/>
        <v>5</v>
      </c>
      <c r="AB70" s="13"/>
      <c r="AG70" s="1"/>
      <c r="AI70" s="12"/>
      <c r="AJ70" s="3"/>
      <c r="AK70" s="1">
        <v>68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3"/>
      <c r="AR70" s="1">
        <v>68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3"/>
      <c r="AY70" s="1">
        <v>68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3"/>
      <c r="BF70" s="1">
        <v>68</v>
      </c>
      <c r="BG70" s="7">
        <v>0</v>
      </c>
      <c r="BH70" s="7">
        <v>0</v>
      </c>
      <c r="BI70" s="7">
        <v>0</v>
      </c>
      <c r="BJ70" s="7">
        <v>0</v>
      </c>
      <c r="BK70" s="23">
        <v>0</v>
      </c>
      <c r="BM70" s="12"/>
      <c r="BN70" s="1">
        <v>68</v>
      </c>
      <c r="BO70" s="7">
        <f t="shared" si="25"/>
        <v>0</v>
      </c>
      <c r="BP70" s="7">
        <f t="shared" si="26"/>
        <v>0</v>
      </c>
      <c r="BQ70" s="7">
        <f t="shared" si="27"/>
        <v>0</v>
      </c>
      <c r="BR70" s="7">
        <f t="shared" si="28"/>
        <v>0</v>
      </c>
      <c r="BS70" s="7">
        <f t="shared" si="29"/>
        <v>0</v>
      </c>
      <c r="BT70" s="3"/>
      <c r="BU70" s="1">
        <v>68</v>
      </c>
      <c r="BV70" s="7">
        <f t="shared" si="30"/>
        <v>0</v>
      </c>
      <c r="BW70" s="7">
        <f t="shared" si="31"/>
        <v>0</v>
      </c>
      <c r="BX70" s="7">
        <f t="shared" si="32"/>
        <v>0</v>
      </c>
      <c r="BY70" s="7">
        <f t="shared" si="33"/>
        <v>0</v>
      </c>
      <c r="BZ70" s="7">
        <f t="shared" si="34"/>
        <v>0</v>
      </c>
      <c r="CA70" s="3"/>
      <c r="CB70" s="1">
        <v>68</v>
      </c>
      <c r="CC70" s="1">
        <f t="shared" si="35"/>
        <v>0</v>
      </c>
      <c r="CD70" s="1">
        <f t="shared" si="36"/>
        <v>0</v>
      </c>
      <c r="CE70" s="1">
        <f t="shared" si="37"/>
        <v>0</v>
      </c>
      <c r="CF70" s="1">
        <f t="shared" si="38"/>
        <v>0</v>
      </c>
      <c r="CG70" s="22">
        <f t="shared" si="39"/>
        <v>0</v>
      </c>
    </row>
    <row r="71" spans="1:85" x14ac:dyDescent="0.3">
      <c r="A71" s="14">
        <v>69</v>
      </c>
      <c r="B71" s="15">
        <v>12</v>
      </c>
      <c r="C71" s="16"/>
      <c r="D71" s="1">
        <v>69</v>
      </c>
      <c r="E71" s="15">
        <v>7</v>
      </c>
      <c r="F71" s="16"/>
      <c r="G71" s="1">
        <v>69</v>
      </c>
      <c r="H71" s="15">
        <v>7</v>
      </c>
      <c r="I71" s="16"/>
      <c r="J71" s="1">
        <v>69</v>
      </c>
      <c r="K71" s="15">
        <v>5</v>
      </c>
      <c r="L71" s="15"/>
      <c r="M71" s="1">
        <v>69</v>
      </c>
      <c r="N71" s="17">
        <v>0.3</v>
      </c>
      <c r="O71" s="17"/>
      <c r="P71" s="1">
        <v>69</v>
      </c>
      <c r="Q71" s="15">
        <v>4</v>
      </c>
      <c r="R71" s="15"/>
      <c r="S71" s="1">
        <v>69</v>
      </c>
      <c r="T71" s="15">
        <v>24</v>
      </c>
      <c r="U71" s="3"/>
      <c r="V71" s="1">
        <v>69</v>
      </c>
      <c r="W71" s="7">
        <f t="shared" si="20"/>
        <v>4</v>
      </c>
      <c r="X71" s="7">
        <f t="shared" si="21"/>
        <v>4</v>
      </c>
      <c r="Y71" s="7">
        <f t="shared" si="22"/>
        <v>3</v>
      </c>
      <c r="Z71" s="7">
        <f t="shared" si="23"/>
        <v>3</v>
      </c>
      <c r="AA71" s="7">
        <f t="shared" si="24"/>
        <v>4</v>
      </c>
      <c r="AB71" s="13"/>
      <c r="AG71" s="1"/>
      <c r="AI71" s="12"/>
      <c r="AJ71" s="3"/>
      <c r="AK71" s="1">
        <v>69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3"/>
      <c r="AR71" s="1">
        <v>69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3"/>
      <c r="AY71" s="1">
        <v>69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3"/>
      <c r="BF71" s="1">
        <v>69</v>
      </c>
      <c r="BG71" s="7">
        <v>0</v>
      </c>
      <c r="BH71" s="7">
        <v>0</v>
      </c>
      <c r="BI71" s="7">
        <v>0</v>
      </c>
      <c r="BJ71" s="7">
        <v>0</v>
      </c>
      <c r="BK71" s="23">
        <v>0</v>
      </c>
      <c r="BM71" s="12"/>
      <c r="BN71" s="1">
        <v>69</v>
      </c>
      <c r="BO71" s="7">
        <f t="shared" si="25"/>
        <v>0</v>
      </c>
      <c r="BP71" s="7">
        <f t="shared" si="26"/>
        <v>0</v>
      </c>
      <c r="BQ71" s="7">
        <f t="shared" si="27"/>
        <v>0</v>
      </c>
      <c r="BR71" s="7">
        <f t="shared" si="28"/>
        <v>0</v>
      </c>
      <c r="BS71" s="7">
        <f t="shared" si="29"/>
        <v>0</v>
      </c>
      <c r="BT71" s="3"/>
      <c r="BU71" s="1">
        <v>69</v>
      </c>
      <c r="BV71" s="7">
        <f t="shared" si="30"/>
        <v>0</v>
      </c>
      <c r="BW71" s="7">
        <f t="shared" si="31"/>
        <v>0</v>
      </c>
      <c r="BX71" s="7">
        <f t="shared" si="32"/>
        <v>0</v>
      </c>
      <c r="BY71" s="7">
        <f t="shared" si="33"/>
        <v>0</v>
      </c>
      <c r="BZ71" s="7">
        <f t="shared" si="34"/>
        <v>0</v>
      </c>
      <c r="CA71" s="3"/>
      <c r="CB71" s="1">
        <v>69</v>
      </c>
      <c r="CC71" s="1">
        <f t="shared" si="35"/>
        <v>0</v>
      </c>
      <c r="CD71" s="1">
        <f t="shared" si="36"/>
        <v>0</v>
      </c>
      <c r="CE71" s="1">
        <f t="shared" si="37"/>
        <v>0</v>
      </c>
      <c r="CF71" s="1">
        <f t="shared" si="38"/>
        <v>0</v>
      </c>
      <c r="CG71" s="22">
        <f t="shared" si="39"/>
        <v>0</v>
      </c>
    </row>
    <row r="72" spans="1:85" x14ac:dyDescent="0.3">
      <c r="A72" s="14">
        <v>70</v>
      </c>
      <c r="B72" s="15">
        <v>6</v>
      </c>
      <c r="C72" s="16"/>
      <c r="D72" s="1">
        <v>70</v>
      </c>
      <c r="E72" s="15">
        <v>9</v>
      </c>
      <c r="F72" s="16"/>
      <c r="G72" s="1">
        <v>70</v>
      </c>
      <c r="H72" s="15">
        <v>5</v>
      </c>
      <c r="I72" s="16"/>
      <c r="J72" s="1">
        <v>70</v>
      </c>
      <c r="K72" s="15">
        <v>8</v>
      </c>
      <c r="L72" s="15"/>
      <c r="M72" s="1">
        <v>70</v>
      </c>
      <c r="N72" s="17">
        <v>0.1</v>
      </c>
      <c r="O72" s="17"/>
      <c r="P72" s="1">
        <v>70</v>
      </c>
      <c r="Q72" s="15">
        <v>2</v>
      </c>
      <c r="R72" s="15"/>
      <c r="S72" s="1">
        <v>70</v>
      </c>
      <c r="T72" s="15">
        <v>18</v>
      </c>
      <c r="U72" s="3"/>
      <c r="V72" s="1">
        <v>70</v>
      </c>
      <c r="W72" s="7">
        <f t="shared" si="20"/>
        <v>6</v>
      </c>
      <c r="X72" s="7">
        <f t="shared" si="21"/>
        <v>6</v>
      </c>
      <c r="Y72" s="7">
        <f t="shared" si="22"/>
        <v>5</v>
      </c>
      <c r="Z72" s="7">
        <f t="shared" si="23"/>
        <v>5</v>
      </c>
      <c r="AA72" s="7">
        <f t="shared" si="24"/>
        <v>5</v>
      </c>
      <c r="AB72" s="13"/>
      <c r="AG72" s="1"/>
      <c r="AI72" s="12"/>
      <c r="AJ72" s="3"/>
      <c r="AK72" s="1">
        <v>70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3"/>
      <c r="AR72" s="1">
        <v>70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3"/>
      <c r="AY72" s="1">
        <v>70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3"/>
      <c r="BF72" s="1">
        <v>70</v>
      </c>
      <c r="BG72" s="7">
        <v>0</v>
      </c>
      <c r="BH72" s="7">
        <v>0</v>
      </c>
      <c r="BI72" s="7">
        <v>0</v>
      </c>
      <c r="BJ72" s="7">
        <v>0</v>
      </c>
      <c r="BK72" s="23">
        <v>0</v>
      </c>
      <c r="BM72" s="12"/>
      <c r="BN72" s="1">
        <v>70</v>
      </c>
      <c r="BO72" s="7">
        <f t="shared" si="25"/>
        <v>0</v>
      </c>
      <c r="BP72" s="7">
        <f t="shared" si="26"/>
        <v>0</v>
      </c>
      <c r="BQ72" s="7">
        <f t="shared" si="27"/>
        <v>0</v>
      </c>
      <c r="BR72" s="7">
        <f t="shared" si="28"/>
        <v>0</v>
      </c>
      <c r="BS72" s="7">
        <f t="shared" si="29"/>
        <v>0</v>
      </c>
      <c r="BT72" s="3"/>
      <c r="BU72" s="1">
        <v>70</v>
      </c>
      <c r="BV72" s="7">
        <f t="shared" si="30"/>
        <v>0</v>
      </c>
      <c r="BW72" s="7">
        <f t="shared" si="31"/>
        <v>0</v>
      </c>
      <c r="BX72" s="7">
        <f t="shared" si="32"/>
        <v>0</v>
      </c>
      <c r="BY72" s="7">
        <f t="shared" si="33"/>
        <v>0</v>
      </c>
      <c r="BZ72" s="7">
        <f t="shared" si="34"/>
        <v>0</v>
      </c>
      <c r="CA72" s="3"/>
      <c r="CB72" s="1">
        <v>70</v>
      </c>
      <c r="CC72" s="1">
        <f t="shared" si="35"/>
        <v>0</v>
      </c>
      <c r="CD72" s="1">
        <f t="shared" si="36"/>
        <v>0</v>
      </c>
      <c r="CE72" s="1">
        <f t="shared" si="37"/>
        <v>0</v>
      </c>
      <c r="CF72" s="1">
        <f t="shared" si="38"/>
        <v>0</v>
      </c>
      <c r="CG72" s="22">
        <f t="shared" si="39"/>
        <v>0</v>
      </c>
    </row>
    <row r="73" spans="1:85" x14ac:dyDescent="0.3">
      <c r="A73" s="14">
        <v>71</v>
      </c>
      <c r="B73" s="15">
        <v>14</v>
      </c>
      <c r="C73" s="16"/>
      <c r="D73" s="1">
        <v>71</v>
      </c>
      <c r="E73" s="15">
        <v>21</v>
      </c>
      <c r="F73" s="16"/>
      <c r="G73" s="1">
        <v>71</v>
      </c>
      <c r="H73" s="15">
        <v>5</v>
      </c>
      <c r="I73" s="16"/>
      <c r="J73" s="1">
        <v>71</v>
      </c>
      <c r="K73" s="15">
        <v>15</v>
      </c>
      <c r="L73" s="15"/>
      <c r="M73" s="1">
        <v>71</v>
      </c>
      <c r="N73" s="17">
        <v>0.3</v>
      </c>
      <c r="O73" s="17"/>
      <c r="P73" s="1">
        <v>71</v>
      </c>
      <c r="Q73" s="15">
        <v>2</v>
      </c>
      <c r="R73" s="15"/>
      <c r="S73" s="1">
        <v>71</v>
      </c>
      <c r="T73" s="15">
        <v>17</v>
      </c>
      <c r="U73" s="3"/>
      <c r="V73" s="1">
        <v>71</v>
      </c>
      <c r="W73" s="7">
        <f t="shared" si="20"/>
        <v>6</v>
      </c>
      <c r="X73" s="7">
        <f t="shared" si="21"/>
        <v>6</v>
      </c>
      <c r="Y73" s="7">
        <f t="shared" si="22"/>
        <v>5</v>
      </c>
      <c r="Z73" s="7">
        <f t="shared" si="23"/>
        <v>5</v>
      </c>
      <c r="AA73" s="7">
        <f t="shared" si="24"/>
        <v>5</v>
      </c>
      <c r="AB73" s="13"/>
      <c r="AG73" s="1"/>
      <c r="AI73" s="12"/>
      <c r="AJ73" s="3"/>
      <c r="AK73" s="1">
        <v>71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3"/>
      <c r="AR73" s="1">
        <v>71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3"/>
      <c r="AY73" s="1">
        <v>71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3"/>
      <c r="BF73" s="1">
        <v>71</v>
      </c>
      <c r="BG73" s="7">
        <v>0</v>
      </c>
      <c r="BH73" s="7">
        <v>0</v>
      </c>
      <c r="BI73" s="7">
        <v>0</v>
      </c>
      <c r="BJ73" s="7">
        <v>0</v>
      </c>
      <c r="BK73" s="23">
        <v>0</v>
      </c>
      <c r="BM73" s="12"/>
      <c r="BN73" s="1">
        <v>71</v>
      </c>
      <c r="BO73" s="7">
        <f t="shared" si="25"/>
        <v>0</v>
      </c>
      <c r="BP73" s="7">
        <f t="shared" si="26"/>
        <v>0</v>
      </c>
      <c r="BQ73" s="7">
        <f t="shared" si="27"/>
        <v>0</v>
      </c>
      <c r="BR73" s="7">
        <f t="shared" si="28"/>
        <v>0</v>
      </c>
      <c r="BS73" s="7">
        <f t="shared" si="29"/>
        <v>0</v>
      </c>
      <c r="BT73" s="3"/>
      <c r="BU73" s="1">
        <v>71</v>
      </c>
      <c r="BV73" s="7">
        <f t="shared" si="30"/>
        <v>0</v>
      </c>
      <c r="BW73" s="7">
        <f t="shared" si="31"/>
        <v>0</v>
      </c>
      <c r="BX73" s="7">
        <f t="shared" si="32"/>
        <v>0</v>
      </c>
      <c r="BY73" s="7">
        <f t="shared" si="33"/>
        <v>0</v>
      </c>
      <c r="BZ73" s="7">
        <f t="shared" si="34"/>
        <v>0</v>
      </c>
      <c r="CA73" s="3"/>
      <c r="CB73" s="1">
        <v>71</v>
      </c>
      <c r="CC73" s="1">
        <f t="shared" si="35"/>
        <v>0</v>
      </c>
      <c r="CD73" s="1">
        <f t="shared" si="36"/>
        <v>0</v>
      </c>
      <c r="CE73" s="1">
        <f t="shared" si="37"/>
        <v>0</v>
      </c>
      <c r="CF73" s="1">
        <f t="shared" si="38"/>
        <v>0</v>
      </c>
      <c r="CG73" s="22">
        <f t="shared" si="39"/>
        <v>0</v>
      </c>
    </row>
    <row r="74" spans="1:85" x14ac:dyDescent="0.3">
      <c r="A74" s="14">
        <v>72</v>
      </c>
      <c r="B74" s="15">
        <v>6</v>
      </c>
      <c r="C74" s="16"/>
      <c r="D74" s="1">
        <v>72</v>
      </c>
      <c r="E74" s="15">
        <v>23</v>
      </c>
      <c r="F74" s="16"/>
      <c r="G74" s="1">
        <v>72</v>
      </c>
      <c r="H74" s="15">
        <v>5</v>
      </c>
      <c r="I74" s="16"/>
      <c r="J74" s="1">
        <v>72</v>
      </c>
      <c r="K74" s="15">
        <v>11</v>
      </c>
      <c r="L74" s="15"/>
      <c r="M74" s="1">
        <v>72</v>
      </c>
      <c r="N74" s="17">
        <v>0.4</v>
      </c>
      <c r="O74" s="17"/>
      <c r="P74" s="1">
        <v>72</v>
      </c>
      <c r="Q74" s="15">
        <v>5</v>
      </c>
      <c r="R74" s="15"/>
      <c r="S74" s="1">
        <v>72</v>
      </c>
      <c r="T74" s="15">
        <v>25</v>
      </c>
      <c r="U74" s="3"/>
      <c r="V74" s="1">
        <v>72</v>
      </c>
      <c r="W74" s="7">
        <f t="shared" si="20"/>
        <v>6</v>
      </c>
      <c r="X74" s="7">
        <f t="shared" si="21"/>
        <v>6</v>
      </c>
      <c r="Y74" s="7">
        <f t="shared" si="22"/>
        <v>5</v>
      </c>
      <c r="Z74" s="7">
        <f t="shared" si="23"/>
        <v>5</v>
      </c>
      <c r="AA74" s="7">
        <f t="shared" si="24"/>
        <v>5</v>
      </c>
      <c r="AB74" s="13"/>
      <c r="AG74" s="1"/>
      <c r="AI74" s="12"/>
      <c r="AJ74" s="3"/>
      <c r="AK74" s="1">
        <v>72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3"/>
      <c r="AR74" s="1">
        <v>72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3"/>
      <c r="AY74" s="1">
        <v>72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3"/>
      <c r="BF74" s="1">
        <v>72</v>
      </c>
      <c r="BG74" s="7">
        <v>0</v>
      </c>
      <c r="BH74" s="7">
        <v>0</v>
      </c>
      <c r="BI74" s="7">
        <v>0</v>
      </c>
      <c r="BJ74" s="7">
        <v>0</v>
      </c>
      <c r="BK74" s="23">
        <v>0</v>
      </c>
      <c r="BM74" s="12"/>
      <c r="BN74" s="1">
        <v>72</v>
      </c>
      <c r="BO74" s="7">
        <f t="shared" si="25"/>
        <v>0</v>
      </c>
      <c r="BP74" s="7">
        <f t="shared" si="26"/>
        <v>0</v>
      </c>
      <c r="BQ74" s="7">
        <f t="shared" si="27"/>
        <v>0</v>
      </c>
      <c r="BR74" s="7">
        <f t="shared" si="28"/>
        <v>0</v>
      </c>
      <c r="BS74" s="7">
        <f t="shared" si="29"/>
        <v>0</v>
      </c>
      <c r="BT74" s="3"/>
      <c r="BU74" s="1">
        <v>72</v>
      </c>
      <c r="BV74" s="7">
        <f t="shared" si="30"/>
        <v>0</v>
      </c>
      <c r="BW74" s="7">
        <f t="shared" si="31"/>
        <v>0</v>
      </c>
      <c r="BX74" s="7">
        <f t="shared" si="32"/>
        <v>0</v>
      </c>
      <c r="BY74" s="7">
        <f t="shared" si="33"/>
        <v>0</v>
      </c>
      <c r="BZ74" s="7">
        <f t="shared" si="34"/>
        <v>0</v>
      </c>
      <c r="CA74" s="3"/>
      <c r="CB74" s="1">
        <v>72</v>
      </c>
      <c r="CC74" s="1">
        <f t="shared" si="35"/>
        <v>0</v>
      </c>
      <c r="CD74" s="1">
        <f t="shared" si="36"/>
        <v>0</v>
      </c>
      <c r="CE74" s="1">
        <f t="shared" si="37"/>
        <v>0</v>
      </c>
      <c r="CF74" s="1">
        <f t="shared" si="38"/>
        <v>0</v>
      </c>
      <c r="CG74" s="22">
        <f t="shared" si="39"/>
        <v>0</v>
      </c>
    </row>
    <row r="75" spans="1:85" x14ac:dyDescent="0.3">
      <c r="A75" s="14">
        <v>73</v>
      </c>
      <c r="B75" s="15">
        <v>8</v>
      </c>
      <c r="C75" s="16"/>
      <c r="D75" s="1">
        <v>73</v>
      </c>
      <c r="E75" s="15">
        <v>23</v>
      </c>
      <c r="F75" s="16"/>
      <c r="G75" s="1">
        <v>73</v>
      </c>
      <c r="H75" s="15">
        <v>7</v>
      </c>
      <c r="I75" s="16"/>
      <c r="J75" s="1">
        <v>73</v>
      </c>
      <c r="K75" s="15">
        <v>11</v>
      </c>
      <c r="L75" s="15"/>
      <c r="M75" s="1">
        <v>73</v>
      </c>
      <c r="N75" s="17">
        <v>0.9</v>
      </c>
      <c r="O75" s="17"/>
      <c r="P75" s="1">
        <v>73</v>
      </c>
      <c r="Q75" s="15">
        <v>4</v>
      </c>
      <c r="R75" s="15"/>
      <c r="S75" s="1">
        <v>73</v>
      </c>
      <c r="T75" s="15">
        <v>24</v>
      </c>
      <c r="U75" s="3"/>
      <c r="V75" s="1">
        <v>73</v>
      </c>
      <c r="W75" s="7">
        <f t="shared" si="20"/>
        <v>4</v>
      </c>
      <c r="X75" s="7">
        <f t="shared" si="21"/>
        <v>4</v>
      </c>
      <c r="Y75" s="7">
        <f t="shared" si="22"/>
        <v>3</v>
      </c>
      <c r="Z75" s="7">
        <f t="shared" si="23"/>
        <v>3</v>
      </c>
      <c r="AA75" s="7">
        <f t="shared" si="24"/>
        <v>4</v>
      </c>
      <c r="AB75" s="13"/>
      <c r="AG75" s="1"/>
      <c r="AI75" s="12"/>
      <c r="AJ75" s="3"/>
      <c r="AK75" s="1">
        <v>73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3"/>
      <c r="AR75" s="1">
        <v>73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3"/>
      <c r="AY75" s="1">
        <v>73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3"/>
      <c r="BF75" s="1">
        <v>73</v>
      </c>
      <c r="BG75" s="7">
        <v>0</v>
      </c>
      <c r="BH75" s="7">
        <v>0</v>
      </c>
      <c r="BI75" s="7">
        <v>0</v>
      </c>
      <c r="BJ75" s="7">
        <v>1</v>
      </c>
      <c r="BK75" s="23">
        <v>0</v>
      </c>
      <c r="BM75" s="12"/>
      <c r="BN75" s="1">
        <v>73</v>
      </c>
      <c r="BO75" s="7">
        <f t="shared" si="25"/>
        <v>0</v>
      </c>
      <c r="BP75" s="7">
        <f t="shared" si="26"/>
        <v>0</v>
      </c>
      <c r="BQ75" s="7">
        <f t="shared" si="27"/>
        <v>0</v>
      </c>
      <c r="BR75" s="7">
        <f t="shared" si="28"/>
        <v>1</v>
      </c>
      <c r="BS75" s="7">
        <f t="shared" si="29"/>
        <v>0</v>
      </c>
      <c r="BT75" s="3"/>
      <c r="BU75" s="1">
        <v>73</v>
      </c>
      <c r="BV75" s="7">
        <f t="shared" si="30"/>
        <v>0</v>
      </c>
      <c r="BW75" s="7">
        <f t="shared" si="31"/>
        <v>0</v>
      </c>
      <c r="BX75" s="7">
        <f t="shared" si="32"/>
        <v>0</v>
      </c>
      <c r="BY75" s="7">
        <f t="shared" si="33"/>
        <v>4</v>
      </c>
      <c r="BZ75" s="7">
        <f t="shared" si="34"/>
        <v>0</v>
      </c>
      <c r="CA75" s="3"/>
      <c r="CB75" s="1">
        <v>73</v>
      </c>
      <c r="CC75" s="1">
        <f t="shared" si="35"/>
        <v>0</v>
      </c>
      <c r="CD75" s="1">
        <f t="shared" si="36"/>
        <v>0</v>
      </c>
      <c r="CE75" s="1">
        <f t="shared" si="37"/>
        <v>0</v>
      </c>
      <c r="CF75" s="1">
        <f t="shared" si="38"/>
        <v>3.4822022531844965</v>
      </c>
      <c r="CG75" s="22">
        <f t="shared" si="39"/>
        <v>0</v>
      </c>
    </row>
    <row r="76" spans="1:85" x14ac:dyDescent="0.3">
      <c r="A76" s="14">
        <v>74</v>
      </c>
      <c r="B76" s="15">
        <v>12</v>
      </c>
      <c r="C76" s="16"/>
      <c r="D76" s="1">
        <v>74</v>
      </c>
      <c r="E76" s="15">
        <v>20</v>
      </c>
      <c r="F76" s="16"/>
      <c r="G76" s="1">
        <v>74</v>
      </c>
      <c r="H76" s="15">
        <v>7</v>
      </c>
      <c r="I76" s="16"/>
      <c r="J76" s="1">
        <v>74</v>
      </c>
      <c r="K76" s="15">
        <v>10</v>
      </c>
      <c r="L76" s="15"/>
      <c r="M76" s="1">
        <v>74</v>
      </c>
      <c r="N76" s="17">
        <v>0.9</v>
      </c>
      <c r="O76" s="17"/>
      <c r="P76" s="1">
        <v>74</v>
      </c>
      <c r="Q76" s="15">
        <v>2</v>
      </c>
      <c r="R76" s="15"/>
      <c r="S76" s="1">
        <v>74</v>
      </c>
      <c r="T76" s="15">
        <v>20</v>
      </c>
      <c r="U76" s="3"/>
      <c r="V76" s="1">
        <v>74</v>
      </c>
      <c r="W76" s="7">
        <f t="shared" si="20"/>
        <v>4</v>
      </c>
      <c r="X76" s="7">
        <f t="shared" si="21"/>
        <v>4</v>
      </c>
      <c r="Y76" s="7">
        <f t="shared" si="22"/>
        <v>3</v>
      </c>
      <c r="Z76" s="7">
        <f t="shared" si="23"/>
        <v>3</v>
      </c>
      <c r="AA76" s="7">
        <f t="shared" si="24"/>
        <v>4</v>
      </c>
      <c r="AB76" s="13"/>
      <c r="AG76" s="1"/>
      <c r="AI76" s="12"/>
      <c r="AJ76" s="3"/>
      <c r="AK76" s="1">
        <v>74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3"/>
      <c r="AR76" s="1">
        <v>74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3"/>
      <c r="AY76" s="1">
        <v>74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3"/>
      <c r="BF76" s="1">
        <v>74</v>
      </c>
      <c r="BG76" s="7">
        <v>0</v>
      </c>
      <c r="BH76" s="7">
        <v>0</v>
      </c>
      <c r="BI76" s="7">
        <v>0</v>
      </c>
      <c r="BJ76" s="7">
        <v>1</v>
      </c>
      <c r="BK76" s="23">
        <v>0</v>
      </c>
      <c r="BM76" s="12"/>
      <c r="BN76" s="1">
        <v>74</v>
      </c>
      <c r="BO76" s="7">
        <f t="shared" si="25"/>
        <v>0</v>
      </c>
      <c r="BP76" s="7">
        <f t="shared" si="26"/>
        <v>0</v>
      </c>
      <c r="BQ76" s="7">
        <f t="shared" si="27"/>
        <v>0</v>
      </c>
      <c r="BR76" s="7">
        <f t="shared" si="28"/>
        <v>1</v>
      </c>
      <c r="BS76" s="7">
        <f t="shared" si="29"/>
        <v>0</v>
      </c>
      <c r="BT76" s="3"/>
      <c r="BU76" s="1">
        <v>74</v>
      </c>
      <c r="BV76" s="7">
        <f t="shared" si="30"/>
        <v>0</v>
      </c>
      <c r="BW76" s="7">
        <f t="shared" si="31"/>
        <v>0</v>
      </c>
      <c r="BX76" s="7">
        <f t="shared" si="32"/>
        <v>0</v>
      </c>
      <c r="BY76" s="7">
        <f t="shared" si="33"/>
        <v>4</v>
      </c>
      <c r="BZ76" s="7">
        <f t="shared" si="34"/>
        <v>0</v>
      </c>
      <c r="CA76" s="3"/>
      <c r="CB76" s="1">
        <v>74</v>
      </c>
      <c r="CC76" s="1">
        <f t="shared" si="35"/>
        <v>0</v>
      </c>
      <c r="CD76" s="1">
        <f t="shared" si="36"/>
        <v>0</v>
      </c>
      <c r="CE76" s="1">
        <f t="shared" si="37"/>
        <v>0</v>
      </c>
      <c r="CF76" s="1">
        <f t="shared" si="38"/>
        <v>3.4822022531844965</v>
      </c>
      <c r="CG76" s="22">
        <f t="shared" si="39"/>
        <v>0</v>
      </c>
    </row>
    <row r="77" spans="1:85" x14ac:dyDescent="0.3">
      <c r="A77" s="14">
        <v>75</v>
      </c>
      <c r="B77" s="15">
        <v>15</v>
      </c>
      <c r="C77" s="16"/>
      <c r="D77" s="1">
        <v>75</v>
      </c>
      <c r="E77" s="15">
        <v>19</v>
      </c>
      <c r="F77" s="16"/>
      <c r="G77" s="1">
        <v>75</v>
      </c>
      <c r="H77" s="15">
        <v>8</v>
      </c>
      <c r="I77" s="16"/>
      <c r="J77" s="1">
        <v>75</v>
      </c>
      <c r="K77" s="15">
        <v>4</v>
      </c>
      <c r="L77" s="15"/>
      <c r="M77" s="1">
        <v>75</v>
      </c>
      <c r="N77" s="17">
        <v>0.4</v>
      </c>
      <c r="O77" s="17"/>
      <c r="P77" s="1">
        <v>75</v>
      </c>
      <c r="Q77" s="15">
        <v>1</v>
      </c>
      <c r="R77" s="15"/>
      <c r="S77" s="1">
        <v>75</v>
      </c>
      <c r="T77" s="15">
        <v>19</v>
      </c>
      <c r="U77" s="3"/>
      <c r="V77" s="1">
        <v>75</v>
      </c>
      <c r="W77" s="7">
        <f t="shared" si="20"/>
        <v>4</v>
      </c>
      <c r="X77" s="7">
        <f t="shared" si="21"/>
        <v>3</v>
      </c>
      <c r="Y77" s="7">
        <f t="shared" si="22"/>
        <v>3</v>
      </c>
      <c r="Z77" s="7">
        <f t="shared" si="23"/>
        <v>3</v>
      </c>
      <c r="AA77" s="7">
        <f t="shared" si="24"/>
        <v>3</v>
      </c>
      <c r="AB77" s="13"/>
      <c r="AG77" s="1"/>
      <c r="AI77" s="12"/>
      <c r="AJ77" s="3"/>
      <c r="AK77" s="1">
        <v>75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3"/>
      <c r="AR77" s="1">
        <v>75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3"/>
      <c r="AY77" s="1">
        <v>75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3"/>
      <c r="BF77" s="1">
        <v>75</v>
      </c>
      <c r="BG77" s="7">
        <v>0</v>
      </c>
      <c r="BH77" s="7">
        <v>0</v>
      </c>
      <c r="BI77" s="7">
        <v>0</v>
      </c>
      <c r="BJ77" s="7">
        <v>0</v>
      </c>
      <c r="BK77" s="23">
        <v>0</v>
      </c>
      <c r="BM77" s="12"/>
      <c r="BN77" s="1">
        <v>75</v>
      </c>
      <c r="BO77" s="7">
        <f t="shared" si="25"/>
        <v>0</v>
      </c>
      <c r="BP77" s="7">
        <f t="shared" si="26"/>
        <v>0</v>
      </c>
      <c r="BQ77" s="7">
        <f t="shared" si="27"/>
        <v>0</v>
      </c>
      <c r="BR77" s="7">
        <f t="shared" si="28"/>
        <v>0</v>
      </c>
      <c r="BS77" s="7">
        <f t="shared" si="29"/>
        <v>0</v>
      </c>
      <c r="BT77" s="3"/>
      <c r="BU77" s="1">
        <v>75</v>
      </c>
      <c r="BV77" s="7">
        <f t="shared" si="30"/>
        <v>0</v>
      </c>
      <c r="BW77" s="7">
        <f t="shared" si="31"/>
        <v>0</v>
      </c>
      <c r="BX77" s="7">
        <f t="shared" si="32"/>
        <v>0</v>
      </c>
      <c r="BY77" s="7">
        <f t="shared" si="33"/>
        <v>0</v>
      </c>
      <c r="BZ77" s="7">
        <f t="shared" si="34"/>
        <v>0</v>
      </c>
      <c r="CA77" s="3"/>
      <c r="CB77" s="1">
        <v>75</v>
      </c>
      <c r="CC77" s="1">
        <f t="shared" si="35"/>
        <v>0</v>
      </c>
      <c r="CD77" s="1">
        <f t="shared" si="36"/>
        <v>0</v>
      </c>
      <c r="CE77" s="1">
        <f t="shared" si="37"/>
        <v>0</v>
      </c>
      <c r="CF77" s="1">
        <f t="shared" si="38"/>
        <v>0</v>
      </c>
      <c r="CG77" s="22">
        <f t="shared" si="39"/>
        <v>0</v>
      </c>
    </row>
    <row r="78" spans="1:85" x14ac:dyDescent="0.3">
      <c r="A78" s="14">
        <v>76</v>
      </c>
      <c r="B78" s="15">
        <v>9</v>
      </c>
      <c r="C78" s="16"/>
      <c r="D78" s="1">
        <v>76</v>
      </c>
      <c r="E78" s="15">
        <v>23</v>
      </c>
      <c r="F78" s="16"/>
      <c r="G78" s="1">
        <v>76</v>
      </c>
      <c r="H78" s="15">
        <v>2</v>
      </c>
      <c r="I78" s="16"/>
      <c r="J78" s="1">
        <v>76</v>
      </c>
      <c r="K78" s="15">
        <v>4</v>
      </c>
      <c r="L78" s="15"/>
      <c r="M78" s="1">
        <v>76</v>
      </c>
      <c r="N78" s="17">
        <v>0.1</v>
      </c>
      <c r="O78" s="17"/>
      <c r="P78" s="1">
        <v>76</v>
      </c>
      <c r="Q78" s="15">
        <v>3</v>
      </c>
      <c r="R78" s="15"/>
      <c r="S78" s="1">
        <v>76</v>
      </c>
      <c r="T78" s="15">
        <v>21</v>
      </c>
      <c r="U78" s="3"/>
      <c r="V78" s="1">
        <v>76</v>
      </c>
      <c r="W78" s="7">
        <f t="shared" si="20"/>
        <v>17</v>
      </c>
      <c r="X78" s="7">
        <f t="shared" si="21"/>
        <v>15</v>
      </c>
      <c r="Y78" s="7">
        <f t="shared" si="22"/>
        <v>13</v>
      </c>
      <c r="Z78" s="7">
        <f t="shared" si="23"/>
        <v>13</v>
      </c>
      <c r="AA78" s="7">
        <f t="shared" si="24"/>
        <v>14</v>
      </c>
      <c r="AB78" s="13"/>
      <c r="AG78" s="1"/>
      <c r="AI78" s="12"/>
      <c r="AJ78" s="3"/>
      <c r="AK78" s="1">
        <v>76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3"/>
      <c r="AR78" s="1">
        <v>76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3"/>
      <c r="AY78" s="1">
        <v>76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3"/>
      <c r="BF78" s="1">
        <v>76</v>
      </c>
      <c r="BG78" s="7">
        <v>0</v>
      </c>
      <c r="BH78" s="7">
        <v>0</v>
      </c>
      <c r="BI78" s="7">
        <v>0</v>
      </c>
      <c r="BJ78" s="7">
        <v>0</v>
      </c>
      <c r="BK78" s="23">
        <v>0</v>
      </c>
      <c r="BM78" s="12"/>
      <c r="BN78" s="1">
        <v>76</v>
      </c>
      <c r="BO78" s="7">
        <f t="shared" si="25"/>
        <v>0</v>
      </c>
      <c r="BP78" s="7">
        <f t="shared" si="26"/>
        <v>0</v>
      </c>
      <c r="BQ78" s="7">
        <f t="shared" si="27"/>
        <v>0</v>
      </c>
      <c r="BR78" s="7">
        <f t="shared" si="28"/>
        <v>0</v>
      </c>
      <c r="BS78" s="7">
        <f t="shared" si="29"/>
        <v>0</v>
      </c>
      <c r="BT78" s="3"/>
      <c r="BU78" s="1">
        <v>76</v>
      </c>
      <c r="BV78" s="7">
        <f t="shared" si="30"/>
        <v>0</v>
      </c>
      <c r="BW78" s="7">
        <f t="shared" si="31"/>
        <v>0</v>
      </c>
      <c r="BX78" s="7">
        <f t="shared" si="32"/>
        <v>0</v>
      </c>
      <c r="BY78" s="7">
        <f t="shared" si="33"/>
        <v>0</v>
      </c>
      <c r="BZ78" s="7">
        <f t="shared" si="34"/>
        <v>0</v>
      </c>
      <c r="CA78" s="3"/>
      <c r="CB78" s="1">
        <v>76</v>
      </c>
      <c r="CC78" s="1">
        <f t="shared" si="35"/>
        <v>0</v>
      </c>
      <c r="CD78" s="1">
        <f t="shared" si="36"/>
        <v>0</v>
      </c>
      <c r="CE78" s="1">
        <f t="shared" si="37"/>
        <v>0</v>
      </c>
      <c r="CF78" s="1">
        <f t="shared" si="38"/>
        <v>0</v>
      </c>
      <c r="CG78" s="22">
        <f t="shared" si="39"/>
        <v>0</v>
      </c>
    </row>
    <row r="79" spans="1:85" x14ac:dyDescent="0.3">
      <c r="A79" s="14">
        <v>77</v>
      </c>
      <c r="B79" s="15">
        <v>6</v>
      </c>
      <c r="C79" s="16"/>
      <c r="D79" s="1">
        <v>77</v>
      </c>
      <c r="E79" s="15">
        <v>16</v>
      </c>
      <c r="F79" s="16"/>
      <c r="G79" s="1">
        <v>77</v>
      </c>
      <c r="H79" s="15">
        <v>4</v>
      </c>
      <c r="I79" s="16"/>
      <c r="J79" s="1">
        <v>77</v>
      </c>
      <c r="K79" s="15">
        <v>13</v>
      </c>
      <c r="L79" s="15"/>
      <c r="M79" s="1">
        <v>77</v>
      </c>
      <c r="N79" s="17">
        <v>0.5</v>
      </c>
      <c r="O79" s="17"/>
      <c r="P79" s="1">
        <v>77</v>
      </c>
      <c r="Q79" s="15">
        <v>2</v>
      </c>
      <c r="R79" s="15"/>
      <c r="S79" s="1">
        <v>77</v>
      </c>
      <c r="T79" s="15">
        <v>19</v>
      </c>
      <c r="U79" s="3"/>
      <c r="V79" s="1">
        <v>77</v>
      </c>
      <c r="W79" s="7">
        <f t="shared" si="20"/>
        <v>8</v>
      </c>
      <c r="X79" s="7">
        <f t="shared" si="21"/>
        <v>7</v>
      </c>
      <c r="Y79" s="7">
        <f t="shared" si="22"/>
        <v>6</v>
      </c>
      <c r="Z79" s="7">
        <f t="shared" si="23"/>
        <v>6</v>
      </c>
      <c r="AA79" s="7">
        <f t="shared" si="24"/>
        <v>7</v>
      </c>
      <c r="AB79" s="13"/>
      <c r="AG79" s="1"/>
      <c r="AI79" s="12"/>
      <c r="AJ79" s="3"/>
      <c r="AK79" s="1">
        <v>77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3"/>
      <c r="AR79" s="1">
        <v>77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3"/>
      <c r="AY79" s="1">
        <v>77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3"/>
      <c r="BF79" s="1">
        <v>77</v>
      </c>
      <c r="BG79" s="7">
        <v>0</v>
      </c>
      <c r="BH79" s="7">
        <v>0</v>
      </c>
      <c r="BI79" s="7">
        <v>0</v>
      </c>
      <c r="BJ79" s="7">
        <v>0</v>
      </c>
      <c r="BK79" s="23">
        <v>0</v>
      </c>
      <c r="BM79" s="12"/>
      <c r="BN79" s="1">
        <v>77</v>
      </c>
      <c r="BO79" s="7">
        <f t="shared" si="25"/>
        <v>0</v>
      </c>
      <c r="BP79" s="7">
        <f t="shared" si="26"/>
        <v>0</v>
      </c>
      <c r="BQ79" s="7">
        <f t="shared" si="27"/>
        <v>0</v>
      </c>
      <c r="BR79" s="7">
        <f t="shared" si="28"/>
        <v>0</v>
      </c>
      <c r="BS79" s="7">
        <f t="shared" si="29"/>
        <v>0</v>
      </c>
      <c r="BT79" s="3"/>
      <c r="BU79" s="1">
        <v>77</v>
      </c>
      <c r="BV79" s="7">
        <f t="shared" si="30"/>
        <v>0</v>
      </c>
      <c r="BW79" s="7">
        <f t="shared" si="31"/>
        <v>0</v>
      </c>
      <c r="BX79" s="7">
        <f t="shared" si="32"/>
        <v>0</v>
      </c>
      <c r="BY79" s="7">
        <f t="shared" si="33"/>
        <v>0</v>
      </c>
      <c r="BZ79" s="7">
        <f t="shared" si="34"/>
        <v>0</v>
      </c>
      <c r="CA79" s="3"/>
      <c r="CB79" s="1">
        <v>77</v>
      </c>
      <c r="CC79" s="1">
        <f t="shared" si="35"/>
        <v>0</v>
      </c>
      <c r="CD79" s="1">
        <f t="shared" si="36"/>
        <v>0</v>
      </c>
      <c r="CE79" s="1">
        <f t="shared" si="37"/>
        <v>0</v>
      </c>
      <c r="CF79" s="1">
        <f t="shared" si="38"/>
        <v>0</v>
      </c>
      <c r="CG79" s="22">
        <f t="shared" si="39"/>
        <v>0</v>
      </c>
    </row>
    <row r="80" spans="1:85" x14ac:dyDescent="0.3">
      <c r="A80" s="14">
        <v>78</v>
      </c>
      <c r="B80" s="15">
        <v>6</v>
      </c>
      <c r="C80" s="16"/>
      <c r="D80" s="1">
        <v>78</v>
      </c>
      <c r="E80" s="15">
        <v>24</v>
      </c>
      <c r="F80" s="16"/>
      <c r="G80" s="1">
        <v>78</v>
      </c>
      <c r="H80" s="15">
        <v>8</v>
      </c>
      <c r="I80" s="16"/>
      <c r="J80" s="1">
        <v>78</v>
      </c>
      <c r="K80" s="15">
        <v>4</v>
      </c>
      <c r="L80" s="15"/>
      <c r="M80" s="1">
        <v>78</v>
      </c>
      <c r="N80" s="17">
        <v>0.1</v>
      </c>
      <c r="O80" s="17"/>
      <c r="P80" s="1">
        <v>78</v>
      </c>
      <c r="Q80" s="15">
        <v>4</v>
      </c>
      <c r="R80" s="15"/>
      <c r="S80" s="1">
        <v>78</v>
      </c>
      <c r="T80" s="15">
        <v>16</v>
      </c>
      <c r="U80" s="3"/>
      <c r="V80" s="1">
        <v>78</v>
      </c>
      <c r="W80" s="7">
        <f t="shared" si="20"/>
        <v>4</v>
      </c>
      <c r="X80" s="7">
        <f t="shared" si="21"/>
        <v>3</v>
      </c>
      <c r="Y80" s="7">
        <f t="shared" si="22"/>
        <v>3</v>
      </c>
      <c r="Z80" s="7">
        <f t="shared" si="23"/>
        <v>3</v>
      </c>
      <c r="AA80" s="7">
        <f t="shared" si="24"/>
        <v>3</v>
      </c>
      <c r="AB80" s="13"/>
      <c r="AG80" s="1"/>
      <c r="AI80" s="12"/>
      <c r="AJ80" s="3"/>
      <c r="AK80" s="1">
        <v>78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3"/>
      <c r="AR80" s="1">
        <v>78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3"/>
      <c r="AY80" s="1">
        <v>78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3"/>
      <c r="BF80" s="1">
        <v>78</v>
      </c>
      <c r="BG80" s="7">
        <v>0</v>
      </c>
      <c r="BH80" s="7">
        <v>0</v>
      </c>
      <c r="BI80" s="7">
        <v>0</v>
      </c>
      <c r="BJ80" s="7">
        <v>0</v>
      </c>
      <c r="BK80" s="23">
        <v>0</v>
      </c>
      <c r="BM80" s="12"/>
      <c r="BN80" s="1">
        <v>78</v>
      </c>
      <c r="BO80" s="7">
        <f t="shared" si="25"/>
        <v>0</v>
      </c>
      <c r="BP80" s="7">
        <f t="shared" si="26"/>
        <v>0</v>
      </c>
      <c r="BQ80" s="7">
        <f t="shared" si="27"/>
        <v>0</v>
      </c>
      <c r="BR80" s="7">
        <f t="shared" si="28"/>
        <v>0</v>
      </c>
      <c r="BS80" s="7">
        <f t="shared" si="29"/>
        <v>0</v>
      </c>
      <c r="BT80" s="3"/>
      <c r="BU80" s="1">
        <v>78</v>
      </c>
      <c r="BV80" s="7">
        <f t="shared" si="30"/>
        <v>0</v>
      </c>
      <c r="BW80" s="7">
        <f t="shared" si="31"/>
        <v>0</v>
      </c>
      <c r="BX80" s="7">
        <f t="shared" si="32"/>
        <v>0</v>
      </c>
      <c r="BY80" s="7">
        <f t="shared" si="33"/>
        <v>0</v>
      </c>
      <c r="BZ80" s="7">
        <f t="shared" si="34"/>
        <v>0</v>
      </c>
      <c r="CA80" s="3"/>
      <c r="CB80" s="1">
        <v>78</v>
      </c>
      <c r="CC80" s="1">
        <f t="shared" si="35"/>
        <v>0</v>
      </c>
      <c r="CD80" s="1">
        <f t="shared" si="36"/>
        <v>0</v>
      </c>
      <c r="CE80" s="1">
        <f t="shared" si="37"/>
        <v>0</v>
      </c>
      <c r="CF80" s="1">
        <f t="shared" si="38"/>
        <v>0</v>
      </c>
      <c r="CG80" s="22">
        <f t="shared" si="39"/>
        <v>0</v>
      </c>
    </row>
    <row r="81" spans="1:85" x14ac:dyDescent="0.3">
      <c r="A81" s="14">
        <v>79</v>
      </c>
      <c r="B81" s="15">
        <v>11</v>
      </c>
      <c r="C81" s="16"/>
      <c r="D81" s="1">
        <v>79</v>
      </c>
      <c r="E81" s="15">
        <v>20</v>
      </c>
      <c r="F81" s="16"/>
      <c r="G81" s="1">
        <v>79</v>
      </c>
      <c r="H81" s="15">
        <v>8</v>
      </c>
      <c r="I81" s="16"/>
      <c r="J81" s="1">
        <v>79</v>
      </c>
      <c r="K81" s="15">
        <v>13</v>
      </c>
      <c r="L81" s="15"/>
      <c r="M81" s="1">
        <v>79</v>
      </c>
      <c r="N81" s="17">
        <v>0.2</v>
      </c>
      <c r="O81" s="17"/>
      <c r="P81" s="1">
        <v>79</v>
      </c>
      <c r="Q81" s="15">
        <v>2</v>
      </c>
      <c r="R81" s="15"/>
      <c r="S81" s="1">
        <v>79</v>
      </c>
      <c r="T81" s="15">
        <v>15</v>
      </c>
      <c r="U81" s="3"/>
      <c r="V81" s="1">
        <v>79</v>
      </c>
      <c r="W81" s="7">
        <f t="shared" si="20"/>
        <v>4</v>
      </c>
      <c r="X81" s="7">
        <f t="shared" si="21"/>
        <v>3</v>
      </c>
      <c r="Y81" s="7">
        <f t="shared" si="22"/>
        <v>3</v>
      </c>
      <c r="Z81" s="7">
        <f t="shared" si="23"/>
        <v>3</v>
      </c>
      <c r="AA81" s="7">
        <f t="shared" si="24"/>
        <v>3</v>
      </c>
      <c r="AB81" s="13"/>
      <c r="AG81" s="1"/>
      <c r="AI81" s="12"/>
      <c r="AJ81" s="3"/>
      <c r="AK81" s="1">
        <v>79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3"/>
      <c r="AR81" s="1">
        <v>79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3"/>
      <c r="AY81" s="1">
        <v>79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3"/>
      <c r="BF81" s="1">
        <v>79</v>
      </c>
      <c r="BG81" s="7">
        <v>0</v>
      </c>
      <c r="BH81" s="7">
        <v>0</v>
      </c>
      <c r="BI81" s="7">
        <v>0</v>
      </c>
      <c r="BJ81" s="7">
        <v>0</v>
      </c>
      <c r="BK81" s="23">
        <v>0</v>
      </c>
      <c r="BM81" s="12"/>
      <c r="BN81" s="1">
        <v>79</v>
      </c>
      <c r="BO81" s="7">
        <f t="shared" si="25"/>
        <v>0</v>
      </c>
      <c r="BP81" s="7">
        <f t="shared" si="26"/>
        <v>0</v>
      </c>
      <c r="BQ81" s="7">
        <f t="shared" si="27"/>
        <v>0</v>
      </c>
      <c r="BR81" s="7">
        <f t="shared" si="28"/>
        <v>0</v>
      </c>
      <c r="BS81" s="7">
        <f t="shared" si="29"/>
        <v>0</v>
      </c>
      <c r="BT81" s="3"/>
      <c r="BU81" s="1">
        <v>79</v>
      </c>
      <c r="BV81" s="7">
        <f t="shared" si="30"/>
        <v>0</v>
      </c>
      <c r="BW81" s="7">
        <f t="shared" si="31"/>
        <v>0</v>
      </c>
      <c r="BX81" s="7">
        <f t="shared" si="32"/>
        <v>0</v>
      </c>
      <c r="BY81" s="7">
        <f t="shared" si="33"/>
        <v>0</v>
      </c>
      <c r="BZ81" s="7">
        <f t="shared" si="34"/>
        <v>0</v>
      </c>
      <c r="CA81" s="3"/>
      <c r="CB81" s="1">
        <v>79</v>
      </c>
      <c r="CC81" s="1">
        <f t="shared" si="35"/>
        <v>0</v>
      </c>
      <c r="CD81" s="1">
        <f t="shared" si="36"/>
        <v>0</v>
      </c>
      <c r="CE81" s="1">
        <f t="shared" si="37"/>
        <v>0</v>
      </c>
      <c r="CF81" s="1">
        <f t="shared" si="38"/>
        <v>0</v>
      </c>
      <c r="CG81" s="22">
        <f t="shared" si="39"/>
        <v>0</v>
      </c>
    </row>
    <row r="82" spans="1:85" x14ac:dyDescent="0.3">
      <c r="A82" s="14">
        <v>80</v>
      </c>
      <c r="B82" s="15">
        <v>8</v>
      </c>
      <c r="C82" s="16"/>
      <c r="D82" s="1">
        <v>80</v>
      </c>
      <c r="E82" s="15">
        <v>22</v>
      </c>
      <c r="F82" s="16"/>
      <c r="G82" s="1">
        <v>80</v>
      </c>
      <c r="H82" s="15">
        <v>5</v>
      </c>
      <c r="I82" s="16"/>
      <c r="J82" s="1">
        <v>80</v>
      </c>
      <c r="K82" s="15">
        <v>2</v>
      </c>
      <c r="L82" s="15"/>
      <c r="M82" s="1">
        <v>80</v>
      </c>
      <c r="N82" s="17">
        <v>0.6</v>
      </c>
      <c r="O82" s="17"/>
      <c r="P82" s="1">
        <v>80</v>
      </c>
      <c r="Q82" s="15">
        <v>2</v>
      </c>
      <c r="R82" s="15"/>
      <c r="S82" s="1">
        <v>80</v>
      </c>
      <c r="T82" s="15">
        <v>25</v>
      </c>
      <c r="U82" s="3"/>
      <c r="V82" s="1">
        <v>80</v>
      </c>
      <c r="W82" s="7">
        <f t="shared" si="20"/>
        <v>6</v>
      </c>
      <c r="X82" s="7">
        <f t="shared" si="21"/>
        <v>6</v>
      </c>
      <c r="Y82" s="7">
        <f t="shared" si="22"/>
        <v>5</v>
      </c>
      <c r="Z82" s="7">
        <f t="shared" si="23"/>
        <v>5</v>
      </c>
      <c r="AA82" s="7">
        <f t="shared" si="24"/>
        <v>5</v>
      </c>
      <c r="AB82" s="13"/>
      <c r="AG82" s="1"/>
      <c r="AI82" s="12"/>
      <c r="AJ82" s="3"/>
      <c r="AK82" s="1">
        <v>80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3"/>
      <c r="AR82" s="1">
        <v>80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3"/>
      <c r="AY82" s="1">
        <v>80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3"/>
      <c r="BF82" s="1">
        <v>80</v>
      </c>
      <c r="BG82" s="7">
        <v>0</v>
      </c>
      <c r="BH82" s="7">
        <v>0</v>
      </c>
      <c r="BI82" s="7">
        <v>0</v>
      </c>
      <c r="BJ82" s="7">
        <v>0</v>
      </c>
      <c r="BK82" s="23">
        <v>0</v>
      </c>
      <c r="BM82" s="12"/>
      <c r="BN82" s="1">
        <v>80</v>
      </c>
      <c r="BO82" s="7">
        <f t="shared" si="25"/>
        <v>0</v>
      </c>
      <c r="BP82" s="7">
        <f t="shared" si="26"/>
        <v>0</v>
      </c>
      <c r="BQ82" s="7">
        <f t="shared" si="27"/>
        <v>0</v>
      </c>
      <c r="BR82" s="7">
        <f t="shared" si="28"/>
        <v>0</v>
      </c>
      <c r="BS82" s="7">
        <f t="shared" si="29"/>
        <v>0</v>
      </c>
      <c r="BT82" s="3"/>
      <c r="BU82" s="1">
        <v>80</v>
      </c>
      <c r="BV82" s="7">
        <f t="shared" si="30"/>
        <v>0</v>
      </c>
      <c r="BW82" s="7">
        <f t="shared" si="31"/>
        <v>0</v>
      </c>
      <c r="BX82" s="7">
        <f t="shared" si="32"/>
        <v>0</v>
      </c>
      <c r="BY82" s="7">
        <f t="shared" si="33"/>
        <v>0</v>
      </c>
      <c r="BZ82" s="7">
        <f t="shared" si="34"/>
        <v>0</v>
      </c>
      <c r="CA82" s="3"/>
      <c r="CB82" s="1">
        <v>80</v>
      </c>
      <c r="CC82" s="1">
        <f t="shared" si="35"/>
        <v>0</v>
      </c>
      <c r="CD82" s="1">
        <f t="shared" si="36"/>
        <v>0</v>
      </c>
      <c r="CE82" s="1">
        <f t="shared" si="37"/>
        <v>0</v>
      </c>
      <c r="CF82" s="1">
        <f t="shared" si="38"/>
        <v>0</v>
      </c>
      <c r="CG82" s="22">
        <f t="shared" si="39"/>
        <v>0</v>
      </c>
    </row>
    <row r="83" spans="1:85" x14ac:dyDescent="0.3">
      <c r="A83" s="14">
        <v>81</v>
      </c>
      <c r="B83" s="15">
        <v>11</v>
      </c>
      <c r="C83" s="16"/>
      <c r="D83" s="1">
        <v>81</v>
      </c>
      <c r="E83" s="15">
        <v>20</v>
      </c>
      <c r="F83" s="16"/>
      <c r="G83" s="1">
        <v>81</v>
      </c>
      <c r="H83" s="15">
        <v>7</v>
      </c>
      <c r="I83" s="16"/>
      <c r="J83" s="1">
        <v>81</v>
      </c>
      <c r="K83" s="15">
        <v>13</v>
      </c>
      <c r="L83" s="15"/>
      <c r="M83" s="1">
        <v>81</v>
      </c>
      <c r="N83" s="17">
        <v>0.7</v>
      </c>
      <c r="O83" s="17"/>
      <c r="P83" s="1">
        <v>81</v>
      </c>
      <c r="Q83" s="15">
        <v>1</v>
      </c>
      <c r="R83" s="15"/>
      <c r="S83" s="1">
        <v>81</v>
      </c>
      <c r="T83" s="15">
        <v>23</v>
      </c>
      <c r="U83" s="3"/>
      <c r="V83" s="1">
        <v>81</v>
      </c>
      <c r="W83" s="7">
        <f t="shared" si="20"/>
        <v>4</v>
      </c>
      <c r="X83" s="7">
        <f t="shared" si="21"/>
        <v>4</v>
      </c>
      <c r="Y83" s="7">
        <f t="shared" si="22"/>
        <v>3</v>
      </c>
      <c r="Z83" s="7">
        <f t="shared" si="23"/>
        <v>3</v>
      </c>
      <c r="AA83" s="7">
        <f t="shared" si="24"/>
        <v>4</v>
      </c>
      <c r="AB83" s="13"/>
      <c r="AG83" s="1"/>
      <c r="AI83" s="12"/>
      <c r="AJ83" s="3"/>
      <c r="AK83" s="1">
        <v>81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3"/>
      <c r="AR83" s="1">
        <v>81</v>
      </c>
      <c r="AS83" s="7">
        <v>0</v>
      </c>
      <c r="AT83" s="7">
        <v>1</v>
      </c>
      <c r="AU83" s="7">
        <v>0</v>
      </c>
      <c r="AV83" s="7">
        <v>0</v>
      </c>
      <c r="AW83" s="7">
        <v>0</v>
      </c>
      <c r="AX83" s="3"/>
      <c r="AY83" s="1">
        <v>81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3"/>
      <c r="BF83" s="1">
        <v>81</v>
      </c>
      <c r="BG83" s="7">
        <v>0</v>
      </c>
      <c r="BH83" s="7">
        <v>0</v>
      </c>
      <c r="BI83" s="7">
        <v>0</v>
      </c>
      <c r="BJ83" s="7">
        <v>0</v>
      </c>
      <c r="BK83" s="23">
        <v>0</v>
      </c>
      <c r="BM83" s="12"/>
      <c r="BN83" s="1">
        <v>81</v>
      </c>
      <c r="BO83" s="7">
        <f t="shared" si="25"/>
        <v>0</v>
      </c>
      <c r="BP83" s="7">
        <f t="shared" si="26"/>
        <v>1</v>
      </c>
      <c r="BQ83" s="7">
        <f t="shared" si="27"/>
        <v>0</v>
      </c>
      <c r="BR83" s="7">
        <f t="shared" si="28"/>
        <v>0</v>
      </c>
      <c r="BS83" s="7">
        <f t="shared" si="29"/>
        <v>0</v>
      </c>
      <c r="BT83" s="3"/>
      <c r="BU83" s="1">
        <v>81</v>
      </c>
      <c r="BV83" s="7">
        <f t="shared" si="30"/>
        <v>0</v>
      </c>
      <c r="BW83" s="7">
        <f t="shared" si="31"/>
        <v>2</v>
      </c>
      <c r="BX83" s="7">
        <f t="shared" si="32"/>
        <v>0</v>
      </c>
      <c r="BY83" s="7">
        <f t="shared" si="33"/>
        <v>0</v>
      </c>
      <c r="BZ83" s="7">
        <f t="shared" si="34"/>
        <v>0</v>
      </c>
      <c r="CA83" s="3"/>
      <c r="CB83" s="1">
        <v>81</v>
      </c>
      <c r="CC83" s="1">
        <f t="shared" si="35"/>
        <v>0</v>
      </c>
      <c r="CD83" s="1">
        <f t="shared" si="36"/>
        <v>1.6245047927124709</v>
      </c>
      <c r="CE83" s="1">
        <f t="shared" si="37"/>
        <v>0</v>
      </c>
      <c r="CF83" s="1">
        <f t="shared" si="38"/>
        <v>0</v>
      </c>
      <c r="CG83" s="22">
        <f t="shared" si="39"/>
        <v>0</v>
      </c>
    </row>
    <row r="84" spans="1:85" x14ac:dyDescent="0.3">
      <c r="A84" s="14">
        <v>82</v>
      </c>
      <c r="B84" s="15">
        <v>7</v>
      </c>
      <c r="C84" s="16"/>
      <c r="D84" s="1">
        <v>82</v>
      </c>
      <c r="E84" s="15">
        <v>25</v>
      </c>
      <c r="F84" s="16"/>
      <c r="G84" s="1">
        <v>82</v>
      </c>
      <c r="H84" s="15">
        <v>3</v>
      </c>
      <c r="I84" s="16"/>
      <c r="J84" s="1">
        <v>82</v>
      </c>
      <c r="K84" s="15">
        <v>3</v>
      </c>
      <c r="L84" s="15"/>
      <c r="M84" s="1">
        <v>82</v>
      </c>
      <c r="N84" s="17">
        <v>0.3</v>
      </c>
      <c r="O84" s="17"/>
      <c r="P84" s="1">
        <v>82</v>
      </c>
      <c r="Q84" s="15">
        <v>3</v>
      </c>
      <c r="R84" s="15"/>
      <c r="S84" s="1">
        <v>82</v>
      </c>
      <c r="T84" s="15">
        <v>22</v>
      </c>
      <c r="U84" s="3"/>
      <c r="V84" s="1">
        <v>82</v>
      </c>
      <c r="W84" s="7">
        <f t="shared" si="20"/>
        <v>11</v>
      </c>
      <c r="X84" s="7">
        <f t="shared" si="21"/>
        <v>10</v>
      </c>
      <c r="Y84" s="7">
        <f t="shared" si="22"/>
        <v>8</v>
      </c>
      <c r="Z84" s="7">
        <f t="shared" si="23"/>
        <v>9</v>
      </c>
      <c r="AA84" s="7">
        <f t="shared" si="24"/>
        <v>9</v>
      </c>
      <c r="AB84" s="13"/>
      <c r="AG84" s="1"/>
      <c r="AI84" s="12"/>
      <c r="AJ84" s="3"/>
      <c r="AK84" s="1">
        <v>82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3"/>
      <c r="AR84" s="1">
        <v>82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3"/>
      <c r="AY84" s="1">
        <v>82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3"/>
      <c r="BF84" s="1">
        <v>82</v>
      </c>
      <c r="BG84" s="7">
        <v>0</v>
      </c>
      <c r="BH84" s="7">
        <v>0</v>
      </c>
      <c r="BI84" s="7">
        <v>0</v>
      </c>
      <c r="BJ84" s="7">
        <v>0</v>
      </c>
      <c r="BK84" s="23">
        <v>0</v>
      </c>
      <c r="BM84" s="12"/>
      <c r="BN84" s="1">
        <v>82</v>
      </c>
      <c r="BO84" s="7">
        <f t="shared" si="25"/>
        <v>0</v>
      </c>
      <c r="BP84" s="7">
        <f t="shared" si="26"/>
        <v>0</v>
      </c>
      <c r="BQ84" s="7">
        <f t="shared" si="27"/>
        <v>0</v>
      </c>
      <c r="BR84" s="7">
        <f t="shared" si="28"/>
        <v>0</v>
      </c>
      <c r="BS84" s="7">
        <f t="shared" si="29"/>
        <v>0</v>
      </c>
      <c r="BT84" s="3"/>
      <c r="BU84" s="1">
        <v>82</v>
      </c>
      <c r="BV84" s="7">
        <f t="shared" si="30"/>
        <v>0</v>
      </c>
      <c r="BW84" s="7">
        <f t="shared" si="31"/>
        <v>0</v>
      </c>
      <c r="BX84" s="7">
        <f t="shared" si="32"/>
        <v>0</v>
      </c>
      <c r="BY84" s="7">
        <f t="shared" si="33"/>
        <v>0</v>
      </c>
      <c r="BZ84" s="7">
        <f t="shared" si="34"/>
        <v>0</v>
      </c>
      <c r="CA84" s="3"/>
      <c r="CB84" s="1">
        <v>82</v>
      </c>
      <c r="CC84" s="1">
        <f t="shared" si="35"/>
        <v>0</v>
      </c>
      <c r="CD84" s="1">
        <f t="shared" si="36"/>
        <v>0</v>
      </c>
      <c r="CE84" s="1">
        <f t="shared" si="37"/>
        <v>0</v>
      </c>
      <c r="CF84" s="1">
        <f t="shared" si="38"/>
        <v>0</v>
      </c>
      <c r="CG84" s="22">
        <f t="shared" si="39"/>
        <v>0</v>
      </c>
    </row>
    <row r="85" spans="1:85" x14ac:dyDescent="0.3">
      <c r="A85" s="14">
        <v>83</v>
      </c>
      <c r="B85" s="15">
        <v>9</v>
      </c>
      <c r="C85" s="16"/>
      <c r="D85" s="1">
        <v>83</v>
      </c>
      <c r="E85" s="15">
        <v>16</v>
      </c>
      <c r="F85" s="16"/>
      <c r="G85" s="1">
        <v>83</v>
      </c>
      <c r="H85" s="15">
        <v>3</v>
      </c>
      <c r="I85" s="16"/>
      <c r="J85" s="1">
        <v>83</v>
      </c>
      <c r="K85" s="15">
        <v>12</v>
      </c>
      <c r="L85" s="15"/>
      <c r="M85" s="1">
        <v>83</v>
      </c>
      <c r="N85" s="17">
        <v>0.9</v>
      </c>
      <c r="O85" s="17"/>
      <c r="P85" s="1">
        <v>83</v>
      </c>
      <c r="Q85" s="15">
        <v>3</v>
      </c>
      <c r="R85" s="15"/>
      <c r="S85" s="1">
        <v>83</v>
      </c>
      <c r="T85" s="15">
        <v>20</v>
      </c>
      <c r="U85" s="3"/>
      <c r="V85" s="1">
        <v>83</v>
      </c>
      <c r="W85" s="7">
        <f t="shared" si="20"/>
        <v>11</v>
      </c>
      <c r="X85" s="7">
        <f t="shared" si="21"/>
        <v>10</v>
      </c>
      <c r="Y85" s="7">
        <f t="shared" si="22"/>
        <v>8</v>
      </c>
      <c r="Z85" s="7">
        <f t="shared" si="23"/>
        <v>9</v>
      </c>
      <c r="AA85" s="7">
        <f t="shared" si="24"/>
        <v>9</v>
      </c>
      <c r="AB85" s="13"/>
      <c r="AG85" s="1"/>
      <c r="AI85" s="12"/>
      <c r="AJ85" s="3"/>
      <c r="AK85" s="1">
        <v>83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3"/>
      <c r="AR85" s="1">
        <v>83</v>
      </c>
      <c r="AS85" s="7">
        <v>0</v>
      </c>
      <c r="AT85" s="7">
        <v>0</v>
      </c>
      <c r="AU85" s="7">
        <v>1</v>
      </c>
      <c r="AV85" s="7">
        <v>0</v>
      </c>
      <c r="AW85" s="7">
        <v>0</v>
      </c>
      <c r="AX85" s="3"/>
      <c r="AY85" s="1">
        <v>83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3"/>
      <c r="BF85" s="1">
        <v>83</v>
      </c>
      <c r="BG85" s="7">
        <v>0</v>
      </c>
      <c r="BH85" s="7">
        <v>0</v>
      </c>
      <c r="BI85" s="7">
        <v>0</v>
      </c>
      <c r="BJ85" s="7">
        <v>0</v>
      </c>
      <c r="BK85" s="23">
        <v>0</v>
      </c>
      <c r="BM85" s="12"/>
      <c r="BN85" s="1">
        <v>83</v>
      </c>
      <c r="BO85" s="7">
        <f t="shared" si="25"/>
        <v>0</v>
      </c>
      <c r="BP85" s="7">
        <f t="shared" si="26"/>
        <v>0</v>
      </c>
      <c r="BQ85" s="7">
        <f t="shared" si="27"/>
        <v>1</v>
      </c>
      <c r="BR85" s="7">
        <f t="shared" si="28"/>
        <v>0</v>
      </c>
      <c r="BS85" s="7">
        <f t="shared" si="29"/>
        <v>0</v>
      </c>
      <c r="BT85" s="3"/>
      <c r="BU85" s="1">
        <v>83</v>
      </c>
      <c r="BV85" s="7">
        <f t="shared" si="30"/>
        <v>0</v>
      </c>
      <c r="BW85" s="7">
        <f t="shared" si="31"/>
        <v>0</v>
      </c>
      <c r="BX85" s="7">
        <f t="shared" si="32"/>
        <v>2</v>
      </c>
      <c r="BY85" s="7">
        <f t="shared" si="33"/>
        <v>0</v>
      </c>
      <c r="BZ85" s="7">
        <f t="shared" si="34"/>
        <v>0</v>
      </c>
      <c r="CA85" s="3"/>
      <c r="CB85" s="1">
        <v>83</v>
      </c>
      <c r="CC85" s="1">
        <f t="shared" si="35"/>
        <v>0</v>
      </c>
      <c r="CD85" s="1">
        <f t="shared" si="36"/>
        <v>0</v>
      </c>
      <c r="CE85" s="1">
        <f t="shared" si="37"/>
        <v>1.8660659830736148</v>
      </c>
      <c r="CF85" s="1">
        <f t="shared" si="38"/>
        <v>0</v>
      </c>
      <c r="CG85" s="22">
        <f t="shared" si="39"/>
        <v>0</v>
      </c>
    </row>
    <row r="86" spans="1:85" x14ac:dyDescent="0.3">
      <c r="A86" s="14">
        <v>84</v>
      </c>
      <c r="B86" s="15">
        <v>12</v>
      </c>
      <c r="C86" s="16"/>
      <c r="D86" s="1">
        <v>84</v>
      </c>
      <c r="E86" s="15">
        <v>17</v>
      </c>
      <c r="F86" s="16"/>
      <c r="G86" s="1">
        <v>84</v>
      </c>
      <c r="H86" s="15">
        <v>6</v>
      </c>
      <c r="I86" s="16"/>
      <c r="J86" s="1">
        <v>84</v>
      </c>
      <c r="K86" s="15">
        <v>14</v>
      </c>
      <c r="L86" s="15"/>
      <c r="M86" s="1">
        <v>84</v>
      </c>
      <c r="N86" s="17">
        <v>0.9</v>
      </c>
      <c r="O86" s="17"/>
      <c r="P86" s="1">
        <v>84</v>
      </c>
      <c r="Q86" s="15">
        <v>5</v>
      </c>
      <c r="R86" s="15"/>
      <c r="S86" s="1">
        <v>84</v>
      </c>
      <c r="T86" s="15">
        <v>16</v>
      </c>
      <c r="U86" s="3"/>
      <c r="V86" s="1">
        <v>84</v>
      </c>
      <c r="W86" s="7">
        <f t="shared" si="20"/>
        <v>5</v>
      </c>
      <c r="X86" s="7">
        <f t="shared" si="21"/>
        <v>5</v>
      </c>
      <c r="Y86" s="7">
        <f t="shared" si="22"/>
        <v>4</v>
      </c>
      <c r="Z86" s="7">
        <f t="shared" si="23"/>
        <v>4</v>
      </c>
      <c r="AA86" s="7">
        <f t="shared" si="24"/>
        <v>4</v>
      </c>
      <c r="AB86" s="13"/>
      <c r="AG86" s="1"/>
      <c r="AI86" s="12"/>
      <c r="AJ86" s="3"/>
      <c r="AK86" s="1">
        <v>84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3"/>
      <c r="AR86" s="1">
        <v>84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3"/>
      <c r="AY86" s="1">
        <v>84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3"/>
      <c r="BF86" s="1">
        <v>84</v>
      </c>
      <c r="BG86" s="7">
        <v>0</v>
      </c>
      <c r="BH86" s="7">
        <v>0</v>
      </c>
      <c r="BI86" s="7">
        <v>1</v>
      </c>
      <c r="BJ86" s="7">
        <v>0</v>
      </c>
      <c r="BK86" s="23">
        <v>0</v>
      </c>
      <c r="BM86" s="12"/>
      <c r="BN86" s="1">
        <v>84</v>
      </c>
      <c r="BO86" s="7">
        <f t="shared" si="25"/>
        <v>0</v>
      </c>
      <c r="BP86" s="7">
        <f t="shared" si="26"/>
        <v>0</v>
      </c>
      <c r="BQ86" s="7">
        <f t="shared" si="27"/>
        <v>1</v>
      </c>
      <c r="BR86" s="7">
        <f t="shared" si="28"/>
        <v>0</v>
      </c>
      <c r="BS86" s="7">
        <f t="shared" si="29"/>
        <v>0</v>
      </c>
      <c r="BT86" s="3"/>
      <c r="BU86" s="1">
        <v>84</v>
      </c>
      <c r="BV86" s="7">
        <f t="shared" si="30"/>
        <v>0</v>
      </c>
      <c r="BW86" s="7">
        <f t="shared" si="31"/>
        <v>0</v>
      </c>
      <c r="BX86" s="7">
        <f t="shared" si="32"/>
        <v>4</v>
      </c>
      <c r="BY86" s="7">
        <f t="shared" si="33"/>
        <v>0</v>
      </c>
      <c r="BZ86" s="7">
        <f t="shared" si="34"/>
        <v>0</v>
      </c>
      <c r="CA86" s="3"/>
      <c r="CB86" s="1">
        <v>84</v>
      </c>
      <c r="CC86" s="1">
        <f t="shared" si="35"/>
        <v>0</v>
      </c>
      <c r="CD86" s="1">
        <f t="shared" si="36"/>
        <v>0</v>
      </c>
      <c r="CE86" s="1">
        <f t="shared" si="37"/>
        <v>3.4822022531844965</v>
      </c>
      <c r="CF86" s="1">
        <f t="shared" si="38"/>
        <v>0</v>
      </c>
      <c r="CG86" s="22">
        <f t="shared" si="39"/>
        <v>0</v>
      </c>
    </row>
    <row r="87" spans="1:85" x14ac:dyDescent="0.3">
      <c r="A87" s="14">
        <v>85</v>
      </c>
      <c r="B87" s="15">
        <v>6</v>
      </c>
      <c r="C87" s="16"/>
      <c r="D87" s="1">
        <v>85</v>
      </c>
      <c r="E87" s="15">
        <v>21</v>
      </c>
      <c r="F87" s="16"/>
      <c r="G87" s="1">
        <v>85</v>
      </c>
      <c r="H87" s="15">
        <v>4</v>
      </c>
      <c r="I87" s="16"/>
      <c r="J87" s="1">
        <v>85</v>
      </c>
      <c r="K87" s="15">
        <v>11</v>
      </c>
      <c r="L87" s="15"/>
      <c r="M87" s="1">
        <v>85</v>
      </c>
      <c r="N87" s="17">
        <v>0.5</v>
      </c>
      <c r="O87" s="17"/>
      <c r="P87" s="1">
        <v>85</v>
      </c>
      <c r="Q87" s="15">
        <v>4</v>
      </c>
      <c r="R87" s="15"/>
      <c r="S87" s="1">
        <v>85</v>
      </c>
      <c r="T87" s="15">
        <v>25</v>
      </c>
      <c r="U87" s="3"/>
      <c r="V87" s="1">
        <v>85</v>
      </c>
      <c r="W87" s="7">
        <f t="shared" si="20"/>
        <v>8</v>
      </c>
      <c r="X87" s="7">
        <f t="shared" si="21"/>
        <v>7</v>
      </c>
      <c r="Y87" s="7">
        <f t="shared" si="22"/>
        <v>6</v>
      </c>
      <c r="Z87" s="7">
        <f t="shared" si="23"/>
        <v>6</v>
      </c>
      <c r="AA87" s="7">
        <f t="shared" si="24"/>
        <v>7</v>
      </c>
      <c r="AB87" s="13"/>
      <c r="AG87" s="1"/>
      <c r="AI87" s="12"/>
      <c r="AJ87" s="3"/>
      <c r="AK87" s="1">
        <v>85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3"/>
      <c r="AR87" s="1">
        <v>85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3"/>
      <c r="AY87" s="1">
        <v>85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3"/>
      <c r="BF87" s="1">
        <v>85</v>
      </c>
      <c r="BG87" s="7">
        <v>0</v>
      </c>
      <c r="BH87" s="7">
        <v>0</v>
      </c>
      <c r="BI87" s="7">
        <v>0</v>
      </c>
      <c r="BJ87" s="7">
        <v>0</v>
      </c>
      <c r="BK87" s="23">
        <v>0</v>
      </c>
      <c r="BM87" s="12"/>
      <c r="BN87" s="1">
        <v>85</v>
      </c>
      <c r="BO87" s="7">
        <f t="shared" si="25"/>
        <v>0</v>
      </c>
      <c r="BP87" s="7">
        <f t="shared" si="26"/>
        <v>0</v>
      </c>
      <c r="BQ87" s="7">
        <f t="shared" si="27"/>
        <v>0</v>
      </c>
      <c r="BR87" s="7">
        <f t="shared" si="28"/>
        <v>0</v>
      </c>
      <c r="BS87" s="7">
        <f t="shared" si="29"/>
        <v>0</v>
      </c>
      <c r="BT87" s="3"/>
      <c r="BU87" s="1">
        <v>85</v>
      </c>
      <c r="BV87" s="7">
        <f t="shared" si="30"/>
        <v>0</v>
      </c>
      <c r="BW87" s="7">
        <f t="shared" si="31"/>
        <v>0</v>
      </c>
      <c r="BX87" s="7">
        <f t="shared" si="32"/>
        <v>0</v>
      </c>
      <c r="BY87" s="7">
        <f t="shared" si="33"/>
        <v>0</v>
      </c>
      <c r="BZ87" s="7">
        <f t="shared" si="34"/>
        <v>0</v>
      </c>
      <c r="CA87" s="3"/>
      <c r="CB87" s="1">
        <v>85</v>
      </c>
      <c r="CC87" s="1">
        <f t="shared" si="35"/>
        <v>0</v>
      </c>
      <c r="CD87" s="1">
        <f t="shared" si="36"/>
        <v>0</v>
      </c>
      <c r="CE87" s="1">
        <f t="shared" si="37"/>
        <v>0</v>
      </c>
      <c r="CF87" s="1">
        <f t="shared" si="38"/>
        <v>0</v>
      </c>
      <c r="CG87" s="22">
        <f t="shared" si="39"/>
        <v>0</v>
      </c>
    </row>
    <row r="88" spans="1:85" x14ac:dyDescent="0.3">
      <c r="A88" s="14">
        <v>86</v>
      </c>
      <c r="B88" s="15">
        <v>11</v>
      </c>
      <c r="C88" s="16"/>
      <c r="D88" s="1">
        <v>86</v>
      </c>
      <c r="E88" s="15">
        <v>16</v>
      </c>
      <c r="F88" s="16"/>
      <c r="G88" s="1">
        <v>86</v>
      </c>
      <c r="H88" s="15">
        <v>2</v>
      </c>
      <c r="I88" s="16"/>
      <c r="J88" s="1">
        <v>86</v>
      </c>
      <c r="K88" s="15">
        <v>4</v>
      </c>
      <c r="L88" s="15"/>
      <c r="M88" s="1">
        <v>86</v>
      </c>
      <c r="N88" s="17">
        <v>0.4</v>
      </c>
      <c r="O88" s="17"/>
      <c r="P88" s="1">
        <v>86</v>
      </c>
      <c r="Q88" s="15">
        <v>3</v>
      </c>
      <c r="R88" s="15"/>
      <c r="S88" s="1">
        <v>86</v>
      </c>
      <c r="T88" s="15">
        <v>17</v>
      </c>
      <c r="U88" s="3"/>
      <c r="V88" s="1">
        <v>86</v>
      </c>
      <c r="W88" s="7">
        <f t="shared" si="20"/>
        <v>17</v>
      </c>
      <c r="X88" s="7">
        <f t="shared" si="21"/>
        <v>15</v>
      </c>
      <c r="Y88" s="7">
        <f t="shared" si="22"/>
        <v>13</v>
      </c>
      <c r="Z88" s="7">
        <f t="shared" si="23"/>
        <v>13</v>
      </c>
      <c r="AA88" s="7">
        <f t="shared" si="24"/>
        <v>14</v>
      </c>
      <c r="AB88" s="13"/>
      <c r="AG88" s="1"/>
      <c r="AI88" s="12"/>
      <c r="AJ88" s="3"/>
      <c r="AK88" s="1">
        <v>86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3"/>
      <c r="AR88" s="1">
        <v>86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3"/>
      <c r="AY88" s="1">
        <v>86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3"/>
      <c r="BF88" s="1">
        <v>86</v>
      </c>
      <c r="BG88" s="7">
        <v>0</v>
      </c>
      <c r="BH88" s="7">
        <v>0</v>
      </c>
      <c r="BI88" s="7">
        <v>0</v>
      </c>
      <c r="BJ88" s="7">
        <v>0</v>
      </c>
      <c r="BK88" s="23">
        <v>0</v>
      </c>
      <c r="BM88" s="12"/>
      <c r="BN88" s="1">
        <v>86</v>
      </c>
      <c r="BO88" s="7">
        <f t="shared" si="25"/>
        <v>0</v>
      </c>
      <c r="BP88" s="7">
        <f t="shared" si="26"/>
        <v>0</v>
      </c>
      <c r="BQ88" s="7">
        <f t="shared" si="27"/>
        <v>0</v>
      </c>
      <c r="BR88" s="7">
        <f t="shared" si="28"/>
        <v>0</v>
      </c>
      <c r="BS88" s="7">
        <f t="shared" si="29"/>
        <v>0</v>
      </c>
      <c r="BT88" s="3"/>
      <c r="BU88" s="1">
        <v>86</v>
      </c>
      <c r="BV88" s="7">
        <f t="shared" si="30"/>
        <v>0</v>
      </c>
      <c r="BW88" s="7">
        <f t="shared" si="31"/>
        <v>0</v>
      </c>
      <c r="BX88" s="7">
        <f t="shared" si="32"/>
        <v>0</v>
      </c>
      <c r="BY88" s="7">
        <f t="shared" si="33"/>
        <v>0</v>
      </c>
      <c r="BZ88" s="7">
        <f t="shared" si="34"/>
        <v>0</v>
      </c>
      <c r="CA88" s="3"/>
      <c r="CB88" s="1">
        <v>86</v>
      </c>
      <c r="CC88" s="1">
        <f t="shared" si="35"/>
        <v>0</v>
      </c>
      <c r="CD88" s="1">
        <f t="shared" si="36"/>
        <v>0</v>
      </c>
      <c r="CE88" s="1">
        <f t="shared" si="37"/>
        <v>0</v>
      </c>
      <c r="CF88" s="1">
        <f t="shared" si="38"/>
        <v>0</v>
      </c>
      <c r="CG88" s="22">
        <f t="shared" si="39"/>
        <v>0</v>
      </c>
    </row>
    <row r="89" spans="1:85" x14ac:dyDescent="0.3">
      <c r="A89" s="14">
        <v>87</v>
      </c>
      <c r="B89" s="15">
        <v>7</v>
      </c>
      <c r="C89" s="16"/>
      <c r="D89" s="1">
        <v>87</v>
      </c>
      <c r="E89" s="15">
        <v>17</v>
      </c>
      <c r="F89" s="16"/>
      <c r="G89" s="1">
        <v>87</v>
      </c>
      <c r="H89" s="15">
        <v>7</v>
      </c>
      <c r="I89" s="16"/>
      <c r="J89" s="1">
        <v>87</v>
      </c>
      <c r="K89" s="15">
        <v>10</v>
      </c>
      <c r="L89" s="15"/>
      <c r="M89" s="1">
        <v>87</v>
      </c>
      <c r="N89" s="17">
        <v>0.1</v>
      </c>
      <c r="O89" s="17"/>
      <c r="P89" s="1">
        <v>87</v>
      </c>
      <c r="Q89" s="15">
        <v>3</v>
      </c>
      <c r="R89" s="15"/>
      <c r="S89" s="1">
        <v>87</v>
      </c>
      <c r="T89" s="15">
        <v>18</v>
      </c>
      <c r="U89" s="3"/>
      <c r="V89" s="1">
        <v>87</v>
      </c>
      <c r="W89" s="7">
        <f t="shared" si="20"/>
        <v>4</v>
      </c>
      <c r="X89" s="7">
        <f t="shared" si="21"/>
        <v>4</v>
      </c>
      <c r="Y89" s="7">
        <f t="shared" si="22"/>
        <v>3</v>
      </c>
      <c r="Z89" s="7">
        <f t="shared" si="23"/>
        <v>3</v>
      </c>
      <c r="AA89" s="7">
        <f t="shared" si="24"/>
        <v>4</v>
      </c>
      <c r="AB89" s="13"/>
      <c r="AG89" s="1"/>
      <c r="AI89" s="12"/>
      <c r="AJ89" s="3"/>
      <c r="AK89" s="1">
        <v>87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3"/>
      <c r="AR89" s="1">
        <v>87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3"/>
      <c r="AY89" s="1">
        <v>87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3"/>
      <c r="BF89" s="1">
        <v>87</v>
      </c>
      <c r="BG89" s="7">
        <v>0</v>
      </c>
      <c r="BH89" s="7">
        <v>0</v>
      </c>
      <c r="BI89" s="7">
        <v>0</v>
      </c>
      <c r="BJ89" s="7">
        <v>0</v>
      </c>
      <c r="BK89" s="23">
        <v>0</v>
      </c>
      <c r="BM89" s="12"/>
      <c r="BN89" s="1">
        <v>87</v>
      </c>
      <c r="BO89" s="7">
        <f t="shared" si="25"/>
        <v>0</v>
      </c>
      <c r="BP89" s="7">
        <f t="shared" si="26"/>
        <v>0</v>
      </c>
      <c r="BQ89" s="7">
        <f t="shared" si="27"/>
        <v>0</v>
      </c>
      <c r="BR89" s="7">
        <f t="shared" si="28"/>
        <v>0</v>
      </c>
      <c r="BS89" s="7">
        <f t="shared" si="29"/>
        <v>0</v>
      </c>
      <c r="BT89" s="3"/>
      <c r="BU89" s="1">
        <v>87</v>
      </c>
      <c r="BV89" s="7">
        <f t="shared" si="30"/>
        <v>0</v>
      </c>
      <c r="BW89" s="7">
        <f t="shared" si="31"/>
        <v>0</v>
      </c>
      <c r="BX89" s="7">
        <f t="shared" si="32"/>
        <v>0</v>
      </c>
      <c r="BY89" s="7">
        <f t="shared" si="33"/>
        <v>0</v>
      </c>
      <c r="BZ89" s="7">
        <f t="shared" si="34"/>
        <v>0</v>
      </c>
      <c r="CA89" s="3"/>
      <c r="CB89" s="1">
        <v>87</v>
      </c>
      <c r="CC89" s="1">
        <f t="shared" si="35"/>
        <v>0</v>
      </c>
      <c r="CD89" s="1">
        <f t="shared" si="36"/>
        <v>0</v>
      </c>
      <c r="CE89" s="1">
        <f t="shared" si="37"/>
        <v>0</v>
      </c>
      <c r="CF89" s="1">
        <f t="shared" si="38"/>
        <v>0</v>
      </c>
      <c r="CG89" s="22">
        <f t="shared" si="39"/>
        <v>0</v>
      </c>
    </row>
    <row r="90" spans="1:85" x14ac:dyDescent="0.3">
      <c r="A90" s="14">
        <v>88</v>
      </c>
      <c r="B90" s="15">
        <v>10</v>
      </c>
      <c r="C90" s="16"/>
      <c r="D90" s="1">
        <v>88</v>
      </c>
      <c r="E90" s="15">
        <v>17</v>
      </c>
      <c r="F90" s="16"/>
      <c r="G90" s="1">
        <v>88</v>
      </c>
      <c r="H90" s="15">
        <v>4</v>
      </c>
      <c r="I90" s="16"/>
      <c r="J90" s="1">
        <v>88</v>
      </c>
      <c r="K90" s="15">
        <v>13</v>
      </c>
      <c r="L90" s="15"/>
      <c r="M90" s="1">
        <v>88</v>
      </c>
      <c r="N90" s="17">
        <v>0.3</v>
      </c>
      <c r="O90" s="17"/>
      <c r="P90" s="1">
        <v>88</v>
      </c>
      <c r="Q90" s="15">
        <v>3</v>
      </c>
      <c r="R90" s="15"/>
      <c r="S90" s="1">
        <v>88</v>
      </c>
      <c r="T90" s="15">
        <v>15</v>
      </c>
      <c r="U90" s="3"/>
      <c r="V90" s="1">
        <v>88</v>
      </c>
      <c r="W90" s="7">
        <f t="shared" si="20"/>
        <v>8</v>
      </c>
      <c r="X90" s="7">
        <f t="shared" si="21"/>
        <v>7</v>
      </c>
      <c r="Y90" s="7">
        <f t="shared" si="22"/>
        <v>6</v>
      </c>
      <c r="Z90" s="7">
        <f t="shared" si="23"/>
        <v>6</v>
      </c>
      <c r="AA90" s="7">
        <f t="shared" si="24"/>
        <v>7</v>
      </c>
      <c r="AB90" s="13"/>
      <c r="AG90" s="1"/>
      <c r="AI90" s="12"/>
      <c r="AJ90" s="3"/>
      <c r="AK90" s="1">
        <v>88</v>
      </c>
      <c r="AL90" s="7">
        <v>1</v>
      </c>
      <c r="AM90" s="7">
        <v>0</v>
      </c>
      <c r="AN90" s="7">
        <v>0</v>
      </c>
      <c r="AO90" s="7">
        <v>0</v>
      </c>
      <c r="AP90" s="7">
        <v>0</v>
      </c>
      <c r="AQ90" s="3"/>
      <c r="AR90" s="1">
        <v>88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3"/>
      <c r="AY90" s="1">
        <v>88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3"/>
      <c r="BF90" s="1">
        <v>88</v>
      </c>
      <c r="BG90" s="7">
        <v>0</v>
      </c>
      <c r="BH90" s="7">
        <v>0</v>
      </c>
      <c r="BI90" s="7">
        <v>0</v>
      </c>
      <c r="BJ90" s="7">
        <v>0</v>
      </c>
      <c r="BK90" s="23">
        <v>0</v>
      </c>
      <c r="BM90" s="12"/>
      <c r="BN90" s="1">
        <v>88</v>
      </c>
      <c r="BO90" s="7">
        <f t="shared" si="25"/>
        <v>1</v>
      </c>
      <c r="BP90" s="7">
        <f t="shared" si="26"/>
        <v>0</v>
      </c>
      <c r="BQ90" s="7">
        <f t="shared" si="27"/>
        <v>0</v>
      </c>
      <c r="BR90" s="7">
        <f t="shared" si="28"/>
        <v>0</v>
      </c>
      <c r="BS90" s="7">
        <f t="shared" si="29"/>
        <v>0</v>
      </c>
      <c r="BT90" s="3"/>
      <c r="BU90" s="1">
        <v>88</v>
      </c>
      <c r="BV90" s="7">
        <f t="shared" si="30"/>
        <v>1</v>
      </c>
      <c r="BW90" s="7">
        <f t="shared" si="31"/>
        <v>0</v>
      </c>
      <c r="BX90" s="7">
        <f t="shared" si="32"/>
        <v>0</v>
      </c>
      <c r="BY90" s="7">
        <f t="shared" si="33"/>
        <v>0</v>
      </c>
      <c r="BZ90" s="7">
        <f t="shared" si="34"/>
        <v>0</v>
      </c>
      <c r="CA90" s="3"/>
      <c r="CB90" s="1">
        <v>88</v>
      </c>
      <c r="CC90" s="1">
        <f t="shared" si="35"/>
        <v>1</v>
      </c>
      <c r="CD90" s="1">
        <f t="shared" si="36"/>
        <v>0</v>
      </c>
      <c r="CE90" s="1">
        <f t="shared" si="37"/>
        <v>0</v>
      </c>
      <c r="CF90" s="1">
        <f t="shared" si="38"/>
        <v>0</v>
      </c>
      <c r="CG90" s="22">
        <f t="shared" si="39"/>
        <v>0</v>
      </c>
    </row>
    <row r="91" spans="1:85" x14ac:dyDescent="0.3">
      <c r="A91" s="14">
        <v>89</v>
      </c>
      <c r="B91" s="15">
        <v>7</v>
      </c>
      <c r="C91" s="16"/>
      <c r="D91" s="1">
        <v>89</v>
      </c>
      <c r="E91" s="15">
        <v>19</v>
      </c>
      <c r="F91" s="16"/>
      <c r="G91" s="1">
        <v>89</v>
      </c>
      <c r="H91" s="15">
        <v>8</v>
      </c>
      <c r="I91" s="16"/>
      <c r="J91" s="1">
        <v>89</v>
      </c>
      <c r="K91" s="15">
        <v>8</v>
      </c>
      <c r="L91" s="15"/>
      <c r="M91" s="1">
        <v>89</v>
      </c>
      <c r="N91" s="17">
        <v>0.6</v>
      </c>
      <c r="O91" s="17"/>
      <c r="P91" s="1">
        <v>89</v>
      </c>
      <c r="Q91" s="15">
        <v>3</v>
      </c>
      <c r="R91" s="15"/>
      <c r="S91" s="1">
        <v>89</v>
      </c>
      <c r="T91" s="15">
        <v>19</v>
      </c>
      <c r="U91" s="3"/>
      <c r="V91" s="1">
        <v>89</v>
      </c>
      <c r="W91" s="7">
        <f t="shared" si="20"/>
        <v>4</v>
      </c>
      <c r="X91" s="7">
        <f t="shared" si="21"/>
        <v>3</v>
      </c>
      <c r="Y91" s="7">
        <f t="shared" si="22"/>
        <v>3</v>
      </c>
      <c r="Z91" s="7">
        <f t="shared" si="23"/>
        <v>3</v>
      </c>
      <c r="AA91" s="7">
        <f t="shared" si="24"/>
        <v>3</v>
      </c>
      <c r="AB91" s="13"/>
      <c r="AG91" s="1"/>
      <c r="AI91" s="12"/>
      <c r="AJ91" s="3"/>
      <c r="AK91" s="1">
        <v>89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3"/>
      <c r="AR91" s="1">
        <v>89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3"/>
      <c r="AY91" s="1">
        <v>89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3"/>
      <c r="BF91" s="1">
        <v>89</v>
      </c>
      <c r="BG91" s="7">
        <v>0</v>
      </c>
      <c r="BH91" s="7">
        <v>0</v>
      </c>
      <c r="BI91" s="7">
        <v>0</v>
      </c>
      <c r="BJ91" s="7">
        <v>0</v>
      </c>
      <c r="BK91" s="23">
        <v>0</v>
      </c>
      <c r="BM91" s="12"/>
      <c r="BN91" s="1">
        <v>89</v>
      </c>
      <c r="BO91" s="7">
        <f t="shared" si="25"/>
        <v>0</v>
      </c>
      <c r="BP91" s="7">
        <f t="shared" si="26"/>
        <v>0</v>
      </c>
      <c r="BQ91" s="7">
        <f t="shared" si="27"/>
        <v>0</v>
      </c>
      <c r="BR91" s="7">
        <f t="shared" si="28"/>
        <v>0</v>
      </c>
      <c r="BS91" s="7">
        <f t="shared" si="29"/>
        <v>0</v>
      </c>
      <c r="BT91" s="3"/>
      <c r="BU91" s="1">
        <v>89</v>
      </c>
      <c r="BV91" s="7">
        <f t="shared" si="30"/>
        <v>0</v>
      </c>
      <c r="BW91" s="7">
        <f t="shared" si="31"/>
        <v>0</v>
      </c>
      <c r="BX91" s="7">
        <f t="shared" si="32"/>
        <v>0</v>
      </c>
      <c r="BY91" s="7">
        <f t="shared" si="33"/>
        <v>0</v>
      </c>
      <c r="BZ91" s="7">
        <f t="shared" si="34"/>
        <v>0</v>
      </c>
      <c r="CA91" s="3"/>
      <c r="CB91" s="1">
        <v>89</v>
      </c>
      <c r="CC91" s="1">
        <f t="shared" si="35"/>
        <v>0</v>
      </c>
      <c r="CD91" s="1">
        <f t="shared" si="36"/>
        <v>0</v>
      </c>
      <c r="CE91" s="1">
        <f t="shared" si="37"/>
        <v>0</v>
      </c>
      <c r="CF91" s="1">
        <f t="shared" si="38"/>
        <v>0</v>
      </c>
      <c r="CG91" s="22">
        <f t="shared" si="39"/>
        <v>0</v>
      </c>
    </row>
    <row r="92" spans="1:85" x14ac:dyDescent="0.3">
      <c r="A92" s="14">
        <v>90</v>
      </c>
      <c r="B92" s="15">
        <v>7</v>
      </c>
      <c r="C92" s="16"/>
      <c r="D92" s="1">
        <v>90</v>
      </c>
      <c r="E92" s="15">
        <v>20</v>
      </c>
      <c r="F92" s="16"/>
      <c r="G92" s="1">
        <v>90</v>
      </c>
      <c r="H92" s="15">
        <v>4</v>
      </c>
      <c r="I92" s="16"/>
      <c r="J92" s="1">
        <v>90</v>
      </c>
      <c r="K92" s="15">
        <v>10</v>
      </c>
      <c r="L92" s="15"/>
      <c r="M92" s="1">
        <v>90</v>
      </c>
      <c r="N92" s="17">
        <v>0.4</v>
      </c>
      <c r="O92" s="17"/>
      <c r="P92" s="1">
        <v>90</v>
      </c>
      <c r="Q92" s="15">
        <v>5</v>
      </c>
      <c r="R92" s="15"/>
      <c r="S92" s="1">
        <v>90</v>
      </c>
      <c r="T92" s="15">
        <v>21</v>
      </c>
      <c r="U92" s="3"/>
      <c r="V92" s="1">
        <v>90</v>
      </c>
      <c r="W92" s="7">
        <f t="shared" si="20"/>
        <v>8</v>
      </c>
      <c r="X92" s="7">
        <f t="shared" si="21"/>
        <v>7</v>
      </c>
      <c r="Y92" s="7">
        <f t="shared" si="22"/>
        <v>6</v>
      </c>
      <c r="Z92" s="7">
        <f t="shared" si="23"/>
        <v>6</v>
      </c>
      <c r="AA92" s="7">
        <f t="shared" si="24"/>
        <v>7</v>
      </c>
      <c r="AB92" s="13"/>
      <c r="AG92" s="1"/>
      <c r="AI92" s="12"/>
      <c r="AJ92" s="3"/>
      <c r="AK92" s="1">
        <v>90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3"/>
      <c r="AR92" s="1">
        <v>90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3"/>
      <c r="AY92" s="1">
        <v>90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3"/>
      <c r="BF92" s="1">
        <v>90</v>
      </c>
      <c r="BG92" s="7">
        <v>0</v>
      </c>
      <c r="BH92" s="7">
        <v>0</v>
      </c>
      <c r="BI92" s="7">
        <v>0</v>
      </c>
      <c r="BJ92" s="7">
        <v>0</v>
      </c>
      <c r="BK92" s="23">
        <v>0</v>
      </c>
      <c r="BM92" s="12"/>
      <c r="BN92" s="1">
        <v>90</v>
      </c>
      <c r="BO92" s="7">
        <f t="shared" si="25"/>
        <v>0</v>
      </c>
      <c r="BP92" s="7">
        <f t="shared" si="26"/>
        <v>0</v>
      </c>
      <c r="BQ92" s="7">
        <f t="shared" si="27"/>
        <v>0</v>
      </c>
      <c r="BR92" s="7">
        <f t="shared" si="28"/>
        <v>0</v>
      </c>
      <c r="BS92" s="7">
        <f t="shared" si="29"/>
        <v>0</v>
      </c>
      <c r="BT92" s="3"/>
      <c r="BU92" s="1">
        <v>90</v>
      </c>
      <c r="BV92" s="7">
        <f t="shared" si="30"/>
        <v>0</v>
      </c>
      <c r="BW92" s="7">
        <f t="shared" si="31"/>
        <v>0</v>
      </c>
      <c r="BX92" s="7">
        <f t="shared" si="32"/>
        <v>0</v>
      </c>
      <c r="BY92" s="7">
        <f t="shared" si="33"/>
        <v>0</v>
      </c>
      <c r="BZ92" s="7">
        <f t="shared" si="34"/>
        <v>0</v>
      </c>
      <c r="CA92" s="3"/>
      <c r="CB92" s="1">
        <v>90</v>
      </c>
      <c r="CC92" s="1">
        <f t="shared" si="35"/>
        <v>0</v>
      </c>
      <c r="CD92" s="1">
        <f t="shared" si="36"/>
        <v>0</v>
      </c>
      <c r="CE92" s="1">
        <f t="shared" si="37"/>
        <v>0</v>
      </c>
      <c r="CF92" s="1">
        <f t="shared" si="38"/>
        <v>0</v>
      </c>
      <c r="CG92" s="22">
        <f t="shared" si="39"/>
        <v>0</v>
      </c>
    </row>
    <row r="93" spans="1:85" x14ac:dyDescent="0.3">
      <c r="A93" s="14">
        <v>91</v>
      </c>
      <c r="B93" s="15">
        <v>9</v>
      </c>
      <c r="C93" s="16"/>
      <c r="D93" s="1">
        <v>91</v>
      </c>
      <c r="E93" s="15">
        <v>24</v>
      </c>
      <c r="F93" s="16"/>
      <c r="G93" s="1">
        <v>91</v>
      </c>
      <c r="H93" s="15">
        <v>2</v>
      </c>
      <c r="I93" s="16"/>
      <c r="J93" s="1">
        <v>91</v>
      </c>
      <c r="K93" s="15">
        <v>4</v>
      </c>
      <c r="L93" s="15"/>
      <c r="M93" s="1">
        <v>91</v>
      </c>
      <c r="N93" s="17">
        <v>0.3</v>
      </c>
      <c r="O93" s="17"/>
      <c r="P93" s="1">
        <v>91</v>
      </c>
      <c r="Q93" s="15">
        <v>4</v>
      </c>
      <c r="R93" s="15"/>
      <c r="S93" s="1">
        <v>91</v>
      </c>
      <c r="T93" s="15">
        <v>17</v>
      </c>
      <c r="U93" s="3"/>
      <c r="V93" s="1">
        <v>91</v>
      </c>
      <c r="W93" s="7">
        <f t="shared" si="20"/>
        <v>17</v>
      </c>
      <c r="X93" s="7">
        <f t="shared" si="21"/>
        <v>15</v>
      </c>
      <c r="Y93" s="7">
        <f t="shared" si="22"/>
        <v>13</v>
      </c>
      <c r="Z93" s="7">
        <f t="shared" si="23"/>
        <v>13</v>
      </c>
      <c r="AA93" s="7">
        <f t="shared" si="24"/>
        <v>14</v>
      </c>
      <c r="AB93" s="13"/>
      <c r="AG93" s="1"/>
      <c r="AI93" s="12"/>
      <c r="AJ93" s="3"/>
      <c r="AK93" s="1">
        <v>91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3"/>
      <c r="AR93" s="1">
        <v>91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3"/>
      <c r="AY93" s="1">
        <v>91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3"/>
      <c r="BF93" s="1">
        <v>91</v>
      </c>
      <c r="BG93" s="7">
        <v>0</v>
      </c>
      <c r="BH93" s="7">
        <v>0</v>
      </c>
      <c r="BI93" s="7">
        <v>0</v>
      </c>
      <c r="BJ93" s="7">
        <v>0</v>
      </c>
      <c r="BK93" s="23">
        <v>0</v>
      </c>
      <c r="BM93" s="12"/>
      <c r="BN93" s="1">
        <v>91</v>
      </c>
      <c r="BO93" s="7">
        <f t="shared" si="25"/>
        <v>0</v>
      </c>
      <c r="BP93" s="7">
        <f t="shared" si="26"/>
        <v>0</v>
      </c>
      <c r="BQ93" s="7">
        <f t="shared" si="27"/>
        <v>0</v>
      </c>
      <c r="BR93" s="7">
        <f t="shared" si="28"/>
        <v>0</v>
      </c>
      <c r="BS93" s="7">
        <f t="shared" si="29"/>
        <v>0</v>
      </c>
      <c r="BT93" s="3"/>
      <c r="BU93" s="1">
        <v>91</v>
      </c>
      <c r="BV93" s="7">
        <f t="shared" si="30"/>
        <v>0</v>
      </c>
      <c r="BW93" s="7">
        <f t="shared" si="31"/>
        <v>0</v>
      </c>
      <c r="BX93" s="7">
        <f t="shared" si="32"/>
        <v>0</v>
      </c>
      <c r="BY93" s="7">
        <f t="shared" si="33"/>
        <v>0</v>
      </c>
      <c r="BZ93" s="7">
        <f t="shared" si="34"/>
        <v>0</v>
      </c>
      <c r="CA93" s="3"/>
      <c r="CB93" s="1">
        <v>91</v>
      </c>
      <c r="CC93" s="1">
        <f t="shared" si="35"/>
        <v>0</v>
      </c>
      <c r="CD93" s="1">
        <f t="shared" si="36"/>
        <v>0</v>
      </c>
      <c r="CE93" s="1">
        <f t="shared" si="37"/>
        <v>0</v>
      </c>
      <c r="CF93" s="1">
        <f t="shared" si="38"/>
        <v>0</v>
      </c>
      <c r="CG93" s="22">
        <f t="shared" si="39"/>
        <v>0</v>
      </c>
    </row>
    <row r="94" spans="1:85" x14ac:dyDescent="0.3">
      <c r="A94" s="14">
        <v>92</v>
      </c>
      <c r="B94" s="15">
        <v>5</v>
      </c>
      <c r="C94" s="16"/>
      <c r="D94" s="1">
        <v>92</v>
      </c>
      <c r="E94" s="15">
        <v>20</v>
      </c>
      <c r="F94" s="16"/>
      <c r="G94" s="1">
        <v>92</v>
      </c>
      <c r="H94" s="15">
        <v>7</v>
      </c>
      <c r="I94" s="16"/>
      <c r="J94" s="1">
        <v>92</v>
      </c>
      <c r="K94" s="15">
        <v>8</v>
      </c>
      <c r="L94" s="15"/>
      <c r="M94" s="1">
        <v>92</v>
      </c>
      <c r="N94" s="17">
        <v>0.9</v>
      </c>
      <c r="O94" s="17"/>
      <c r="P94" s="1">
        <v>92</v>
      </c>
      <c r="Q94" s="15">
        <v>5</v>
      </c>
      <c r="R94" s="15"/>
      <c r="S94" s="1">
        <v>92</v>
      </c>
      <c r="T94" s="15">
        <v>18</v>
      </c>
      <c r="U94" s="3"/>
      <c r="V94" s="1">
        <v>92</v>
      </c>
      <c r="W94" s="7">
        <f t="shared" si="20"/>
        <v>4</v>
      </c>
      <c r="X94" s="7">
        <f t="shared" si="21"/>
        <v>4</v>
      </c>
      <c r="Y94" s="7">
        <f t="shared" si="22"/>
        <v>3</v>
      </c>
      <c r="Z94" s="7">
        <f t="shared" si="23"/>
        <v>3</v>
      </c>
      <c r="AA94" s="7">
        <f t="shared" si="24"/>
        <v>4</v>
      </c>
      <c r="AB94" s="13"/>
      <c r="AG94" s="1"/>
      <c r="AI94" s="12"/>
      <c r="AJ94" s="3"/>
      <c r="AK94" s="1">
        <v>92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3"/>
      <c r="AR94" s="1">
        <v>92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3"/>
      <c r="AY94" s="1">
        <v>92</v>
      </c>
      <c r="AZ94" s="7">
        <v>1</v>
      </c>
      <c r="BA94" s="7">
        <v>0</v>
      </c>
      <c r="BB94" s="7">
        <v>0</v>
      </c>
      <c r="BC94" s="7">
        <v>0</v>
      </c>
      <c r="BD94" s="7">
        <v>0</v>
      </c>
      <c r="BE94" s="3"/>
      <c r="BF94" s="1">
        <v>92</v>
      </c>
      <c r="BG94" s="7">
        <v>0</v>
      </c>
      <c r="BH94" s="7">
        <v>0</v>
      </c>
      <c r="BI94" s="7">
        <v>0</v>
      </c>
      <c r="BJ94" s="7">
        <v>0</v>
      </c>
      <c r="BK94" s="23">
        <v>0</v>
      </c>
      <c r="BM94" s="12"/>
      <c r="BN94" s="1">
        <v>92</v>
      </c>
      <c r="BO94" s="7">
        <f t="shared" si="25"/>
        <v>1</v>
      </c>
      <c r="BP94" s="7">
        <f t="shared" si="26"/>
        <v>0</v>
      </c>
      <c r="BQ94" s="7">
        <f t="shared" si="27"/>
        <v>0</v>
      </c>
      <c r="BR94" s="7">
        <f t="shared" si="28"/>
        <v>0</v>
      </c>
      <c r="BS94" s="7">
        <f t="shared" si="29"/>
        <v>0</v>
      </c>
      <c r="BT94" s="3"/>
      <c r="BU94" s="1">
        <v>92</v>
      </c>
      <c r="BV94" s="7">
        <f t="shared" si="30"/>
        <v>3</v>
      </c>
      <c r="BW94" s="7">
        <f t="shared" si="31"/>
        <v>0</v>
      </c>
      <c r="BX94" s="7">
        <f t="shared" si="32"/>
        <v>0</v>
      </c>
      <c r="BY94" s="7">
        <f t="shared" si="33"/>
        <v>0</v>
      </c>
      <c r="BZ94" s="7">
        <f t="shared" si="34"/>
        <v>0</v>
      </c>
      <c r="CA94" s="3"/>
      <c r="CB94" s="1">
        <v>92</v>
      </c>
      <c r="CC94" s="1">
        <f t="shared" si="35"/>
        <v>2.6878753795222869</v>
      </c>
      <c r="CD94" s="1">
        <f t="shared" si="36"/>
        <v>0</v>
      </c>
      <c r="CE94" s="1">
        <f t="shared" si="37"/>
        <v>0</v>
      </c>
      <c r="CF94" s="1">
        <f t="shared" si="38"/>
        <v>0</v>
      </c>
      <c r="CG94" s="22">
        <f t="shared" si="39"/>
        <v>0</v>
      </c>
    </row>
    <row r="95" spans="1:85" x14ac:dyDescent="0.3">
      <c r="A95" s="14">
        <v>93</v>
      </c>
      <c r="B95" s="15">
        <v>7</v>
      </c>
      <c r="C95" s="16"/>
      <c r="D95" s="1">
        <v>93</v>
      </c>
      <c r="E95" s="15">
        <v>24</v>
      </c>
      <c r="F95" s="16"/>
      <c r="G95" s="1">
        <v>93</v>
      </c>
      <c r="H95" s="15">
        <v>8</v>
      </c>
      <c r="I95" s="16"/>
      <c r="J95" s="1">
        <v>93</v>
      </c>
      <c r="K95" s="15">
        <v>14</v>
      </c>
      <c r="L95" s="15"/>
      <c r="M95" s="1">
        <v>93</v>
      </c>
      <c r="N95" s="17">
        <v>0.7</v>
      </c>
      <c r="O95" s="17"/>
      <c r="P95" s="1">
        <v>93</v>
      </c>
      <c r="Q95" s="15">
        <v>2</v>
      </c>
      <c r="R95" s="15"/>
      <c r="S95" s="1">
        <v>93</v>
      </c>
      <c r="T95" s="15">
        <v>22</v>
      </c>
      <c r="U95" s="3"/>
      <c r="V95" s="1">
        <v>93</v>
      </c>
      <c r="W95" s="7">
        <f t="shared" si="20"/>
        <v>4</v>
      </c>
      <c r="X95" s="7">
        <f t="shared" si="21"/>
        <v>3</v>
      </c>
      <c r="Y95" s="7">
        <f t="shared" si="22"/>
        <v>3</v>
      </c>
      <c r="Z95" s="7">
        <f t="shared" si="23"/>
        <v>3</v>
      </c>
      <c r="AA95" s="7">
        <f t="shared" si="24"/>
        <v>3</v>
      </c>
      <c r="AB95" s="13"/>
      <c r="AG95" s="1"/>
      <c r="AI95" s="12"/>
      <c r="AJ95" s="3"/>
      <c r="AK95" s="1">
        <v>93</v>
      </c>
      <c r="AL95" s="7">
        <v>0</v>
      </c>
      <c r="AM95" s="7">
        <v>0</v>
      </c>
      <c r="AN95" s="7">
        <v>0</v>
      </c>
      <c r="AO95" s="7">
        <v>0</v>
      </c>
      <c r="AP95" s="7">
        <v>1</v>
      </c>
      <c r="AQ95" s="3"/>
      <c r="AR95" s="1">
        <v>93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3"/>
      <c r="AY95" s="1">
        <v>93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3"/>
      <c r="BF95" s="1">
        <v>93</v>
      </c>
      <c r="BG95" s="7">
        <v>0</v>
      </c>
      <c r="BH95" s="7">
        <v>0</v>
      </c>
      <c r="BI95" s="7">
        <v>0</v>
      </c>
      <c r="BJ95" s="7">
        <v>0</v>
      </c>
      <c r="BK95" s="23">
        <v>0</v>
      </c>
      <c r="BM95" s="12"/>
      <c r="BN95" s="1">
        <v>93</v>
      </c>
      <c r="BO95" s="7">
        <f t="shared" si="25"/>
        <v>0</v>
      </c>
      <c r="BP95" s="7">
        <f t="shared" si="26"/>
        <v>0</v>
      </c>
      <c r="BQ95" s="7">
        <f t="shared" si="27"/>
        <v>0</v>
      </c>
      <c r="BR95" s="7">
        <f t="shared" si="28"/>
        <v>0</v>
      </c>
      <c r="BS95" s="7">
        <f t="shared" si="29"/>
        <v>1</v>
      </c>
      <c r="BT95" s="3"/>
      <c r="BU95" s="1">
        <v>93</v>
      </c>
      <c r="BV95" s="7">
        <f t="shared" si="30"/>
        <v>0</v>
      </c>
      <c r="BW95" s="7">
        <f t="shared" si="31"/>
        <v>0</v>
      </c>
      <c r="BX95" s="7">
        <f t="shared" si="32"/>
        <v>0</v>
      </c>
      <c r="BY95" s="7">
        <f t="shared" si="33"/>
        <v>0</v>
      </c>
      <c r="BZ95" s="7">
        <f t="shared" si="34"/>
        <v>1</v>
      </c>
      <c r="CA95" s="3"/>
      <c r="CB95" s="1">
        <v>93</v>
      </c>
      <c r="CC95" s="1">
        <f t="shared" si="35"/>
        <v>0</v>
      </c>
      <c r="CD95" s="1">
        <f t="shared" si="36"/>
        <v>0</v>
      </c>
      <c r="CE95" s="1">
        <f t="shared" si="37"/>
        <v>0</v>
      </c>
      <c r="CF95" s="1">
        <f t="shared" si="38"/>
        <v>0</v>
      </c>
      <c r="CG95" s="22">
        <f t="shared" si="39"/>
        <v>1</v>
      </c>
    </row>
    <row r="96" spans="1:85" x14ac:dyDescent="0.3">
      <c r="A96" s="14">
        <v>94</v>
      </c>
      <c r="B96" s="15">
        <v>12</v>
      </c>
      <c r="C96" s="16"/>
      <c r="D96" s="1">
        <v>94</v>
      </c>
      <c r="E96" s="15">
        <v>24</v>
      </c>
      <c r="F96" s="16"/>
      <c r="G96" s="1">
        <v>94</v>
      </c>
      <c r="H96" s="15">
        <v>2</v>
      </c>
      <c r="I96" s="16"/>
      <c r="J96" s="1">
        <v>94</v>
      </c>
      <c r="K96" s="15">
        <v>6</v>
      </c>
      <c r="L96" s="15"/>
      <c r="M96" s="1">
        <v>94</v>
      </c>
      <c r="N96" s="17">
        <v>0.9</v>
      </c>
      <c r="O96" s="17"/>
      <c r="P96" s="1">
        <v>94</v>
      </c>
      <c r="Q96" s="15">
        <v>2</v>
      </c>
      <c r="R96" s="15"/>
      <c r="S96" s="1">
        <v>94</v>
      </c>
      <c r="T96" s="15">
        <v>17</v>
      </c>
      <c r="U96" s="3"/>
      <c r="V96" s="1">
        <v>94</v>
      </c>
      <c r="W96" s="7">
        <f t="shared" si="20"/>
        <v>17</v>
      </c>
      <c r="X96" s="7">
        <f t="shared" si="21"/>
        <v>15</v>
      </c>
      <c r="Y96" s="7">
        <f t="shared" si="22"/>
        <v>13</v>
      </c>
      <c r="Z96" s="7">
        <f t="shared" si="23"/>
        <v>13</v>
      </c>
      <c r="AA96" s="7">
        <f t="shared" si="24"/>
        <v>14</v>
      </c>
      <c r="AB96" s="13"/>
      <c r="AG96" s="1"/>
      <c r="AI96" s="12"/>
      <c r="AJ96" s="3"/>
      <c r="AK96" s="1">
        <v>94</v>
      </c>
      <c r="AL96" s="7">
        <v>0</v>
      </c>
      <c r="AM96" s="7">
        <v>0</v>
      </c>
      <c r="AN96" s="7">
        <v>0</v>
      </c>
      <c r="AO96" s="7">
        <v>1</v>
      </c>
      <c r="AP96" s="7">
        <v>0</v>
      </c>
      <c r="AQ96" s="3"/>
      <c r="AR96" s="1">
        <v>94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3"/>
      <c r="AY96" s="1">
        <v>94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3"/>
      <c r="BF96" s="1">
        <v>94</v>
      </c>
      <c r="BG96" s="7">
        <v>0</v>
      </c>
      <c r="BH96" s="7">
        <v>0</v>
      </c>
      <c r="BI96" s="7">
        <v>0</v>
      </c>
      <c r="BJ96" s="7">
        <v>0</v>
      </c>
      <c r="BK96" s="23">
        <v>0</v>
      </c>
      <c r="BM96" s="12"/>
      <c r="BN96" s="1">
        <v>94</v>
      </c>
      <c r="BO96" s="7">
        <f t="shared" si="25"/>
        <v>0</v>
      </c>
      <c r="BP96" s="7">
        <f t="shared" si="26"/>
        <v>0</v>
      </c>
      <c r="BQ96" s="7">
        <f t="shared" si="27"/>
        <v>0</v>
      </c>
      <c r="BR96" s="7">
        <f t="shared" si="28"/>
        <v>1</v>
      </c>
      <c r="BS96" s="7">
        <f t="shared" si="29"/>
        <v>0</v>
      </c>
      <c r="BT96" s="3"/>
      <c r="BU96" s="1">
        <v>94</v>
      </c>
      <c r="BV96" s="7">
        <f t="shared" si="30"/>
        <v>0</v>
      </c>
      <c r="BW96" s="7">
        <f t="shared" si="31"/>
        <v>0</v>
      </c>
      <c r="BX96" s="7">
        <f t="shared" si="32"/>
        <v>0</v>
      </c>
      <c r="BY96" s="7">
        <f t="shared" si="33"/>
        <v>1</v>
      </c>
      <c r="BZ96" s="7">
        <f t="shared" si="34"/>
        <v>0</v>
      </c>
      <c r="CA96" s="3"/>
      <c r="CB96" s="1">
        <v>94</v>
      </c>
      <c r="CC96" s="1">
        <f t="shared" si="35"/>
        <v>0</v>
      </c>
      <c r="CD96" s="1">
        <f t="shared" si="36"/>
        <v>0</v>
      </c>
      <c r="CE96" s="1">
        <f t="shared" si="37"/>
        <v>0</v>
      </c>
      <c r="CF96" s="1">
        <f t="shared" si="38"/>
        <v>1</v>
      </c>
      <c r="CG96" s="22">
        <f t="shared" si="39"/>
        <v>0</v>
      </c>
    </row>
    <row r="97" spans="1:85" x14ac:dyDescent="0.3">
      <c r="A97" s="14">
        <v>95</v>
      </c>
      <c r="B97" s="15">
        <v>14</v>
      </c>
      <c r="C97" s="16"/>
      <c r="D97" s="1">
        <v>95</v>
      </c>
      <c r="E97" s="15">
        <v>25</v>
      </c>
      <c r="F97" s="16"/>
      <c r="G97" s="1">
        <v>95</v>
      </c>
      <c r="H97" s="15">
        <v>6</v>
      </c>
      <c r="I97" s="16"/>
      <c r="J97" s="1">
        <v>95</v>
      </c>
      <c r="K97" s="15">
        <v>9</v>
      </c>
      <c r="L97" s="15"/>
      <c r="M97" s="1">
        <v>95</v>
      </c>
      <c r="N97" s="17">
        <v>0.4</v>
      </c>
      <c r="O97" s="17"/>
      <c r="P97" s="1">
        <v>95</v>
      </c>
      <c r="Q97" s="15">
        <v>2</v>
      </c>
      <c r="R97" s="15"/>
      <c r="S97" s="1">
        <v>95</v>
      </c>
      <c r="T97" s="15">
        <v>16</v>
      </c>
      <c r="U97" s="3"/>
      <c r="V97" s="1">
        <v>95</v>
      </c>
      <c r="W97" s="7">
        <f t="shared" si="20"/>
        <v>5</v>
      </c>
      <c r="X97" s="7">
        <f t="shared" si="21"/>
        <v>5</v>
      </c>
      <c r="Y97" s="7">
        <f t="shared" si="22"/>
        <v>4</v>
      </c>
      <c r="Z97" s="7">
        <f t="shared" si="23"/>
        <v>4</v>
      </c>
      <c r="AA97" s="7">
        <f t="shared" si="24"/>
        <v>4</v>
      </c>
      <c r="AB97" s="13"/>
      <c r="AG97" s="1"/>
      <c r="AI97" s="12"/>
      <c r="AJ97" s="3"/>
      <c r="AK97" s="1">
        <v>95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3"/>
      <c r="AR97" s="1">
        <v>95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3"/>
      <c r="AY97" s="1">
        <v>95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3"/>
      <c r="BF97" s="1">
        <v>95</v>
      </c>
      <c r="BG97" s="7">
        <v>0</v>
      </c>
      <c r="BH97" s="7">
        <v>0</v>
      </c>
      <c r="BI97" s="7">
        <v>0</v>
      </c>
      <c r="BJ97" s="7">
        <v>0</v>
      </c>
      <c r="BK97" s="23">
        <v>0</v>
      </c>
      <c r="BM97" s="12"/>
      <c r="BN97" s="1">
        <v>95</v>
      </c>
      <c r="BO97" s="7">
        <f t="shared" si="25"/>
        <v>0</v>
      </c>
      <c r="BP97" s="7">
        <f t="shared" si="26"/>
        <v>0</v>
      </c>
      <c r="BQ97" s="7">
        <f t="shared" si="27"/>
        <v>0</v>
      </c>
      <c r="BR97" s="7">
        <f t="shared" si="28"/>
        <v>0</v>
      </c>
      <c r="BS97" s="7">
        <f t="shared" si="29"/>
        <v>0</v>
      </c>
      <c r="BT97" s="3"/>
      <c r="BU97" s="1">
        <v>95</v>
      </c>
      <c r="BV97" s="7">
        <f t="shared" si="30"/>
        <v>0</v>
      </c>
      <c r="BW97" s="7">
        <f t="shared" si="31"/>
        <v>0</v>
      </c>
      <c r="BX97" s="7">
        <f t="shared" si="32"/>
        <v>0</v>
      </c>
      <c r="BY97" s="7">
        <f t="shared" si="33"/>
        <v>0</v>
      </c>
      <c r="BZ97" s="7">
        <f t="shared" si="34"/>
        <v>0</v>
      </c>
      <c r="CA97" s="3"/>
      <c r="CB97" s="1">
        <v>95</v>
      </c>
      <c r="CC97" s="1">
        <f t="shared" si="35"/>
        <v>0</v>
      </c>
      <c r="CD97" s="1">
        <f t="shared" si="36"/>
        <v>0</v>
      </c>
      <c r="CE97" s="1">
        <f t="shared" si="37"/>
        <v>0</v>
      </c>
      <c r="CF97" s="1">
        <f t="shared" si="38"/>
        <v>0</v>
      </c>
      <c r="CG97" s="22">
        <f t="shared" si="39"/>
        <v>0</v>
      </c>
    </row>
    <row r="98" spans="1:85" x14ac:dyDescent="0.3">
      <c r="A98" s="14">
        <v>96</v>
      </c>
      <c r="B98" s="15">
        <v>8</v>
      </c>
      <c r="C98" s="16"/>
      <c r="D98" s="1">
        <v>96</v>
      </c>
      <c r="E98" s="15">
        <v>23</v>
      </c>
      <c r="F98" s="16"/>
      <c r="G98" s="1">
        <v>96</v>
      </c>
      <c r="H98" s="15">
        <v>6</v>
      </c>
      <c r="I98" s="16"/>
      <c r="J98" s="1">
        <v>96</v>
      </c>
      <c r="K98" s="15">
        <v>4</v>
      </c>
      <c r="L98" s="15"/>
      <c r="M98" s="1">
        <v>96</v>
      </c>
      <c r="N98" s="17">
        <v>0.7</v>
      </c>
      <c r="O98" s="17"/>
      <c r="P98" s="1">
        <v>96</v>
      </c>
      <c r="Q98" s="15">
        <v>1</v>
      </c>
      <c r="R98" s="15"/>
      <c r="S98" s="1">
        <v>96</v>
      </c>
      <c r="T98" s="15">
        <v>17</v>
      </c>
      <c r="U98" s="3"/>
      <c r="V98" s="1">
        <v>96</v>
      </c>
      <c r="W98" s="7">
        <f t="shared" si="20"/>
        <v>5</v>
      </c>
      <c r="X98" s="7">
        <f t="shared" si="21"/>
        <v>5</v>
      </c>
      <c r="Y98" s="7">
        <f t="shared" si="22"/>
        <v>4</v>
      </c>
      <c r="Z98" s="7">
        <f t="shared" si="23"/>
        <v>4</v>
      </c>
      <c r="AA98" s="7">
        <f t="shared" si="24"/>
        <v>4</v>
      </c>
      <c r="AB98" s="13"/>
      <c r="AG98" s="1"/>
      <c r="AI98" s="12"/>
      <c r="AJ98" s="3"/>
      <c r="AK98" s="1">
        <v>96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3"/>
      <c r="AR98" s="1">
        <v>96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3"/>
      <c r="AY98" s="1">
        <v>96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3"/>
      <c r="BF98" s="1">
        <v>96</v>
      </c>
      <c r="BG98" s="7">
        <v>0</v>
      </c>
      <c r="BH98" s="7">
        <v>0</v>
      </c>
      <c r="BI98" s="7">
        <v>0</v>
      </c>
      <c r="BJ98" s="7">
        <v>0</v>
      </c>
      <c r="BK98" s="23">
        <v>0</v>
      </c>
      <c r="BM98" s="12"/>
      <c r="BN98" s="1">
        <v>96</v>
      </c>
      <c r="BO98" s="7">
        <f t="shared" si="25"/>
        <v>0</v>
      </c>
      <c r="BP98" s="7">
        <f t="shared" si="26"/>
        <v>0</v>
      </c>
      <c r="BQ98" s="7">
        <f t="shared" si="27"/>
        <v>0</v>
      </c>
      <c r="BR98" s="7">
        <f t="shared" si="28"/>
        <v>0</v>
      </c>
      <c r="BS98" s="7">
        <f t="shared" si="29"/>
        <v>0</v>
      </c>
      <c r="BT98" s="3"/>
      <c r="BU98" s="1">
        <v>96</v>
      </c>
      <c r="BV98" s="7">
        <f t="shared" si="30"/>
        <v>0</v>
      </c>
      <c r="BW98" s="7">
        <f t="shared" si="31"/>
        <v>0</v>
      </c>
      <c r="BX98" s="7">
        <f t="shared" si="32"/>
        <v>0</v>
      </c>
      <c r="BY98" s="7">
        <f t="shared" si="33"/>
        <v>0</v>
      </c>
      <c r="BZ98" s="7">
        <f t="shared" si="34"/>
        <v>0</v>
      </c>
      <c r="CA98" s="3"/>
      <c r="CB98" s="1">
        <v>96</v>
      </c>
      <c r="CC98" s="1">
        <f t="shared" si="35"/>
        <v>0</v>
      </c>
      <c r="CD98" s="1">
        <f t="shared" si="36"/>
        <v>0</v>
      </c>
      <c r="CE98" s="1">
        <f t="shared" si="37"/>
        <v>0</v>
      </c>
      <c r="CF98" s="1">
        <f t="shared" si="38"/>
        <v>0</v>
      </c>
      <c r="CG98" s="22">
        <f t="shared" si="39"/>
        <v>0</v>
      </c>
    </row>
    <row r="99" spans="1:85" x14ac:dyDescent="0.3">
      <c r="A99" s="14">
        <v>97</v>
      </c>
      <c r="B99" s="15">
        <v>8</v>
      </c>
      <c r="C99" s="16"/>
      <c r="D99" s="1">
        <v>97</v>
      </c>
      <c r="E99" s="15">
        <v>25</v>
      </c>
      <c r="F99" s="16"/>
      <c r="G99" s="1">
        <v>97</v>
      </c>
      <c r="H99" s="15">
        <v>6</v>
      </c>
      <c r="I99" s="16"/>
      <c r="J99" s="1">
        <v>97</v>
      </c>
      <c r="K99" s="15">
        <v>12</v>
      </c>
      <c r="L99" s="15"/>
      <c r="M99" s="1">
        <v>97</v>
      </c>
      <c r="N99" s="17">
        <v>0.7</v>
      </c>
      <c r="O99" s="17"/>
      <c r="P99" s="1">
        <v>97</v>
      </c>
      <c r="Q99" s="15">
        <v>4</v>
      </c>
      <c r="R99" s="15"/>
      <c r="S99" s="1">
        <v>97</v>
      </c>
      <c r="T99" s="15">
        <v>16</v>
      </c>
      <c r="U99" s="3"/>
      <c r="V99" s="1">
        <v>97</v>
      </c>
      <c r="W99" s="7">
        <f t="shared" si="20"/>
        <v>5</v>
      </c>
      <c r="X99" s="7">
        <f t="shared" si="21"/>
        <v>5</v>
      </c>
      <c r="Y99" s="7">
        <f t="shared" si="22"/>
        <v>4</v>
      </c>
      <c r="Z99" s="7">
        <f t="shared" si="23"/>
        <v>4</v>
      </c>
      <c r="AA99" s="7">
        <f t="shared" si="24"/>
        <v>4</v>
      </c>
      <c r="AB99" s="13"/>
      <c r="AG99" s="1"/>
      <c r="AI99" s="12"/>
      <c r="AJ99" s="3"/>
      <c r="AK99" s="1">
        <v>97</v>
      </c>
      <c r="AL99" s="7">
        <v>0</v>
      </c>
      <c r="AM99" s="7">
        <v>0</v>
      </c>
      <c r="AN99" s="7">
        <v>0</v>
      </c>
      <c r="AO99" s="7">
        <v>0</v>
      </c>
      <c r="AP99" s="7">
        <v>1</v>
      </c>
      <c r="AQ99" s="3"/>
      <c r="AR99" s="1">
        <v>97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3"/>
      <c r="AY99" s="1">
        <v>97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3"/>
      <c r="BF99" s="1">
        <v>97</v>
      </c>
      <c r="BG99" s="7">
        <v>0</v>
      </c>
      <c r="BH99" s="7">
        <v>0</v>
      </c>
      <c r="BI99" s="7">
        <v>0</v>
      </c>
      <c r="BJ99" s="7">
        <v>0</v>
      </c>
      <c r="BK99" s="23">
        <v>0</v>
      </c>
      <c r="BM99" s="12"/>
      <c r="BN99" s="1">
        <v>97</v>
      </c>
      <c r="BO99" s="7">
        <f t="shared" si="25"/>
        <v>0</v>
      </c>
      <c r="BP99" s="7">
        <f t="shared" si="26"/>
        <v>0</v>
      </c>
      <c r="BQ99" s="7">
        <f t="shared" si="27"/>
        <v>0</v>
      </c>
      <c r="BR99" s="7">
        <f t="shared" si="28"/>
        <v>0</v>
      </c>
      <c r="BS99" s="7">
        <f t="shared" si="29"/>
        <v>1</v>
      </c>
      <c r="BT99" s="3"/>
      <c r="BU99" s="1">
        <v>97</v>
      </c>
      <c r="BV99" s="7">
        <f t="shared" si="30"/>
        <v>0</v>
      </c>
      <c r="BW99" s="7">
        <f t="shared" si="31"/>
        <v>0</v>
      </c>
      <c r="BX99" s="7">
        <f t="shared" si="32"/>
        <v>0</v>
      </c>
      <c r="BY99" s="7">
        <f t="shared" si="33"/>
        <v>0</v>
      </c>
      <c r="BZ99" s="7">
        <f t="shared" si="34"/>
        <v>1</v>
      </c>
      <c r="CA99" s="3"/>
      <c r="CB99" s="1">
        <v>97</v>
      </c>
      <c r="CC99" s="1">
        <f t="shared" si="35"/>
        <v>0</v>
      </c>
      <c r="CD99" s="1">
        <f t="shared" si="36"/>
        <v>0</v>
      </c>
      <c r="CE99" s="1">
        <f t="shared" si="37"/>
        <v>0</v>
      </c>
      <c r="CF99" s="1">
        <f t="shared" si="38"/>
        <v>0</v>
      </c>
      <c r="CG99" s="22">
        <f t="shared" si="39"/>
        <v>1</v>
      </c>
    </row>
    <row r="100" spans="1:85" x14ac:dyDescent="0.3">
      <c r="A100" s="14">
        <v>98</v>
      </c>
      <c r="B100" s="15">
        <v>7</v>
      </c>
      <c r="C100" s="16"/>
      <c r="D100" s="1">
        <v>98</v>
      </c>
      <c r="E100" s="15">
        <v>18</v>
      </c>
      <c r="F100" s="16"/>
      <c r="G100" s="1">
        <v>98</v>
      </c>
      <c r="H100" s="15">
        <v>8</v>
      </c>
      <c r="I100" s="16"/>
      <c r="J100" s="1">
        <v>98</v>
      </c>
      <c r="K100" s="15">
        <v>2</v>
      </c>
      <c r="L100" s="15"/>
      <c r="M100" s="1">
        <v>98</v>
      </c>
      <c r="N100" s="17">
        <v>0.1</v>
      </c>
      <c r="O100" s="17"/>
      <c r="P100" s="1">
        <v>98</v>
      </c>
      <c r="Q100" s="15">
        <v>3</v>
      </c>
      <c r="R100" s="15"/>
      <c r="S100" s="1">
        <v>98</v>
      </c>
      <c r="T100" s="15">
        <v>16</v>
      </c>
      <c r="U100" s="3"/>
      <c r="V100" s="1">
        <v>98</v>
      </c>
      <c r="W100" s="7">
        <f t="shared" si="20"/>
        <v>4</v>
      </c>
      <c r="X100" s="7">
        <f t="shared" si="21"/>
        <v>3</v>
      </c>
      <c r="Y100" s="7">
        <f t="shared" si="22"/>
        <v>3</v>
      </c>
      <c r="Z100" s="7">
        <f t="shared" si="23"/>
        <v>3</v>
      </c>
      <c r="AA100" s="7">
        <f t="shared" si="24"/>
        <v>3</v>
      </c>
      <c r="AB100" s="13"/>
      <c r="AG100" s="1"/>
      <c r="AI100" s="12"/>
      <c r="AJ100" s="3"/>
      <c r="AK100" s="1">
        <v>98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3"/>
      <c r="AR100" s="1">
        <v>98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3"/>
      <c r="AY100" s="1">
        <v>98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3"/>
      <c r="BF100" s="1">
        <v>98</v>
      </c>
      <c r="BG100" s="7">
        <v>0</v>
      </c>
      <c r="BH100" s="7">
        <v>0</v>
      </c>
      <c r="BI100" s="7">
        <v>0</v>
      </c>
      <c r="BJ100" s="7">
        <v>0</v>
      </c>
      <c r="BK100" s="23">
        <v>0</v>
      </c>
      <c r="BM100" s="12"/>
      <c r="BN100" s="1">
        <v>98</v>
      </c>
      <c r="BO100" s="7">
        <f t="shared" si="25"/>
        <v>0</v>
      </c>
      <c r="BP100" s="7">
        <f t="shared" si="26"/>
        <v>0</v>
      </c>
      <c r="BQ100" s="7">
        <f t="shared" si="27"/>
        <v>0</v>
      </c>
      <c r="BR100" s="7">
        <f t="shared" si="28"/>
        <v>0</v>
      </c>
      <c r="BS100" s="7">
        <f t="shared" si="29"/>
        <v>0</v>
      </c>
      <c r="BT100" s="3"/>
      <c r="BU100" s="1">
        <v>98</v>
      </c>
      <c r="BV100" s="7">
        <f t="shared" si="30"/>
        <v>0</v>
      </c>
      <c r="BW100" s="7">
        <f t="shared" si="31"/>
        <v>0</v>
      </c>
      <c r="BX100" s="7">
        <f t="shared" si="32"/>
        <v>0</v>
      </c>
      <c r="BY100" s="7">
        <f t="shared" si="33"/>
        <v>0</v>
      </c>
      <c r="BZ100" s="7">
        <f t="shared" si="34"/>
        <v>0</v>
      </c>
      <c r="CA100" s="3"/>
      <c r="CB100" s="1">
        <v>98</v>
      </c>
      <c r="CC100" s="1">
        <f t="shared" si="35"/>
        <v>0</v>
      </c>
      <c r="CD100" s="1">
        <f t="shared" si="36"/>
        <v>0</v>
      </c>
      <c r="CE100" s="1">
        <f t="shared" si="37"/>
        <v>0</v>
      </c>
      <c r="CF100" s="1">
        <f t="shared" si="38"/>
        <v>0</v>
      </c>
      <c r="CG100" s="22">
        <f t="shared" si="39"/>
        <v>0</v>
      </c>
    </row>
    <row r="101" spans="1:85" x14ac:dyDescent="0.3">
      <c r="A101" s="14">
        <v>99</v>
      </c>
      <c r="B101" s="15">
        <v>8</v>
      </c>
      <c r="C101" s="16"/>
      <c r="D101" s="1">
        <v>99</v>
      </c>
      <c r="E101" s="15">
        <v>15</v>
      </c>
      <c r="F101" s="16"/>
      <c r="G101" s="1">
        <v>99</v>
      </c>
      <c r="H101" s="15">
        <v>6</v>
      </c>
      <c r="I101" s="16"/>
      <c r="J101" s="1">
        <v>99</v>
      </c>
      <c r="K101" s="15">
        <v>6</v>
      </c>
      <c r="L101" s="15"/>
      <c r="M101" s="1">
        <v>99</v>
      </c>
      <c r="N101" s="17">
        <v>0.8</v>
      </c>
      <c r="O101" s="17"/>
      <c r="P101" s="1">
        <v>99</v>
      </c>
      <c r="Q101" s="15">
        <v>2</v>
      </c>
      <c r="R101" s="15"/>
      <c r="S101" s="1">
        <v>99</v>
      </c>
      <c r="T101" s="15">
        <v>25</v>
      </c>
      <c r="U101" s="3"/>
      <c r="V101" s="1">
        <v>99</v>
      </c>
      <c r="W101" s="7">
        <f t="shared" si="20"/>
        <v>5</v>
      </c>
      <c r="X101" s="7">
        <f t="shared" si="21"/>
        <v>5</v>
      </c>
      <c r="Y101" s="7">
        <f t="shared" si="22"/>
        <v>4</v>
      </c>
      <c r="Z101" s="7">
        <f t="shared" si="23"/>
        <v>4</v>
      </c>
      <c r="AA101" s="7">
        <f t="shared" si="24"/>
        <v>4</v>
      </c>
      <c r="AB101" s="13"/>
      <c r="AG101" s="1"/>
      <c r="AI101" s="12"/>
      <c r="AJ101" s="3"/>
      <c r="AK101" s="1">
        <v>99</v>
      </c>
      <c r="AL101" s="7">
        <v>0</v>
      </c>
      <c r="AM101" s="7">
        <v>0</v>
      </c>
      <c r="AN101" s="7">
        <v>0</v>
      </c>
      <c r="AO101" s="7">
        <v>0</v>
      </c>
      <c r="AP101" s="7">
        <v>1</v>
      </c>
      <c r="AQ101" s="3"/>
      <c r="AR101" s="1">
        <v>99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3"/>
      <c r="AY101" s="1">
        <v>99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3"/>
      <c r="BF101" s="1">
        <v>99</v>
      </c>
      <c r="BG101" s="7">
        <v>0</v>
      </c>
      <c r="BH101" s="7">
        <v>0</v>
      </c>
      <c r="BI101" s="7">
        <v>0</v>
      </c>
      <c r="BJ101" s="7">
        <v>0</v>
      </c>
      <c r="BK101" s="23">
        <v>0</v>
      </c>
      <c r="BM101" s="12"/>
      <c r="BN101" s="1">
        <v>99</v>
      </c>
      <c r="BO101" s="7">
        <f t="shared" si="25"/>
        <v>0</v>
      </c>
      <c r="BP101" s="7">
        <f t="shared" si="26"/>
        <v>0</v>
      </c>
      <c r="BQ101" s="7">
        <f t="shared" si="27"/>
        <v>0</v>
      </c>
      <c r="BR101" s="7">
        <f t="shared" si="28"/>
        <v>0</v>
      </c>
      <c r="BS101" s="7">
        <f t="shared" si="29"/>
        <v>1</v>
      </c>
      <c r="BT101" s="3"/>
      <c r="BU101" s="1">
        <v>99</v>
      </c>
      <c r="BV101" s="7">
        <f t="shared" si="30"/>
        <v>0</v>
      </c>
      <c r="BW101" s="7">
        <f t="shared" si="31"/>
        <v>0</v>
      </c>
      <c r="BX101" s="7">
        <f t="shared" si="32"/>
        <v>0</v>
      </c>
      <c r="BY101" s="7">
        <f t="shared" si="33"/>
        <v>0</v>
      </c>
      <c r="BZ101" s="7">
        <f t="shared" si="34"/>
        <v>1</v>
      </c>
      <c r="CA101" s="3"/>
      <c r="CB101" s="1">
        <v>99</v>
      </c>
      <c r="CC101" s="1">
        <f t="shared" si="35"/>
        <v>0</v>
      </c>
      <c r="CD101" s="1">
        <f t="shared" si="36"/>
        <v>0</v>
      </c>
      <c r="CE101" s="1">
        <f t="shared" si="37"/>
        <v>0</v>
      </c>
      <c r="CF101" s="1">
        <f t="shared" si="38"/>
        <v>0</v>
      </c>
      <c r="CG101" s="22">
        <f t="shared" si="39"/>
        <v>1</v>
      </c>
    </row>
    <row r="102" spans="1:85" x14ac:dyDescent="0.3">
      <c r="A102" s="14">
        <v>100</v>
      </c>
      <c r="B102" s="15">
        <v>5</v>
      </c>
      <c r="C102" s="16"/>
      <c r="D102" s="1">
        <v>100</v>
      </c>
      <c r="E102" s="15">
        <v>25</v>
      </c>
      <c r="F102" s="16"/>
      <c r="G102" s="1">
        <v>100</v>
      </c>
      <c r="H102" s="15">
        <v>8</v>
      </c>
      <c r="I102" s="16"/>
      <c r="J102" s="1">
        <v>100</v>
      </c>
      <c r="K102" s="15">
        <v>8</v>
      </c>
      <c r="L102" s="15"/>
      <c r="M102" s="1">
        <v>100</v>
      </c>
      <c r="N102" s="17">
        <v>0.1</v>
      </c>
      <c r="O102" s="17"/>
      <c r="P102" s="1">
        <v>100</v>
      </c>
      <c r="Q102" s="15">
        <v>5</v>
      </c>
      <c r="R102" s="15"/>
      <c r="S102" s="1">
        <v>100</v>
      </c>
      <c r="T102" s="15">
        <v>25</v>
      </c>
      <c r="U102" s="3"/>
      <c r="V102" s="1">
        <v>100</v>
      </c>
      <c r="W102" s="7">
        <f t="shared" si="20"/>
        <v>4</v>
      </c>
      <c r="X102" s="7">
        <f t="shared" si="21"/>
        <v>3</v>
      </c>
      <c r="Y102" s="7">
        <f t="shared" si="22"/>
        <v>3</v>
      </c>
      <c r="Z102" s="7">
        <f t="shared" si="23"/>
        <v>3</v>
      </c>
      <c r="AA102" s="7">
        <f t="shared" si="24"/>
        <v>3</v>
      </c>
      <c r="AB102" s="13"/>
      <c r="AG102" s="1"/>
      <c r="AI102" s="12"/>
      <c r="AJ102" s="3"/>
      <c r="AK102" s="1">
        <v>100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3"/>
      <c r="AR102" s="1">
        <v>100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3"/>
      <c r="AY102" s="1">
        <v>100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3"/>
      <c r="BF102" s="1">
        <v>100</v>
      </c>
      <c r="BG102" s="7">
        <v>0</v>
      </c>
      <c r="BH102" s="7">
        <v>0</v>
      </c>
      <c r="BI102" s="7">
        <v>0</v>
      </c>
      <c r="BJ102" s="7">
        <v>0</v>
      </c>
      <c r="BK102" s="23">
        <v>0</v>
      </c>
      <c r="BM102" s="12"/>
      <c r="BN102" s="1">
        <v>100</v>
      </c>
      <c r="BO102" s="7">
        <f t="shared" si="25"/>
        <v>0</v>
      </c>
      <c r="BP102" s="7">
        <f t="shared" si="26"/>
        <v>0</v>
      </c>
      <c r="BQ102" s="7">
        <f t="shared" si="27"/>
        <v>0</v>
      </c>
      <c r="BR102" s="7">
        <f t="shared" si="28"/>
        <v>0</v>
      </c>
      <c r="BS102" s="7">
        <f t="shared" si="29"/>
        <v>0</v>
      </c>
      <c r="BT102" s="3"/>
      <c r="BU102" s="1">
        <v>100</v>
      </c>
      <c r="BV102" s="7">
        <f t="shared" si="30"/>
        <v>0</v>
      </c>
      <c r="BW102" s="7">
        <f t="shared" si="31"/>
        <v>0</v>
      </c>
      <c r="BX102" s="7">
        <f t="shared" si="32"/>
        <v>0</v>
      </c>
      <c r="BY102" s="7">
        <f t="shared" si="33"/>
        <v>0</v>
      </c>
      <c r="BZ102" s="7">
        <f t="shared" si="34"/>
        <v>0</v>
      </c>
      <c r="CA102" s="3"/>
      <c r="CB102" s="1">
        <v>100</v>
      </c>
      <c r="CC102" s="1">
        <f t="shared" si="35"/>
        <v>0</v>
      </c>
      <c r="CD102" s="1">
        <f t="shared" si="36"/>
        <v>0</v>
      </c>
      <c r="CE102" s="1">
        <f t="shared" si="37"/>
        <v>0</v>
      </c>
      <c r="CF102" s="1">
        <f t="shared" si="38"/>
        <v>0</v>
      </c>
      <c r="CG102" s="22">
        <f t="shared" si="39"/>
        <v>0</v>
      </c>
    </row>
    <row r="103" spans="1:85" x14ac:dyDescent="0.3">
      <c r="A103" s="12"/>
      <c r="B103" s="3"/>
      <c r="C103" s="3"/>
      <c r="D103" s="3"/>
      <c r="E103" s="15"/>
      <c r="F103" s="16"/>
      <c r="G103" s="3"/>
      <c r="H103" s="15"/>
      <c r="I103" s="16"/>
      <c r="J103" s="3"/>
      <c r="K103" s="15"/>
      <c r="L103" s="16"/>
      <c r="M103" s="3"/>
      <c r="N103" s="15"/>
      <c r="O103" s="15"/>
      <c r="P103" s="3"/>
      <c r="Q103" s="17"/>
      <c r="R103" s="17"/>
      <c r="S103" s="3"/>
      <c r="T103" s="15"/>
      <c r="U103" s="15"/>
      <c r="V103" s="3"/>
      <c r="W103" s="15"/>
      <c r="X103" s="15"/>
      <c r="Y103" s="3"/>
      <c r="Z103" s="2"/>
      <c r="AA103" s="3"/>
      <c r="AB103" s="13"/>
      <c r="AG103" s="3"/>
      <c r="AI103" s="12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13"/>
      <c r="BM103" s="12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13"/>
    </row>
    <row r="104" spans="1:85" x14ac:dyDescent="0.3">
      <c r="A104" s="12" t="s">
        <v>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13"/>
      <c r="AI104" s="12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13"/>
      <c r="BM104" s="12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13"/>
    </row>
    <row r="105" spans="1:85" ht="15" thickBot="1" x14ac:dyDescent="0.35">
      <c r="A105" s="18" t="s">
        <v>14</v>
      </c>
      <c r="B105" s="4">
        <v>3</v>
      </c>
      <c r="C105" s="3">
        <v>8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13"/>
      <c r="AI105" s="19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1"/>
      <c r="BM105" s="19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1"/>
    </row>
    <row r="106" spans="1:85" ht="15.6" x14ac:dyDescent="0.3">
      <c r="A106" s="12" t="s">
        <v>15</v>
      </c>
      <c r="B106" s="4">
        <v>2</v>
      </c>
      <c r="C106" s="3">
        <v>5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6" t="s">
        <v>59</v>
      </c>
      <c r="X106" s="3"/>
      <c r="Y106" s="3"/>
      <c r="Z106" s="3"/>
      <c r="AA106" s="3"/>
      <c r="AB106" s="13"/>
      <c r="AL106" s="6" t="s">
        <v>59</v>
      </c>
      <c r="AS106" s="6" t="s">
        <v>59</v>
      </c>
      <c r="AZ106" s="6" t="s">
        <v>59</v>
      </c>
      <c r="BG106" s="6" t="s">
        <v>59</v>
      </c>
      <c r="BO106" s="6" t="s">
        <v>59</v>
      </c>
      <c r="BV106" s="6" t="s">
        <v>59</v>
      </c>
    </row>
    <row r="107" spans="1:85" ht="16.2" thickBot="1" x14ac:dyDescent="0.35">
      <c r="A107" s="12" t="s">
        <v>16</v>
      </c>
      <c r="B107" s="4">
        <v>16</v>
      </c>
      <c r="C107" s="3">
        <v>20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6">
        <f>COLUMN()</f>
        <v>23</v>
      </c>
      <c r="X107" s="3"/>
      <c r="Y107" s="3"/>
      <c r="Z107" s="3"/>
      <c r="AA107" s="3"/>
      <c r="AB107" s="13"/>
      <c r="AL107" s="6">
        <f>COLUMN()</f>
        <v>38</v>
      </c>
      <c r="AS107" s="6">
        <f>COLUMN()</f>
        <v>45</v>
      </c>
      <c r="AZ107" s="6">
        <f>COLUMN()</f>
        <v>52</v>
      </c>
      <c r="BG107" s="6">
        <f>COLUMN()</f>
        <v>59</v>
      </c>
      <c r="BO107" s="6">
        <f>COLUMN()</f>
        <v>67</v>
      </c>
      <c r="BV107" s="6">
        <f>COLUMN()</f>
        <v>74</v>
      </c>
    </row>
    <row r="108" spans="1:85" ht="15.6" x14ac:dyDescent="0.3">
      <c r="A108" s="12" t="s">
        <v>17</v>
      </c>
      <c r="B108" s="4">
        <v>92</v>
      </c>
      <c r="C108" s="3">
        <v>45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13"/>
      <c r="AD108" s="25" t="s">
        <v>45</v>
      </c>
      <c r="AE108" s="26"/>
      <c r="AF108" s="27"/>
      <c r="AH108" s="24" t="s">
        <v>44</v>
      </c>
      <c r="AI108" s="9"/>
      <c r="AJ108" s="9"/>
      <c r="AK108" s="9"/>
      <c r="AL108" s="11"/>
    </row>
    <row r="109" spans="1:85" ht="15.6" x14ac:dyDescent="0.3">
      <c r="A109" s="12" t="s">
        <v>18</v>
      </c>
      <c r="B109" s="4">
        <v>39</v>
      </c>
      <c r="C109" s="3">
        <v>58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13"/>
      <c r="AD109" s="28" t="s">
        <v>46</v>
      </c>
      <c r="AE109" s="29"/>
      <c r="AF109" s="30"/>
      <c r="AH109" s="12"/>
      <c r="AI109" s="3"/>
      <c r="AJ109" s="3"/>
      <c r="AK109" s="3"/>
      <c r="AL109" s="13"/>
    </row>
    <row r="110" spans="1:85" ht="15.6" x14ac:dyDescent="0.3">
      <c r="A110" s="12" t="s">
        <v>19</v>
      </c>
      <c r="B110" s="4">
        <v>74</v>
      </c>
      <c r="C110" s="3">
        <v>88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13"/>
      <c r="AD110" s="28" t="s">
        <v>47</v>
      </c>
      <c r="AE110" s="29"/>
      <c r="AF110" s="30"/>
      <c r="AH110" s="12"/>
      <c r="AI110" s="3"/>
      <c r="AJ110" s="3"/>
      <c r="AK110" s="3"/>
      <c r="AL110" s="13"/>
    </row>
    <row r="111" spans="1:85" ht="16.2" thickBot="1" x14ac:dyDescent="0.35">
      <c r="A111" s="12" t="s">
        <v>20</v>
      </c>
      <c r="B111" s="4">
        <v>99</v>
      </c>
      <c r="C111" s="3">
        <v>47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13"/>
      <c r="AD111" s="31" t="s">
        <v>48</v>
      </c>
      <c r="AE111" s="32"/>
      <c r="AF111" s="33"/>
      <c r="AH111" s="12"/>
      <c r="AI111" s="3"/>
      <c r="AJ111" s="3"/>
      <c r="AK111" s="3"/>
      <c r="AL111" s="13"/>
    </row>
    <row r="112" spans="1:85" x14ac:dyDescent="0.3">
      <c r="A112" s="12" t="s">
        <v>21</v>
      </c>
      <c r="B112" s="4">
        <v>41</v>
      </c>
      <c r="C112" s="3">
        <v>36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13"/>
      <c r="AH112" s="12"/>
      <c r="AI112" s="3"/>
      <c r="AJ112" s="3"/>
      <c r="AK112" s="3"/>
      <c r="AL112" s="13"/>
    </row>
    <row r="113" spans="1:38" ht="15" thickBot="1" x14ac:dyDescent="0.35">
      <c r="A113" s="12" t="s">
        <v>22</v>
      </c>
      <c r="B113" s="4">
        <v>27</v>
      </c>
      <c r="C113" s="3">
        <v>51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13"/>
      <c r="AH113" s="19" cm="1">
        <f t="array" ref="AH113">SUMPRODUCT(MMULT(B3:B102*K3:K102*POWER(E3:E102,N3:N102)*CC3:CG102,H134:H138))</f>
        <v>37906.151969006882</v>
      </c>
      <c r="AI113" s="20"/>
      <c r="AJ113" s="20"/>
      <c r="AK113" s="20"/>
      <c r="AL113" s="21"/>
    </row>
    <row r="114" spans="1:38" x14ac:dyDescent="0.3">
      <c r="A114" s="12" t="s">
        <v>23</v>
      </c>
      <c r="B114" s="4">
        <v>93</v>
      </c>
      <c r="C114" s="3">
        <v>88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13"/>
    </row>
    <row r="115" spans="1:38" x14ac:dyDescent="0.3">
      <c r="A115" s="12" t="s">
        <v>24</v>
      </c>
      <c r="B115" s="4">
        <v>100</v>
      </c>
      <c r="C115" s="3">
        <v>22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13"/>
    </row>
    <row r="116" spans="1:38" x14ac:dyDescent="0.3">
      <c r="A116" s="12" t="s">
        <v>25</v>
      </c>
      <c r="B116" s="4">
        <v>41</v>
      </c>
      <c r="C116" s="3">
        <v>99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13"/>
    </row>
    <row r="117" spans="1:38" x14ac:dyDescent="0.3">
      <c r="A117" s="1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13"/>
    </row>
    <row r="118" spans="1:38" x14ac:dyDescent="0.3">
      <c r="A118" s="12" t="s">
        <v>9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13"/>
    </row>
    <row r="119" spans="1:38" x14ac:dyDescent="0.3">
      <c r="A119" s="18" t="s">
        <v>14</v>
      </c>
      <c r="B119" s="4">
        <v>3</v>
      </c>
      <c r="C119" s="3">
        <v>8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13"/>
    </row>
    <row r="120" spans="1:38" x14ac:dyDescent="0.3">
      <c r="A120" s="12" t="s">
        <v>16</v>
      </c>
      <c r="B120" s="4">
        <v>16</v>
      </c>
      <c r="C120" s="3">
        <v>20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13"/>
    </row>
    <row r="121" spans="1:38" x14ac:dyDescent="0.3">
      <c r="A121" s="12" t="s">
        <v>26</v>
      </c>
      <c r="B121" s="4">
        <v>12</v>
      </c>
      <c r="C121" s="3">
        <v>1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13"/>
    </row>
    <row r="122" spans="1:38" x14ac:dyDescent="0.3">
      <c r="A122" s="12" t="s">
        <v>27</v>
      </c>
      <c r="B122" s="4">
        <v>15</v>
      </c>
      <c r="C122" s="3">
        <v>9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13"/>
    </row>
    <row r="123" spans="1:38" x14ac:dyDescent="0.3">
      <c r="A123" s="12" t="s">
        <v>28</v>
      </c>
      <c r="B123" s="4">
        <v>30</v>
      </c>
      <c r="C123" s="3">
        <v>35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13"/>
    </row>
    <row r="124" spans="1:38" x14ac:dyDescent="0.3">
      <c r="A124" s="12" t="s">
        <v>29</v>
      </c>
      <c r="B124" s="4">
        <v>41</v>
      </c>
      <c r="C124" s="3">
        <v>47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13"/>
    </row>
    <row r="125" spans="1:38" x14ac:dyDescent="0.3">
      <c r="A125" s="12" t="s">
        <v>30</v>
      </c>
      <c r="B125" s="4">
        <v>57</v>
      </c>
      <c r="C125" s="3">
        <v>64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13"/>
    </row>
    <row r="126" spans="1:38" x14ac:dyDescent="0.3">
      <c r="A126" s="12" t="s">
        <v>31</v>
      </c>
      <c r="B126" s="4">
        <v>71</v>
      </c>
      <c r="C126" s="3">
        <v>82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13"/>
    </row>
    <row r="127" spans="1:38" x14ac:dyDescent="0.3">
      <c r="A127" s="12" t="s">
        <v>32</v>
      </c>
      <c r="B127" s="4">
        <v>96</v>
      </c>
      <c r="C127" s="3">
        <v>89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13"/>
    </row>
    <row r="128" spans="1:38" x14ac:dyDescent="0.3">
      <c r="A128" s="12" t="s">
        <v>33</v>
      </c>
      <c r="B128" s="4">
        <v>55</v>
      </c>
      <c r="C128" s="3">
        <v>78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13"/>
    </row>
    <row r="129" spans="1:57" x14ac:dyDescent="0.3">
      <c r="A129" s="12" t="s">
        <v>21</v>
      </c>
      <c r="B129" s="4">
        <v>41</v>
      </c>
      <c r="C129" s="3">
        <v>36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13"/>
    </row>
    <row r="130" spans="1:57" x14ac:dyDescent="0.3">
      <c r="A130" s="12" t="s">
        <v>20</v>
      </c>
      <c r="B130" s="4">
        <v>99</v>
      </c>
      <c r="C130" s="3">
        <v>47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13"/>
    </row>
    <row r="131" spans="1:57" x14ac:dyDescent="0.3">
      <c r="A131" s="12" t="s">
        <v>23</v>
      </c>
      <c r="B131" s="4">
        <v>93</v>
      </c>
      <c r="C131" s="3">
        <v>88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13"/>
    </row>
    <row r="132" spans="1:57" x14ac:dyDescent="0.3">
      <c r="A132" s="1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13"/>
    </row>
    <row r="133" spans="1:57" x14ac:dyDescent="0.3">
      <c r="A133" s="12" t="s">
        <v>10</v>
      </c>
      <c r="B133" s="3"/>
      <c r="C133" s="3"/>
      <c r="D133" s="3" t="s">
        <v>11</v>
      </c>
      <c r="E133" s="3"/>
      <c r="F133" s="3"/>
      <c r="G133" s="3" t="s">
        <v>12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13"/>
    </row>
    <row r="134" spans="1:57" x14ac:dyDescent="0.3">
      <c r="A134" s="14">
        <v>1</v>
      </c>
      <c r="B134" s="3">
        <v>125</v>
      </c>
      <c r="C134" s="3"/>
      <c r="D134" s="1">
        <v>1</v>
      </c>
      <c r="E134" s="15">
        <v>34</v>
      </c>
      <c r="F134" s="15"/>
      <c r="G134" s="1">
        <v>1</v>
      </c>
      <c r="H134" s="3">
        <v>0.25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13"/>
    </row>
    <row r="135" spans="1:57" x14ac:dyDescent="0.3">
      <c r="A135" s="14">
        <v>2</v>
      </c>
      <c r="B135" s="3">
        <v>163</v>
      </c>
      <c r="C135" s="3"/>
      <c r="D135" s="1">
        <v>2</v>
      </c>
      <c r="E135" s="15">
        <v>30</v>
      </c>
      <c r="F135" s="15"/>
      <c r="G135" s="1">
        <v>2</v>
      </c>
      <c r="H135" s="3">
        <v>0.6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13"/>
    </row>
    <row r="136" spans="1:57" x14ac:dyDescent="0.3">
      <c r="A136" s="14">
        <v>3</v>
      </c>
      <c r="B136" s="3">
        <v>200</v>
      </c>
      <c r="C136" s="3"/>
      <c r="D136" s="1">
        <v>3</v>
      </c>
      <c r="E136" s="15">
        <v>26</v>
      </c>
      <c r="F136" s="15"/>
      <c r="G136" s="1">
        <v>3</v>
      </c>
      <c r="H136" s="3">
        <v>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13"/>
    </row>
    <row r="137" spans="1:57" x14ac:dyDescent="0.3">
      <c r="A137" s="14">
        <v>4</v>
      </c>
      <c r="B137" s="3">
        <v>238</v>
      </c>
      <c r="C137" s="3"/>
      <c r="D137" s="1">
        <v>4</v>
      </c>
      <c r="E137" s="15">
        <v>27</v>
      </c>
      <c r="F137" s="15"/>
      <c r="G137" s="1">
        <v>4</v>
      </c>
      <c r="H137" s="3">
        <v>0.6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13"/>
    </row>
    <row r="138" spans="1:57" x14ac:dyDescent="0.3">
      <c r="A138" s="14">
        <v>5</v>
      </c>
      <c r="B138" s="3">
        <v>275</v>
      </c>
      <c r="C138" s="3"/>
      <c r="D138" s="1">
        <v>5</v>
      </c>
      <c r="E138" s="15">
        <v>29</v>
      </c>
      <c r="F138" s="15"/>
      <c r="G138" s="1">
        <v>5</v>
      </c>
      <c r="H138" s="3">
        <v>0.25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13"/>
    </row>
    <row r="139" spans="1:57" ht="15" thickBot="1" x14ac:dyDescent="0.35">
      <c r="A139" s="19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1"/>
    </row>
    <row r="143" spans="1:57" ht="15" thickBot="1" x14ac:dyDescent="0.35"/>
    <row r="144" spans="1:57" x14ac:dyDescent="0.3">
      <c r="A144" s="8" t="s">
        <v>49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11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 x14ac:dyDescent="0.3">
      <c r="A145" s="1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1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 x14ac:dyDescent="0.3">
      <c r="A146" s="1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1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 x14ac:dyDescent="0.3">
      <c r="A147" s="1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1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 ht="15.6" x14ac:dyDescent="0.3">
      <c r="A148" s="12"/>
      <c r="B148" s="34" t="s">
        <v>50</v>
      </c>
      <c r="C148" s="34"/>
      <c r="D148" s="34"/>
      <c r="E148" s="34"/>
      <c r="F148" s="34"/>
      <c r="G148" s="34" t="s">
        <v>51</v>
      </c>
      <c r="H148" s="34"/>
      <c r="I148" s="34"/>
      <c r="J148" s="34"/>
      <c r="K148" s="34"/>
      <c r="L148" s="34" t="s">
        <v>52</v>
      </c>
      <c r="M148" s="34"/>
      <c r="N148" s="34"/>
      <c r="O148" s="34"/>
      <c r="P148" s="34"/>
      <c r="Q148" s="34" t="s">
        <v>53</v>
      </c>
      <c r="R148" s="34"/>
      <c r="S148" s="34"/>
      <c r="T148" s="34"/>
      <c r="U148" s="34"/>
      <c r="V148" s="34" t="s">
        <v>54</v>
      </c>
      <c r="W148" s="34"/>
      <c r="X148" s="34"/>
      <c r="Y148" s="34"/>
      <c r="Z148" s="34"/>
      <c r="AA148" s="34" t="s">
        <v>55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1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 ht="15.6" x14ac:dyDescent="0.3">
      <c r="A149" s="12"/>
      <c r="B149" s="3"/>
      <c r="C149" s="35">
        <f>SUM(AL3:AP3,AS3:AW3,AZ3:BD3,BG3:BK3)</f>
        <v>1</v>
      </c>
      <c r="D149" s="34" t="s">
        <v>56</v>
      </c>
      <c r="E149" s="3">
        <v>1</v>
      </c>
      <c r="F149" s="3"/>
      <c r="G149" s="3"/>
      <c r="H149" s="3" cm="1">
        <f t="array" ref="H149">SUM(W3:AA3*BV3:BZ3-Q3*BO3:BS3)</f>
        <v>7</v>
      </c>
      <c r="I149" s="3" t="s">
        <v>57</v>
      </c>
      <c r="J149" s="3">
        <v>0</v>
      </c>
      <c r="K149" s="3"/>
      <c r="L149" s="3"/>
      <c r="M149" s="3" cm="1">
        <f t="array" ref="M149">SUM(W3:AA3*BV3:BZ3-T3*BO3:BS3)</f>
        <v>-9</v>
      </c>
      <c r="N149" s="3" t="s">
        <v>56</v>
      </c>
      <c r="O149" s="3">
        <v>0</v>
      </c>
      <c r="P149" s="3"/>
      <c r="Q149" s="3"/>
      <c r="R149" s="6" cm="1">
        <f t="array" aca="1" ref="R149" ca="1">-B134+SUM(INDIRECT(ADDRESS(3,73+ROWS($A$1:A1))):INDIRECT(ADDRESS(102,73+ROWS($A$1:A1)))*$E$3:$E$102)</f>
        <v>0</v>
      </c>
      <c r="S149" s="6" t="s">
        <v>56</v>
      </c>
      <c r="T149" s="6">
        <v>0</v>
      </c>
      <c r="U149" s="6"/>
      <c r="V149" s="6"/>
      <c r="W149" s="6">
        <f ca="1">SUM(INDIRECT(ADDRESS(2+B119,67)):INDIRECT(ADDRESS(2+B119,71)))-SUM(INDIRECT(ADDRESS(2+C119,67)):INDIRECT(ADDRESS(2+C119,71)))</f>
        <v>0</v>
      </c>
      <c r="X149" s="6" t="s">
        <v>58</v>
      </c>
      <c r="Y149" s="6">
        <v>0</v>
      </c>
      <c r="Z149" s="6"/>
      <c r="AA149" s="6"/>
      <c r="AB149" s="36" cm="1">
        <f t="array" aca="1" ref="AB149" ca="1">INDIRECT(ADDRESS(2+$B105,66+COLUMNS($A1:A1)))+INDIRECT(ADDRESS(2+$C105,66+COLUMNS($A1:A1)))</f>
        <v>1</v>
      </c>
      <c r="AC149" s="36" cm="1">
        <f t="array" aca="1" ref="AC149" ca="1">INDIRECT(ADDRESS(2+$B105,66+COLUMNS($A1:B1)))+INDIRECT(ADDRESS(2+$C105,66+COLUMNS($A1:B1)))</f>
        <v>0</v>
      </c>
      <c r="AD149" s="36" cm="1">
        <f t="array" aca="1" ref="AD149" ca="1">INDIRECT(ADDRESS(2+$B105,66+COLUMNS($A1:C1)))+INDIRECT(ADDRESS(2+$C105,66+COLUMNS($A1:C1)))</f>
        <v>0</v>
      </c>
      <c r="AE149" s="36" cm="1">
        <f t="array" aca="1" ref="AE149" ca="1">INDIRECT(ADDRESS(2+$B105,66+COLUMNS($A1:D1)))+INDIRECT(ADDRESS(2+$C105,66+COLUMNS($A1:D1)))</f>
        <v>0</v>
      </c>
      <c r="AF149" s="36" cm="1">
        <f t="array" aca="1" ref="AF149" ca="1">INDIRECT(ADDRESS(2+$B105,66+COLUMNS($A1:E1)))+INDIRECT(ADDRESS(2+$C105,66+COLUMNS($A1:E1)))</f>
        <v>1</v>
      </c>
      <c r="AG149" s="3" t="s">
        <v>56</v>
      </c>
      <c r="AH149" s="3">
        <v>1</v>
      </c>
      <c r="AI149" s="3">
        <v>1</v>
      </c>
      <c r="AJ149" s="2">
        <v>1</v>
      </c>
      <c r="AK149" s="2">
        <v>1</v>
      </c>
      <c r="AL149" s="13">
        <v>1</v>
      </c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 ht="15.6" x14ac:dyDescent="0.3">
      <c r="A150" s="12"/>
      <c r="B150" s="3"/>
      <c r="C150" s="35">
        <f t="shared" ref="C150:C213" si="40">SUM(AL4:AP4,AS4:AW4,AZ4:BD4,BG4:BK4)</f>
        <v>0</v>
      </c>
      <c r="D150" s="34" t="s">
        <v>56</v>
      </c>
      <c r="E150" s="3">
        <v>1</v>
      </c>
      <c r="F150" s="3"/>
      <c r="G150" s="3"/>
      <c r="H150" s="3" cm="1">
        <f t="array" ref="H150">SUM(W4:AA4*BV4:BZ4-Q4*BO4:BS4)</f>
        <v>0</v>
      </c>
      <c r="I150" s="3" t="s">
        <v>57</v>
      </c>
      <c r="J150" s="3">
        <v>0</v>
      </c>
      <c r="K150" s="3"/>
      <c r="L150" s="3"/>
      <c r="M150" s="3" cm="1">
        <f t="array" ref="M150">SUM(W4:AA4*BV4:BZ4-T4*BO4:BS4)</f>
        <v>0</v>
      </c>
      <c r="N150" s="3" t="s">
        <v>56</v>
      </c>
      <c r="O150" s="3">
        <v>0</v>
      </c>
      <c r="P150" s="3"/>
      <c r="Q150" s="3"/>
      <c r="R150" s="6" cm="1">
        <f t="array" aca="1" ref="R150" ca="1">-B135+SUM(INDIRECT(ADDRESS(3,73+ROWS($A$1:A2))):INDIRECT(ADDRESS(102,73+ROWS($A$1:A2)))*$E$3:$E$102)</f>
        <v>0</v>
      </c>
      <c r="S150" s="3" t="s">
        <v>56</v>
      </c>
      <c r="T150" s="3">
        <v>0</v>
      </c>
      <c r="U150" s="3"/>
      <c r="V150" s="3"/>
      <c r="W150" s="6">
        <f ca="1">SUM(INDIRECT(ADDRESS(2+B120,67)):INDIRECT(ADDRESS(2+B120,71)))-SUM(INDIRECT(ADDRESS(2+C120,67)):INDIRECT(ADDRESS(2+C120,71)))</f>
        <v>0</v>
      </c>
      <c r="X150" s="3" t="s">
        <v>58</v>
      </c>
      <c r="Y150" s="3">
        <v>0</v>
      </c>
      <c r="Z150" s="3"/>
      <c r="AA150" s="3"/>
      <c r="AB150" s="36" cm="1">
        <f t="array" aca="1" ref="AB150" ca="1">INDIRECT(ADDRESS(2+$B106,66+COLUMNS($A2:A2)))+INDIRECT(ADDRESS(2+$C106,66+COLUMNS($A2:A2)))</f>
        <v>0</v>
      </c>
      <c r="AC150" s="36" cm="1">
        <f t="array" aca="1" ref="AC150" ca="1">INDIRECT(ADDRESS(2+$B106,66+COLUMNS($A2:B2)))+INDIRECT(ADDRESS(2+$C106,66+COLUMNS($A2:B2)))</f>
        <v>1</v>
      </c>
      <c r="AD150" s="36" cm="1">
        <f t="array" aca="1" ref="AD150" ca="1">INDIRECT(ADDRESS(2+$B106,66+COLUMNS($A2:C2)))+INDIRECT(ADDRESS(2+$C106,66+COLUMNS($A2:C2)))</f>
        <v>0</v>
      </c>
      <c r="AE150" s="36" cm="1">
        <f t="array" aca="1" ref="AE150" ca="1">INDIRECT(ADDRESS(2+$B106,66+COLUMNS($A2:D2)))+INDIRECT(ADDRESS(2+$C106,66+COLUMNS($A2:D2)))</f>
        <v>0</v>
      </c>
      <c r="AF150" s="36" cm="1">
        <f t="array" aca="1" ref="AF150" ca="1">INDIRECT(ADDRESS(2+$B106,66+COLUMNS($A2:E2)))+INDIRECT(ADDRESS(2+$C106,66+COLUMNS($A2:E2)))</f>
        <v>0</v>
      </c>
      <c r="AG150" s="3" t="s">
        <v>56</v>
      </c>
      <c r="AH150" s="3">
        <v>1</v>
      </c>
      <c r="AI150" s="3">
        <v>1</v>
      </c>
      <c r="AJ150" s="2">
        <v>1</v>
      </c>
      <c r="AK150" s="2">
        <v>1</v>
      </c>
      <c r="AL150" s="13">
        <v>1</v>
      </c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 ht="15.6" x14ac:dyDescent="0.3">
      <c r="A151" s="12"/>
      <c r="B151" s="3"/>
      <c r="C151" s="35">
        <f t="shared" si="40"/>
        <v>1</v>
      </c>
      <c r="D151" s="34" t="s">
        <v>56</v>
      </c>
      <c r="E151" s="3">
        <v>1</v>
      </c>
      <c r="F151" s="3"/>
      <c r="G151" s="3"/>
      <c r="H151" s="3" cm="1">
        <f t="array" ref="H151">SUM(W5:AA5*BV5:BZ5-Q5*BO5:BS5)</f>
        <v>3</v>
      </c>
      <c r="I151" s="3" t="s">
        <v>57</v>
      </c>
      <c r="J151" s="3">
        <v>0</v>
      </c>
      <c r="K151" s="3"/>
      <c r="L151" s="3"/>
      <c r="M151" s="3" cm="1">
        <f t="array" ref="M151">SUM(W5:AA5*BV5:BZ5-T5*BO5:BS5)</f>
        <v>-12</v>
      </c>
      <c r="N151" s="3" t="s">
        <v>56</v>
      </c>
      <c r="O151" s="3">
        <v>0</v>
      </c>
      <c r="P151" s="3"/>
      <c r="Q151" s="3"/>
      <c r="R151" s="6" cm="1">
        <f t="array" aca="1" ref="R151" ca="1">-B136+SUM(INDIRECT(ADDRESS(3,73+ROWS($A$1:A3))):INDIRECT(ADDRESS(102,73+ROWS($A$1:A3)))*$E$3:$E$102)</f>
        <v>-1</v>
      </c>
      <c r="S151" s="3" t="s">
        <v>56</v>
      </c>
      <c r="T151" s="3">
        <v>0</v>
      </c>
      <c r="U151" s="3"/>
      <c r="V151" s="3"/>
      <c r="W151" s="6">
        <f ca="1">SUM(INDIRECT(ADDRESS(2+B121,67)):INDIRECT(ADDRESS(2+B121,71)))-SUM(INDIRECT(ADDRESS(2+C121,67)):INDIRECT(ADDRESS(2+C121,71)))</f>
        <v>0</v>
      </c>
      <c r="X151" s="3" t="s">
        <v>58</v>
      </c>
      <c r="Y151" s="3">
        <v>0</v>
      </c>
      <c r="Z151" s="3"/>
      <c r="AA151" s="3"/>
      <c r="AB151" s="36" cm="1">
        <f t="array" aca="1" ref="AB151" ca="1">INDIRECT(ADDRESS(2+$B107,66+COLUMNS($A3:A3)))+INDIRECT(ADDRESS(2+$C107,66+COLUMNS($A3:A3)))</f>
        <v>0</v>
      </c>
      <c r="AC151" s="36" cm="1">
        <f t="array" aca="1" ref="AC151" ca="1">INDIRECT(ADDRESS(2+$B107,66+COLUMNS($A3:B3)))+INDIRECT(ADDRESS(2+$C107,66+COLUMNS($A3:B3)))</f>
        <v>0</v>
      </c>
      <c r="AD151" s="36" cm="1">
        <f t="array" aca="1" ref="AD151" ca="1">INDIRECT(ADDRESS(2+$B107,66+COLUMNS($A3:C3)))+INDIRECT(ADDRESS(2+$C107,66+COLUMNS($A3:C3)))</f>
        <v>0</v>
      </c>
      <c r="AE151" s="36" cm="1">
        <f t="array" aca="1" ref="AE151" ca="1">INDIRECT(ADDRESS(2+$B107,66+COLUMNS($A3:D3)))+INDIRECT(ADDRESS(2+$C107,66+COLUMNS($A3:D3)))</f>
        <v>0</v>
      </c>
      <c r="AF151" s="36" cm="1">
        <f t="array" aca="1" ref="AF151" ca="1">INDIRECT(ADDRESS(2+$B107,66+COLUMNS($A3:E3)))+INDIRECT(ADDRESS(2+$C107,66+COLUMNS($A3:E3)))</f>
        <v>0</v>
      </c>
      <c r="AG151" s="3" t="s">
        <v>56</v>
      </c>
      <c r="AH151" s="3">
        <v>1</v>
      </c>
      <c r="AI151" s="3">
        <v>1</v>
      </c>
      <c r="AJ151" s="2">
        <v>1</v>
      </c>
      <c r="AK151" s="2">
        <v>1</v>
      </c>
      <c r="AL151" s="13">
        <v>1</v>
      </c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 ht="15.6" x14ac:dyDescent="0.3">
      <c r="A152" s="12"/>
      <c r="B152" s="3"/>
      <c r="C152" s="35">
        <f t="shared" si="40"/>
        <v>0</v>
      </c>
      <c r="D152" s="34" t="s">
        <v>56</v>
      </c>
      <c r="E152" s="3">
        <v>1</v>
      </c>
      <c r="F152" s="3"/>
      <c r="G152" s="3"/>
      <c r="H152" s="3" cm="1">
        <f t="array" ref="H152">SUM(W6:AA6*BV6:BZ6-Q6*BO6:BS6)</f>
        <v>0</v>
      </c>
      <c r="I152" s="3" t="s">
        <v>57</v>
      </c>
      <c r="J152" s="3">
        <v>0</v>
      </c>
      <c r="K152" s="3"/>
      <c r="L152" s="3"/>
      <c r="M152" s="3" cm="1">
        <f t="array" ref="M152">SUM(W6:AA6*BV6:BZ6-T6*BO6:BS6)</f>
        <v>0</v>
      </c>
      <c r="N152" s="3" t="s">
        <v>56</v>
      </c>
      <c r="O152" s="3">
        <v>0</v>
      </c>
      <c r="P152" s="3"/>
      <c r="Q152" s="3"/>
      <c r="R152" s="6" cm="1">
        <f t="array" aca="1" ref="R152" ca="1">-B137+SUM(INDIRECT(ADDRESS(3,73+ROWS($A$1:A4))):INDIRECT(ADDRESS(102,73+ROWS($A$1:A4)))*$E$3:$E$102)</f>
        <v>0</v>
      </c>
      <c r="S152" s="3" t="s">
        <v>56</v>
      </c>
      <c r="T152" s="3">
        <v>0</v>
      </c>
      <c r="U152" s="3"/>
      <c r="V152" s="3"/>
      <c r="W152" s="6">
        <f ca="1">SUM(INDIRECT(ADDRESS(2+B122,67)):INDIRECT(ADDRESS(2+B122,71)))-SUM(INDIRECT(ADDRESS(2+C122,67)):INDIRECT(ADDRESS(2+C122,71)))</f>
        <v>0</v>
      </c>
      <c r="X152" s="3" t="s">
        <v>58</v>
      </c>
      <c r="Y152" s="3">
        <v>0</v>
      </c>
      <c r="Z152" s="3"/>
      <c r="AA152" s="3"/>
      <c r="AB152" s="36" cm="1">
        <f t="array" aca="1" ref="AB152" ca="1">INDIRECT(ADDRESS(2+$B108,66+COLUMNS($A4:A4)))+INDIRECT(ADDRESS(2+$C108,66+COLUMNS($A4:A4)))</f>
        <v>1</v>
      </c>
      <c r="AC152" s="36" cm="1">
        <f t="array" aca="1" ref="AC152" ca="1">INDIRECT(ADDRESS(2+$B108,66+COLUMNS($A4:B4)))+INDIRECT(ADDRESS(2+$C108,66+COLUMNS($A4:B4)))</f>
        <v>0</v>
      </c>
      <c r="AD152" s="36" cm="1">
        <f t="array" aca="1" ref="AD152" ca="1">INDIRECT(ADDRESS(2+$B108,66+COLUMNS($A4:C4)))+INDIRECT(ADDRESS(2+$C108,66+COLUMNS($A4:C4)))</f>
        <v>0</v>
      </c>
      <c r="AE152" s="36" cm="1">
        <f t="array" aca="1" ref="AE152" ca="1">INDIRECT(ADDRESS(2+$B108,66+COLUMNS($A4:D4)))+INDIRECT(ADDRESS(2+$C108,66+COLUMNS($A4:D4)))</f>
        <v>1</v>
      </c>
      <c r="AF152" s="36" cm="1">
        <f t="array" aca="1" ref="AF152" ca="1">INDIRECT(ADDRESS(2+$B108,66+COLUMNS($A4:E4)))+INDIRECT(ADDRESS(2+$C108,66+COLUMNS($A4:E4)))</f>
        <v>0</v>
      </c>
      <c r="AG152" s="3" t="s">
        <v>56</v>
      </c>
      <c r="AH152" s="3">
        <v>1</v>
      </c>
      <c r="AI152" s="3">
        <v>1</v>
      </c>
      <c r="AJ152" s="2">
        <v>1</v>
      </c>
      <c r="AK152" s="2">
        <v>1</v>
      </c>
      <c r="AL152" s="13">
        <v>1</v>
      </c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 ht="15.6" x14ac:dyDescent="0.3">
      <c r="A153" s="12"/>
      <c r="B153" s="3"/>
      <c r="C153" s="35">
        <f t="shared" si="40"/>
        <v>1</v>
      </c>
      <c r="D153" s="34" t="s">
        <v>56</v>
      </c>
      <c r="E153" s="3">
        <v>1</v>
      </c>
      <c r="F153" s="3"/>
      <c r="G153" s="3"/>
      <c r="H153" s="3" cm="1">
        <f t="array" ref="H153">SUM(W7:AA7*BV7:BZ7-Q7*BO7:BS7)</f>
        <v>13</v>
      </c>
      <c r="I153" s="3" t="s">
        <v>57</v>
      </c>
      <c r="J153" s="3">
        <v>0</v>
      </c>
      <c r="K153" s="3"/>
      <c r="L153" s="3"/>
      <c r="M153" s="3" cm="1">
        <f t="array" ref="M153">SUM(W7:AA7*BV7:BZ7-T7*BO7:BS7)</f>
        <v>-2</v>
      </c>
      <c r="N153" s="3" t="s">
        <v>56</v>
      </c>
      <c r="O153" s="3">
        <v>0</v>
      </c>
      <c r="P153" s="3"/>
      <c r="Q153" s="3"/>
      <c r="R153" s="6" cm="1">
        <f t="array" aca="1" ref="R153" ca="1">-B138+SUM(INDIRECT(ADDRESS(3,73+ROWS($A$1:A5))):INDIRECT(ADDRESS(102,73+ROWS($A$1:A5)))*$E$3:$E$102)</f>
        <v>0</v>
      </c>
      <c r="S153" s="3" t="s">
        <v>56</v>
      </c>
      <c r="T153" s="3">
        <v>0</v>
      </c>
      <c r="U153" s="3"/>
      <c r="V153" s="3"/>
      <c r="W153" s="6">
        <f ca="1">SUM(INDIRECT(ADDRESS(2+B123,67)):INDIRECT(ADDRESS(2+B123,71)))-SUM(INDIRECT(ADDRESS(2+C123,67)):INDIRECT(ADDRESS(2+C123,71)))</f>
        <v>0</v>
      </c>
      <c r="X153" s="3" t="s">
        <v>58</v>
      </c>
      <c r="Y153" s="3">
        <v>0</v>
      </c>
      <c r="Z153" s="3"/>
      <c r="AA153" s="3"/>
      <c r="AB153" s="36" cm="1">
        <f t="array" aca="1" ref="AB153" ca="1">INDIRECT(ADDRESS(2+$B109,66+COLUMNS($A5:A5)))+INDIRECT(ADDRESS(2+$C109,66+COLUMNS($A5:A5)))</f>
        <v>1</v>
      </c>
      <c r="AC153" s="36" cm="1">
        <f t="array" aca="1" ref="AC153" ca="1">INDIRECT(ADDRESS(2+$B109,66+COLUMNS($A5:B5)))+INDIRECT(ADDRESS(2+$C109,66+COLUMNS($A5:B5)))</f>
        <v>0</v>
      </c>
      <c r="AD153" s="36" cm="1">
        <f t="array" aca="1" ref="AD153" ca="1">INDIRECT(ADDRESS(2+$B109,66+COLUMNS($A5:C5)))+INDIRECT(ADDRESS(2+$C109,66+COLUMNS($A5:C5)))</f>
        <v>0</v>
      </c>
      <c r="AE153" s="36" cm="1">
        <f t="array" aca="1" ref="AE153" ca="1">INDIRECT(ADDRESS(2+$B109,66+COLUMNS($A5:D5)))+INDIRECT(ADDRESS(2+$C109,66+COLUMNS($A5:D5)))</f>
        <v>0</v>
      </c>
      <c r="AF153" s="36" cm="1">
        <f t="array" aca="1" ref="AF153" ca="1">INDIRECT(ADDRESS(2+$B109,66+COLUMNS($A5:E5)))+INDIRECT(ADDRESS(2+$C109,66+COLUMNS($A5:E5)))</f>
        <v>0</v>
      </c>
      <c r="AG153" s="3" t="s">
        <v>56</v>
      </c>
      <c r="AH153" s="3">
        <v>1</v>
      </c>
      <c r="AI153" s="3">
        <v>1</v>
      </c>
      <c r="AJ153" s="2">
        <v>1</v>
      </c>
      <c r="AK153" s="2">
        <v>1</v>
      </c>
      <c r="AL153" s="13">
        <v>1</v>
      </c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 ht="15.6" x14ac:dyDescent="0.3">
      <c r="A154" s="12"/>
      <c r="B154" s="3"/>
      <c r="C154" s="35">
        <f t="shared" si="40"/>
        <v>0</v>
      </c>
      <c r="D154" s="34" t="s">
        <v>56</v>
      </c>
      <c r="E154" s="3">
        <v>1</v>
      </c>
      <c r="F154" s="3"/>
      <c r="G154" s="3"/>
      <c r="H154" s="3" cm="1">
        <f t="array" ref="H154">SUM(W8:AA8*BV8:BZ8-Q8*BO8:BS8)</f>
        <v>0</v>
      </c>
      <c r="I154" s="3" t="s">
        <v>57</v>
      </c>
      <c r="J154" s="3">
        <v>0</v>
      </c>
      <c r="K154" s="3"/>
      <c r="L154" s="3"/>
      <c r="M154" s="3" cm="1">
        <f t="array" ref="M154">SUM(W8:AA8*BV8:BZ8-T8*BO8:BS8)</f>
        <v>0</v>
      </c>
      <c r="N154" s="3" t="s">
        <v>56</v>
      </c>
      <c r="O154" s="3">
        <v>0</v>
      </c>
      <c r="P154" s="3"/>
      <c r="Q154" s="3"/>
      <c r="R154" s="3"/>
      <c r="S154" s="3"/>
      <c r="T154" s="3"/>
      <c r="U154" s="3"/>
      <c r="V154" s="3"/>
      <c r="W154" s="6">
        <f ca="1">SUM(INDIRECT(ADDRESS(2+B124,67)):INDIRECT(ADDRESS(2+B124,71)))-SUM(INDIRECT(ADDRESS(2+C124,67)):INDIRECT(ADDRESS(2+C124,71)))</f>
        <v>0</v>
      </c>
      <c r="X154" s="3" t="s">
        <v>58</v>
      </c>
      <c r="Y154" s="3">
        <v>0</v>
      </c>
      <c r="Z154" s="3"/>
      <c r="AA154" s="3"/>
      <c r="AB154" s="36" cm="1">
        <f t="array" aca="1" ref="AB154" ca="1">INDIRECT(ADDRESS(2+$B110,66+COLUMNS($A6:A6)))+INDIRECT(ADDRESS(2+$C110,66+COLUMNS($A6:A6)))</f>
        <v>1</v>
      </c>
      <c r="AC154" s="36" cm="1">
        <f t="array" aca="1" ref="AC154" ca="1">INDIRECT(ADDRESS(2+$B110,66+COLUMNS($A6:B6)))+INDIRECT(ADDRESS(2+$C110,66+COLUMNS($A6:B6)))</f>
        <v>0</v>
      </c>
      <c r="AD154" s="36" cm="1">
        <f t="array" aca="1" ref="AD154" ca="1">INDIRECT(ADDRESS(2+$B110,66+COLUMNS($A6:C6)))+INDIRECT(ADDRESS(2+$C110,66+COLUMNS($A6:C6)))</f>
        <v>0</v>
      </c>
      <c r="AE154" s="36" cm="1">
        <f t="array" aca="1" ref="AE154" ca="1">INDIRECT(ADDRESS(2+$B110,66+COLUMNS($A6:D6)))+INDIRECT(ADDRESS(2+$C110,66+COLUMNS($A6:D6)))</f>
        <v>1</v>
      </c>
      <c r="AF154" s="36" cm="1">
        <f t="array" aca="1" ref="AF154" ca="1">INDIRECT(ADDRESS(2+$B110,66+COLUMNS($A6:E6)))+INDIRECT(ADDRESS(2+$C110,66+COLUMNS($A6:E6)))</f>
        <v>0</v>
      </c>
      <c r="AG154" s="3" t="s">
        <v>56</v>
      </c>
      <c r="AH154" s="3">
        <v>1</v>
      </c>
      <c r="AI154" s="3">
        <v>1</v>
      </c>
      <c r="AJ154" s="2">
        <v>1</v>
      </c>
      <c r="AK154" s="2">
        <v>1</v>
      </c>
      <c r="AL154" s="13">
        <v>1</v>
      </c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 ht="15.6" x14ac:dyDescent="0.3">
      <c r="A155" s="12"/>
      <c r="B155" s="3"/>
      <c r="C155" s="35">
        <f t="shared" si="40"/>
        <v>0</v>
      </c>
      <c r="D155" s="34" t="s">
        <v>56</v>
      </c>
      <c r="E155" s="3">
        <v>1</v>
      </c>
      <c r="F155" s="3"/>
      <c r="G155" s="3"/>
      <c r="H155" s="3" cm="1">
        <f t="array" ref="H155">SUM(W9:AA9*BV9:BZ9-Q9*BO9:BS9)</f>
        <v>0</v>
      </c>
      <c r="I155" s="3" t="s">
        <v>57</v>
      </c>
      <c r="J155" s="3">
        <v>0</v>
      </c>
      <c r="K155" s="3"/>
      <c r="L155" s="3"/>
      <c r="M155" s="3" cm="1">
        <f t="array" ref="M155">SUM(W9:AA9*BV9:BZ9-T9*BO9:BS9)</f>
        <v>0</v>
      </c>
      <c r="N155" s="3" t="s">
        <v>56</v>
      </c>
      <c r="O155" s="3">
        <v>0</v>
      </c>
      <c r="P155" s="3"/>
      <c r="Q155" s="3"/>
      <c r="R155" s="3"/>
      <c r="S155" s="3"/>
      <c r="T155" s="3"/>
      <c r="U155" s="3"/>
      <c r="V155" s="3"/>
      <c r="W155" s="6">
        <f ca="1">SUM(INDIRECT(ADDRESS(2+B125,67)):INDIRECT(ADDRESS(2+B125,71)))-SUM(INDIRECT(ADDRESS(2+C125,67)):INDIRECT(ADDRESS(2+C125,71)))</f>
        <v>0</v>
      </c>
      <c r="X155" s="3" t="s">
        <v>58</v>
      </c>
      <c r="Y155" s="3">
        <v>0</v>
      </c>
      <c r="Z155" s="3"/>
      <c r="AA155" s="3"/>
      <c r="AB155" s="36" cm="1">
        <f t="array" aca="1" ref="AB155" ca="1">INDIRECT(ADDRESS(2+$B111,66+COLUMNS($A7:A7)))+INDIRECT(ADDRESS(2+$C111,66+COLUMNS($A7:A7)))</f>
        <v>1</v>
      </c>
      <c r="AC155" s="36" cm="1">
        <f t="array" aca="1" ref="AC155" ca="1">INDIRECT(ADDRESS(2+$B111,66+COLUMNS($A7:B7)))+INDIRECT(ADDRESS(2+$C111,66+COLUMNS($A7:B7)))</f>
        <v>0</v>
      </c>
      <c r="AD155" s="36" cm="1">
        <f t="array" aca="1" ref="AD155" ca="1">INDIRECT(ADDRESS(2+$B111,66+COLUMNS($A7:C7)))+INDIRECT(ADDRESS(2+$C111,66+COLUMNS($A7:C7)))</f>
        <v>0</v>
      </c>
      <c r="AE155" s="36" cm="1">
        <f t="array" aca="1" ref="AE155" ca="1">INDIRECT(ADDRESS(2+$B111,66+COLUMNS($A7:D7)))+INDIRECT(ADDRESS(2+$C111,66+COLUMNS($A7:D7)))</f>
        <v>0</v>
      </c>
      <c r="AF155" s="36" cm="1">
        <f t="array" aca="1" ref="AF155" ca="1">INDIRECT(ADDRESS(2+$B111,66+COLUMNS($A7:E7)))+INDIRECT(ADDRESS(2+$C111,66+COLUMNS($A7:E7)))</f>
        <v>1</v>
      </c>
      <c r="AG155" s="3" t="s">
        <v>56</v>
      </c>
      <c r="AH155" s="3">
        <v>1</v>
      </c>
      <c r="AI155" s="3">
        <v>1</v>
      </c>
      <c r="AJ155" s="2">
        <v>1</v>
      </c>
      <c r="AK155" s="2">
        <v>1</v>
      </c>
      <c r="AL155" s="13">
        <v>1</v>
      </c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 ht="15.6" x14ac:dyDescent="0.3">
      <c r="A156" s="12"/>
      <c r="B156" s="3"/>
      <c r="C156" s="35">
        <f t="shared" si="40"/>
        <v>1</v>
      </c>
      <c r="D156" s="34" t="s">
        <v>56</v>
      </c>
      <c r="E156" s="3">
        <v>1</v>
      </c>
      <c r="F156" s="3"/>
      <c r="G156" s="3"/>
      <c r="H156" s="3" cm="1">
        <f t="array" ref="H156">SUM(W10:AA10*BV10:BZ10-Q10*BO10:BS10)</f>
        <v>0</v>
      </c>
      <c r="I156" s="3" t="s">
        <v>57</v>
      </c>
      <c r="J156" s="3">
        <v>0</v>
      </c>
      <c r="K156" s="3"/>
      <c r="L156" s="3"/>
      <c r="M156" s="3" cm="1">
        <f t="array" ref="M156">SUM(W10:AA10*BV10:BZ10-T10*BO10:BS10)</f>
        <v>-11</v>
      </c>
      <c r="N156" s="3" t="s">
        <v>56</v>
      </c>
      <c r="O156" s="3">
        <v>0</v>
      </c>
      <c r="P156" s="3"/>
      <c r="Q156" s="3"/>
      <c r="R156" s="3"/>
      <c r="S156" s="3"/>
      <c r="T156" s="3"/>
      <c r="U156" s="3"/>
      <c r="V156" s="3"/>
      <c r="W156" s="6">
        <f ca="1">SUM(INDIRECT(ADDRESS(2+B126,67)):INDIRECT(ADDRESS(2+B126,71)))-SUM(INDIRECT(ADDRESS(2+C126,67)):INDIRECT(ADDRESS(2+C126,71)))</f>
        <v>0</v>
      </c>
      <c r="X156" s="3" t="s">
        <v>58</v>
      </c>
      <c r="Y156" s="3">
        <v>0</v>
      </c>
      <c r="Z156" s="3"/>
      <c r="AA156" s="3"/>
      <c r="AB156" s="36" cm="1">
        <f t="array" aca="1" ref="AB156" ca="1">INDIRECT(ADDRESS(2+$B112,66+COLUMNS($A8:A8)))+INDIRECT(ADDRESS(2+$C112,66+COLUMNS($A8:A8)))</f>
        <v>1</v>
      </c>
      <c r="AC156" s="36" cm="1">
        <f t="array" aca="1" ref="AC156" ca="1">INDIRECT(ADDRESS(2+$B112,66+COLUMNS($A8:B8)))+INDIRECT(ADDRESS(2+$C112,66+COLUMNS($A8:B8)))</f>
        <v>0</v>
      </c>
      <c r="AD156" s="36" cm="1">
        <f t="array" aca="1" ref="AD156" ca="1">INDIRECT(ADDRESS(2+$B112,66+COLUMNS($A8:C8)))+INDIRECT(ADDRESS(2+$C112,66+COLUMNS($A8:C8)))</f>
        <v>0</v>
      </c>
      <c r="AE156" s="36" cm="1">
        <f t="array" aca="1" ref="AE156" ca="1">INDIRECT(ADDRESS(2+$B112,66+COLUMNS($A8:D8)))+INDIRECT(ADDRESS(2+$C112,66+COLUMNS($A8:D8)))</f>
        <v>0</v>
      </c>
      <c r="AF156" s="36" cm="1">
        <f t="array" aca="1" ref="AF156" ca="1">INDIRECT(ADDRESS(2+$B112,66+COLUMNS($A8:E8)))+INDIRECT(ADDRESS(2+$C112,66+COLUMNS($A8:E8)))</f>
        <v>1</v>
      </c>
      <c r="AG156" s="3" t="s">
        <v>56</v>
      </c>
      <c r="AH156" s="3">
        <v>1</v>
      </c>
      <c r="AI156" s="3">
        <v>1</v>
      </c>
      <c r="AJ156" s="2">
        <v>1</v>
      </c>
      <c r="AK156" s="2">
        <v>1</v>
      </c>
      <c r="AL156" s="13">
        <v>1</v>
      </c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 ht="15.6" x14ac:dyDescent="0.3">
      <c r="A157" s="12"/>
      <c r="B157" s="3"/>
      <c r="C157" s="35">
        <f t="shared" si="40"/>
        <v>1</v>
      </c>
      <c r="D157" s="34" t="s">
        <v>56</v>
      </c>
      <c r="E157" s="3">
        <v>1</v>
      </c>
      <c r="F157" s="3"/>
      <c r="G157" s="3"/>
      <c r="H157" s="3" cm="1">
        <f t="array" ref="H157">SUM(W11:AA11*BV11:BZ11-Q11*BO11:BS11)</f>
        <v>1</v>
      </c>
      <c r="I157" s="3" t="s">
        <v>57</v>
      </c>
      <c r="J157" s="3">
        <v>0</v>
      </c>
      <c r="K157" s="3"/>
      <c r="L157" s="3"/>
      <c r="M157" s="3" cm="1">
        <f t="array" ref="M157">SUM(W11:AA11*BV11:BZ11-T11*BO11:BS11)</f>
        <v>-13</v>
      </c>
      <c r="N157" s="3" t="s">
        <v>56</v>
      </c>
      <c r="O157" s="3">
        <v>0</v>
      </c>
      <c r="P157" s="3"/>
      <c r="Q157" s="3"/>
      <c r="R157" s="3"/>
      <c r="S157" s="3"/>
      <c r="T157" s="3"/>
      <c r="U157" s="3"/>
      <c r="V157" s="3"/>
      <c r="W157" s="6">
        <f ca="1">SUM(INDIRECT(ADDRESS(2+B127,67)):INDIRECT(ADDRESS(2+B127,71)))-SUM(INDIRECT(ADDRESS(2+C127,67)):INDIRECT(ADDRESS(2+C127,71)))</f>
        <v>0</v>
      </c>
      <c r="X157" s="3" t="s">
        <v>58</v>
      </c>
      <c r="Y157" s="3">
        <v>0</v>
      </c>
      <c r="Z157" s="3"/>
      <c r="AA157" s="3"/>
      <c r="AB157" s="36" cm="1">
        <f t="array" aca="1" ref="AB157" ca="1">INDIRECT(ADDRESS(2+$B113,66+COLUMNS($A9:A9)))+INDIRECT(ADDRESS(2+$C113,66+COLUMNS($A9:A9)))</f>
        <v>0</v>
      </c>
      <c r="AC157" s="36" cm="1">
        <f t="array" aca="1" ref="AC157" ca="1">INDIRECT(ADDRESS(2+$B113,66+COLUMNS($A9:B9)))+INDIRECT(ADDRESS(2+$C113,66+COLUMNS($A9:B9)))</f>
        <v>0</v>
      </c>
      <c r="AD157" s="36" cm="1">
        <f t="array" aca="1" ref="AD157" ca="1">INDIRECT(ADDRESS(2+$B113,66+COLUMNS($A9:C9)))+INDIRECT(ADDRESS(2+$C113,66+COLUMNS($A9:C9)))</f>
        <v>0</v>
      </c>
      <c r="AE157" s="36" cm="1">
        <f t="array" aca="1" ref="AE157" ca="1">INDIRECT(ADDRESS(2+$B113,66+COLUMNS($A9:D9)))+INDIRECT(ADDRESS(2+$C113,66+COLUMNS($A9:D9)))</f>
        <v>0</v>
      </c>
      <c r="AF157" s="36" cm="1">
        <f t="array" aca="1" ref="AF157" ca="1">INDIRECT(ADDRESS(2+$B113,66+COLUMNS($A9:E9)))+INDIRECT(ADDRESS(2+$C113,66+COLUMNS($A9:E9)))</f>
        <v>0</v>
      </c>
      <c r="AG157" s="3" t="s">
        <v>56</v>
      </c>
      <c r="AH157" s="3">
        <v>1</v>
      </c>
      <c r="AI157" s="3">
        <v>1</v>
      </c>
      <c r="AJ157" s="2">
        <v>1</v>
      </c>
      <c r="AK157" s="2">
        <v>1</v>
      </c>
      <c r="AL157" s="13">
        <v>1</v>
      </c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 ht="15.6" x14ac:dyDescent="0.3">
      <c r="A158" s="12"/>
      <c r="B158" s="3"/>
      <c r="C158" s="35">
        <f t="shared" si="40"/>
        <v>0</v>
      </c>
      <c r="D158" s="34" t="s">
        <v>56</v>
      </c>
      <c r="E158" s="3">
        <v>1</v>
      </c>
      <c r="F158" s="3"/>
      <c r="G158" s="3"/>
      <c r="H158" s="3" cm="1">
        <f t="array" ref="H158">SUM(W12:AA12*BV12:BZ12-Q12*BO12:BS12)</f>
        <v>0</v>
      </c>
      <c r="I158" s="3" t="s">
        <v>57</v>
      </c>
      <c r="J158" s="3">
        <v>0</v>
      </c>
      <c r="K158" s="3"/>
      <c r="L158" s="3"/>
      <c r="M158" s="3" cm="1">
        <f t="array" ref="M158">SUM(W12:AA12*BV12:BZ12-T12*BO12:BS12)</f>
        <v>0</v>
      </c>
      <c r="N158" s="3" t="s">
        <v>56</v>
      </c>
      <c r="O158" s="3">
        <v>0</v>
      </c>
      <c r="P158" s="3"/>
      <c r="Q158" s="3"/>
      <c r="R158" s="3"/>
      <c r="S158" s="3"/>
      <c r="T158" s="3"/>
      <c r="U158" s="3"/>
      <c r="V158" s="3"/>
      <c r="W158" s="6">
        <f ca="1">SUM(INDIRECT(ADDRESS(2+B128,67)):INDIRECT(ADDRESS(2+B128,71)))-SUM(INDIRECT(ADDRESS(2+C128,67)):INDIRECT(ADDRESS(2+C128,71)))</f>
        <v>0</v>
      </c>
      <c r="X158" s="3" t="s">
        <v>58</v>
      </c>
      <c r="Y158" s="3">
        <v>0</v>
      </c>
      <c r="Z158" s="3"/>
      <c r="AA158" s="3"/>
      <c r="AB158" s="36" cm="1">
        <f t="array" aca="1" ref="AB158" ca="1">INDIRECT(ADDRESS(2+$B114,66+COLUMNS($A10:A10)))+INDIRECT(ADDRESS(2+$C114,66+COLUMNS($A10:A10)))</f>
        <v>1</v>
      </c>
      <c r="AC158" s="36" cm="1">
        <f t="array" aca="1" ref="AC158" ca="1">INDIRECT(ADDRESS(2+$B114,66+COLUMNS($A10:B10)))+INDIRECT(ADDRESS(2+$C114,66+COLUMNS($A10:B10)))</f>
        <v>0</v>
      </c>
      <c r="AD158" s="36" cm="1">
        <f t="array" aca="1" ref="AD158" ca="1">INDIRECT(ADDRESS(2+$B114,66+COLUMNS($A10:C10)))+INDIRECT(ADDRESS(2+$C114,66+COLUMNS($A10:C10)))</f>
        <v>0</v>
      </c>
      <c r="AE158" s="36" cm="1">
        <f t="array" aca="1" ref="AE158" ca="1">INDIRECT(ADDRESS(2+$B114,66+COLUMNS($A10:D10)))+INDIRECT(ADDRESS(2+$C114,66+COLUMNS($A10:D10)))</f>
        <v>0</v>
      </c>
      <c r="AF158" s="36" cm="1">
        <f t="array" aca="1" ref="AF158" ca="1">INDIRECT(ADDRESS(2+$B114,66+COLUMNS($A10:E10)))+INDIRECT(ADDRESS(2+$C114,66+COLUMNS($A10:E10)))</f>
        <v>1</v>
      </c>
      <c r="AG158" s="3" t="s">
        <v>56</v>
      </c>
      <c r="AH158" s="3">
        <v>1</v>
      </c>
      <c r="AI158" s="3">
        <v>1</v>
      </c>
      <c r="AJ158" s="2">
        <v>1</v>
      </c>
      <c r="AK158" s="2">
        <v>1</v>
      </c>
      <c r="AL158" s="13">
        <v>1</v>
      </c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 ht="15.6" x14ac:dyDescent="0.3">
      <c r="A159" s="12"/>
      <c r="B159" s="3"/>
      <c r="C159" s="35">
        <f t="shared" si="40"/>
        <v>0</v>
      </c>
      <c r="D159" s="34" t="s">
        <v>56</v>
      </c>
      <c r="E159" s="3">
        <v>1</v>
      </c>
      <c r="F159" s="3"/>
      <c r="G159" s="3"/>
      <c r="H159" s="3" cm="1">
        <f t="array" ref="H159">SUM(W13:AA13*BV13:BZ13-Q13*BO13:BS13)</f>
        <v>0</v>
      </c>
      <c r="I159" s="3" t="s">
        <v>57</v>
      </c>
      <c r="J159" s="3">
        <v>0</v>
      </c>
      <c r="K159" s="3"/>
      <c r="L159" s="3"/>
      <c r="M159" s="3" cm="1">
        <f t="array" ref="M159">SUM(W13:AA13*BV13:BZ13-T13*BO13:BS13)</f>
        <v>0</v>
      </c>
      <c r="N159" s="3" t="s">
        <v>56</v>
      </c>
      <c r="O159" s="3">
        <v>0</v>
      </c>
      <c r="P159" s="3"/>
      <c r="Q159" s="3"/>
      <c r="R159" s="3"/>
      <c r="S159" s="3"/>
      <c r="T159" s="3"/>
      <c r="U159" s="3"/>
      <c r="V159" s="3"/>
      <c r="W159" s="6">
        <f ca="1">SUM(INDIRECT(ADDRESS(2+B129,67)):INDIRECT(ADDRESS(2+B129,71)))-SUM(INDIRECT(ADDRESS(2+C129,67)):INDIRECT(ADDRESS(2+C129,71)))</f>
        <v>0</v>
      </c>
      <c r="X159" s="3" t="s">
        <v>58</v>
      </c>
      <c r="Y159" s="3">
        <v>0</v>
      </c>
      <c r="Z159" s="3"/>
      <c r="AA159" s="3"/>
      <c r="AB159" s="36" cm="1">
        <f t="array" aca="1" ref="AB159" ca="1">INDIRECT(ADDRESS(2+$B115,66+COLUMNS($A11:A11)))+INDIRECT(ADDRESS(2+$C115,66+COLUMNS($A11:A11)))</f>
        <v>0</v>
      </c>
      <c r="AC159" s="36" cm="1">
        <f t="array" aca="1" ref="AC159" ca="1">INDIRECT(ADDRESS(2+$B115,66+COLUMNS($A11:B11)))+INDIRECT(ADDRESS(2+$C115,66+COLUMNS($A11:B11)))</f>
        <v>0</v>
      </c>
      <c r="AD159" s="36" cm="1">
        <f t="array" aca="1" ref="AD159" ca="1">INDIRECT(ADDRESS(2+$B115,66+COLUMNS($A11:C11)))+INDIRECT(ADDRESS(2+$C115,66+COLUMNS($A11:C11)))</f>
        <v>0</v>
      </c>
      <c r="AE159" s="36" cm="1">
        <f t="array" aca="1" ref="AE159" ca="1">INDIRECT(ADDRESS(2+$B115,66+COLUMNS($A11:D11)))+INDIRECT(ADDRESS(2+$C115,66+COLUMNS($A11:D11)))</f>
        <v>0</v>
      </c>
      <c r="AF159" s="36" cm="1">
        <f t="array" aca="1" ref="AF159" ca="1">INDIRECT(ADDRESS(2+$B115,66+COLUMNS($A11:E11)))+INDIRECT(ADDRESS(2+$C115,66+COLUMNS($A11:E11)))</f>
        <v>0</v>
      </c>
      <c r="AG159" s="3" t="s">
        <v>56</v>
      </c>
      <c r="AH159" s="3">
        <v>1</v>
      </c>
      <c r="AI159" s="3">
        <v>1</v>
      </c>
      <c r="AJ159" s="2">
        <v>1</v>
      </c>
      <c r="AK159" s="2">
        <v>1</v>
      </c>
      <c r="AL159" s="13">
        <v>1</v>
      </c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 ht="15.6" x14ac:dyDescent="0.3">
      <c r="A160" s="12"/>
      <c r="B160" s="3"/>
      <c r="C160" s="35">
        <f t="shared" si="40"/>
        <v>1</v>
      </c>
      <c r="D160" s="34" t="s">
        <v>56</v>
      </c>
      <c r="E160" s="3">
        <v>1</v>
      </c>
      <c r="F160" s="3"/>
      <c r="G160" s="3"/>
      <c r="H160" s="3" cm="1">
        <f t="array" ref="H160">SUM(W14:AA14*BV14:BZ14-Q14*BO14:BS14)</f>
        <v>7</v>
      </c>
      <c r="I160" s="3" t="s">
        <v>57</v>
      </c>
      <c r="J160" s="3">
        <v>0</v>
      </c>
      <c r="K160" s="3"/>
      <c r="L160" s="3"/>
      <c r="M160" s="3" cm="1">
        <f t="array" ref="M160">SUM(W14:AA14*BV14:BZ14-T14*BO14:BS14)</f>
        <v>-10</v>
      </c>
      <c r="N160" s="3" t="s">
        <v>56</v>
      </c>
      <c r="O160" s="3">
        <v>0</v>
      </c>
      <c r="P160" s="3"/>
      <c r="Q160" s="3"/>
      <c r="R160" s="3"/>
      <c r="S160" s="3"/>
      <c r="T160" s="3"/>
      <c r="U160" s="3"/>
      <c r="V160" s="3"/>
      <c r="W160" s="6">
        <f ca="1">SUM(INDIRECT(ADDRESS(2+B130,67)):INDIRECT(ADDRESS(2+B130,71)))-SUM(INDIRECT(ADDRESS(2+C130,67)):INDIRECT(ADDRESS(2+C130,71)))</f>
        <v>0</v>
      </c>
      <c r="X160" s="3" t="s">
        <v>58</v>
      </c>
      <c r="Y160" s="3">
        <v>0</v>
      </c>
      <c r="Z160" s="3"/>
      <c r="AA160" s="3"/>
      <c r="AB160" s="36" cm="1">
        <f t="array" aca="1" ref="AB160" ca="1">INDIRECT(ADDRESS(2+$B116,66+COLUMNS($A12:A12)))+INDIRECT(ADDRESS(2+$C116,66+COLUMNS($A12:A12)))</f>
        <v>1</v>
      </c>
      <c r="AC160" s="36" cm="1">
        <f t="array" aca="1" ref="AC160" ca="1">INDIRECT(ADDRESS(2+$B116,66+COLUMNS($A12:B12)))+INDIRECT(ADDRESS(2+$C116,66+COLUMNS($A12:B12)))</f>
        <v>0</v>
      </c>
      <c r="AD160" s="36" cm="1">
        <f t="array" aca="1" ref="AD160" ca="1">INDIRECT(ADDRESS(2+$B116,66+COLUMNS($A12:C12)))+INDIRECT(ADDRESS(2+$C116,66+COLUMNS($A12:C12)))</f>
        <v>0</v>
      </c>
      <c r="AE160" s="36" cm="1">
        <f t="array" aca="1" ref="AE160" ca="1">INDIRECT(ADDRESS(2+$B116,66+COLUMNS($A12:D12)))+INDIRECT(ADDRESS(2+$C116,66+COLUMNS($A12:D12)))</f>
        <v>0</v>
      </c>
      <c r="AF160" s="36" cm="1">
        <f t="array" aca="1" ref="AF160" ca="1">INDIRECT(ADDRESS(2+$B116,66+COLUMNS($A12:E12)))+INDIRECT(ADDRESS(2+$C116,66+COLUMNS($A12:E12)))</f>
        <v>1</v>
      </c>
      <c r="AG160" s="3" t="s">
        <v>56</v>
      </c>
      <c r="AH160" s="3">
        <v>1</v>
      </c>
      <c r="AI160" s="3">
        <v>1</v>
      </c>
      <c r="AJ160" s="2">
        <v>1</v>
      </c>
      <c r="AK160" s="2">
        <v>1</v>
      </c>
      <c r="AL160" s="13">
        <v>1</v>
      </c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 ht="15.6" x14ac:dyDescent="0.3">
      <c r="A161" s="12"/>
      <c r="B161" s="3"/>
      <c r="C161" s="35">
        <f t="shared" si="40"/>
        <v>0</v>
      </c>
      <c r="D161" s="34" t="s">
        <v>56</v>
      </c>
      <c r="E161" s="3">
        <v>1</v>
      </c>
      <c r="F161" s="3"/>
      <c r="G161" s="3"/>
      <c r="H161" s="3" cm="1">
        <f t="array" ref="H161">SUM(W15:AA15*BV15:BZ15-Q15*BO15:BS15)</f>
        <v>0</v>
      </c>
      <c r="I161" s="3" t="s">
        <v>57</v>
      </c>
      <c r="J161" s="3">
        <v>0</v>
      </c>
      <c r="K161" s="3"/>
      <c r="L161" s="3"/>
      <c r="M161" s="3" cm="1">
        <f t="array" ref="M161">SUM(W15:AA15*BV15:BZ15-T15*BO15:BS15)</f>
        <v>0</v>
      </c>
      <c r="N161" s="3" t="s">
        <v>56</v>
      </c>
      <c r="O161" s="3">
        <v>0</v>
      </c>
      <c r="P161" s="3"/>
      <c r="Q161" s="3"/>
      <c r="R161" s="3"/>
      <c r="S161" s="3"/>
      <c r="T161" s="3"/>
      <c r="U161" s="3"/>
      <c r="V161" s="3"/>
      <c r="W161" s="6">
        <f ca="1">SUM(INDIRECT(ADDRESS(2+B131,67)):INDIRECT(ADDRESS(2+B131,71)))-SUM(INDIRECT(ADDRESS(2+C131,67)):INDIRECT(ADDRESS(2+C131,71)))</f>
        <v>0</v>
      </c>
      <c r="X161" s="3" t="s">
        <v>58</v>
      </c>
      <c r="Y161" s="3">
        <v>0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1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 ht="15.6" x14ac:dyDescent="0.3">
      <c r="A162" s="12"/>
      <c r="B162" s="3"/>
      <c r="C162" s="35">
        <f t="shared" si="40"/>
        <v>1</v>
      </c>
      <c r="D162" s="34" t="s">
        <v>56</v>
      </c>
      <c r="E162" s="3">
        <v>1</v>
      </c>
      <c r="F162" s="3"/>
      <c r="G162" s="3"/>
      <c r="H162" s="3" cm="1">
        <f t="array" ref="H162">SUM(W16:AA16*BV16:BZ16-Q16*BO16:BS16)</f>
        <v>12</v>
      </c>
      <c r="I162" s="3" t="s">
        <v>57</v>
      </c>
      <c r="J162" s="3">
        <v>0</v>
      </c>
      <c r="K162" s="3"/>
      <c r="L162" s="3"/>
      <c r="M162" s="3" cm="1">
        <f t="array" ref="M162">SUM(W16:AA16*BV16:BZ16-T16*BO16:BS16)</f>
        <v>0</v>
      </c>
      <c r="N162" s="3" t="s">
        <v>56</v>
      </c>
      <c r="O162" s="3">
        <v>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1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 ht="15.6" x14ac:dyDescent="0.3">
      <c r="A163" s="12"/>
      <c r="B163" s="3"/>
      <c r="C163" s="35">
        <f t="shared" si="40"/>
        <v>1</v>
      </c>
      <c r="D163" s="34" t="s">
        <v>56</v>
      </c>
      <c r="E163" s="3">
        <v>1</v>
      </c>
      <c r="F163" s="3"/>
      <c r="G163" s="3"/>
      <c r="H163" s="3" cm="1">
        <f t="array" ref="H163">SUM(W17:AA17*BV17:BZ17-Q17*BO17:BS17)</f>
        <v>18</v>
      </c>
      <c r="I163" s="3" t="s">
        <v>57</v>
      </c>
      <c r="J163" s="3">
        <v>0</v>
      </c>
      <c r="K163" s="3"/>
      <c r="L163" s="3"/>
      <c r="M163" s="3" cm="1">
        <f t="array" ref="M163">SUM(W17:AA17*BV17:BZ17-T17*BO17:BS17)</f>
        <v>0</v>
      </c>
      <c r="N163" s="3" t="s">
        <v>56</v>
      </c>
      <c r="O163" s="3">
        <v>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1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 ht="15.6" x14ac:dyDescent="0.3">
      <c r="A164" s="12"/>
      <c r="B164" s="3"/>
      <c r="C164" s="35">
        <f t="shared" si="40"/>
        <v>0</v>
      </c>
      <c r="D164" s="34" t="s">
        <v>56</v>
      </c>
      <c r="E164" s="3">
        <v>1</v>
      </c>
      <c r="F164" s="3"/>
      <c r="G164" s="3"/>
      <c r="H164" s="3" cm="1">
        <f t="array" ref="H164">SUM(W18:AA18*BV18:BZ18-Q18*BO18:BS18)</f>
        <v>0</v>
      </c>
      <c r="I164" s="3" t="s">
        <v>57</v>
      </c>
      <c r="J164" s="3">
        <v>0</v>
      </c>
      <c r="K164" s="3"/>
      <c r="L164" s="3"/>
      <c r="M164" s="3" cm="1">
        <f t="array" ref="M164">SUM(W18:AA18*BV18:BZ18-T18*BO18:BS18)</f>
        <v>0</v>
      </c>
      <c r="N164" s="3" t="s">
        <v>56</v>
      </c>
      <c r="O164" s="3">
        <v>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1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 ht="15.6" x14ac:dyDescent="0.3">
      <c r="A165" s="12"/>
      <c r="B165" s="3"/>
      <c r="C165" s="35">
        <f t="shared" si="40"/>
        <v>0</v>
      </c>
      <c r="D165" s="34" t="s">
        <v>56</v>
      </c>
      <c r="E165" s="3">
        <v>1</v>
      </c>
      <c r="F165" s="3"/>
      <c r="G165" s="3"/>
      <c r="H165" s="3" cm="1">
        <f t="array" ref="H165">SUM(W19:AA19*BV19:BZ19-Q19*BO19:BS19)</f>
        <v>0</v>
      </c>
      <c r="I165" s="3" t="s">
        <v>57</v>
      </c>
      <c r="J165" s="3">
        <v>0</v>
      </c>
      <c r="K165" s="3"/>
      <c r="L165" s="3"/>
      <c r="M165" s="3" cm="1">
        <f t="array" ref="M165">SUM(W19:AA19*BV19:BZ19-T19*BO19:BS19)</f>
        <v>0</v>
      </c>
      <c r="N165" s="3" t="s">
        <v>56</v>
      </c>
      <c r="O165" s="3">
        <v>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1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 ht="15.6" x14ac:dyDescent="0.3">
      <c r="A166" s="12"/>
      <c r="B166" s="3"/>
      <c r="C166" s="35">
        <f t="shared" si="40"/>
        <v>0</v>
      </c>
      <c r="D166" s="34" t="s">
        <v>56</v>
      </c>
      <c r="E166" s="3">
        <v>1</v>
      </c>
      <c r="F166" s="3"/>
      <c r="G166" s="3"/>
      <c r="H166" s="3" cm="1">
        <f t="array" ref="H166">SUM(W20:AA20*BV20:BZ20-Q20*BO20:BS20)</f>
        <v>0</v>
      </c>
      <c r="I166" s="3" t="s">
        <v>57</v>
      </c>
      <c r="J166" s="3">
        <v>0</v>
      </c>
      <c r="K166" s="3"/>
      <c r="L166" s="3"/>
      <c r="M166" s="3" cm="1">
        <f t="array" ref="M166">SUM(W20:AA20*BV20:BZ20-T20*BO20:BS20)</f>
        <v>0</v>
      </c>
      <c r="N166" s="3" t="s">
        <v>56</v>
      </c>
      <c r="O166" s="3">
        <v>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1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 ht="15.6" x14ac:dyDescent="0.3">
      <c r="A167" s="12"/>
      <c r="B167" s="3"/>
      <c r="C167" s="35">
        <f t="shared" si="40"/>
        <v>0</v>
      </c>
      <c r="D167" s="34" t="s">
        <v>56</v>
      </c>
      <c r="E167" s="3">
        <v>1</v>
      </c>
      <c r="F167" s="3"/>
      <c r="G167" s="3"/>
      <c r="H167" s="3" cm="1">
        <f t="array" ref="H167">SUM(W21:AA21*BV21:BZ21-Q21*BO21:BS21)</f>
        <v>0</v>
      </c>
      <c r="I167" s="3" t="s">
        <v>57</v>
      </c>
      <c r="J167" s="3">
        <v>0</v>
      </c>
      <c r="K167" s="3"/>
      <c r="L167" s="3"/>
      <c r="M167" s="3" cm="1">
        <f t="array" ref="M167">SUM(W21:AA21*BV21:BZ21-T21*BO21:BS21)</f>
        <v>0</v>
      </c>
      <c r="N167" s="3" t="s">
        <v>56</v>
      </c>
      <c r="O167" s="3">
        <v>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1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 ht="15.6" x14ac:dyDescent="0.3">
      <c r="A168" s="12"/>
      <c r="B168" s="3"/>
      <c r="C168" s="35">
        <f t="shared" si="40"/>
        <v>0</v>
      </c>
      <c r="D168" s="34" t="s">
        <v>56</v>
      </c>
      <c r="E168" s="3">
        <v>1</v>
      </c>
      <c r="F168" s="3"/>
      <c r="G168" s="3"/>
      <c r="H168" s="3" cm="1">
        <f t="array" ref="H168">SUM(W22:AA22*BV22:BZ22-Q22*BO22:BS22)</f>
        <v>0</v>
      </c>
      <c r="I168" s="3" t="s">
        <v>57</v>
      </c>
      <c r="J168" s="3">
        <v>0</v>
      </c>
      <c r="K168" s="3"/>
      <c r="L168" s="3"/>
      <c r="M168" s="3" cm="1">
        <f t="array" ref="M168">SUM(W22:AA22*BV22:BZ22-T22*BO22:BS22)</f>
        <v>0</v>
      </c>
      <c r="N168" s="3" t="s">
        <v>56</v>
      </c>
      <c r="O168" s="3">
        <v>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1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 ht="15.6" x14ac:dyDescent="0.3">
      <c r="A169" s="12"/>
      <c r="B169" s="3"/>
      <c r="C169" s="35">
        <f t="shared" si="40"/>
        <v>1</v>
      </c>
      <c r="D169" s="34" t="s">
        <v>56</v>
      </c>
      <c r="E169" s="3">
        <v>1</v>
      </c>
      <c r="F169" s="3"/>
      <c r="G169" s="3"/>
      <c r="H169" s="3" cm="1">
        <f t="array" ref="H169">SUM(W23:AA23*BV23:BZ23-Q23*BO23:BS23)</f>
        <v>11</v>
      </c>
      <c r="I169" s="3" t="s">
        <v>57</v>
      </c>
      <c r="J169" s="3">
        <v>0</v>
      </c>
      <c r="K169" s="3"/>
      <c r="L169" s="3"/>
      <c r="M169" s="3" cm="1">
        <f t="array" ref="M169">SUM(W23:AA23*BV23:BZ23-T23*BO23:BS23)</f>
        <v>-9</v>
      </c>
      <c r="N169" s="3" t="s">
        <v>56</v>
      </c>
      <c r="O169" s="3">
        <v>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1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 ht="15.6" x14ac:dyDescent="0.3">
      <c r="A170" s="12"/>
      <c r="B170" s="3"/>
      <c r="C170" s="35">
        <f t="shared" si="40"/>
        <v>0</v>
      </c>
      <c r="D170" s="34" t="s">
        <v>56</v>
      </c>
      <c r="E170" s="3">
        <v>1</v>
      </c>
      <c r="F170" s="3"/>
      <c r="G170" s="3"/>
      <c r="H170" s="3" cm="1">
        <f t="array" ref="H170">SUM(W24:AA24*BV24:BZ24-Q24*BO24:BS24)</f>
        <v>0</v>
      </c>
      <c r="I170" s="3" t="s">
        <v>57</v>
      </c>
      <c r="J170" s="3">
        <v>0</v>
      </c>
      <c r="K170" s="3"/>
      <c r="L170" s="3"/>
      <c r="M170" s="3" cm="1">
        <f t="array" ref="M170">SUM(W24:AA24*BV24:BZ24-T24*BO24:BS24)</f>
        <v>0</v>
      </c>
      <c r="N170" s="3" t="s">
        <v>56</v>
      </c>
      <c r="O170" s="3">
        <v>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1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 ht="15.6" x14ac:dyDescent="0.3">
      <c r="A171" s="12"/>
      <c r="B171" s="3"/>
      <c r="C171" s="35">
        <f t="shared" si="40"/>
        <v>0</v>
      </c>
      <c r="D171" s="34" t="s">
        <v>56</v>
      </c>
      <c r="E171" s="3">
        <v>1</v>
      </c>
      <c r="F171" s="3"/>
      <c r="G171" s="3"/>
      <c r="H171" s="3" cm="1">
        <f t="array" ref="H171">SUM(W25:AA25*BV25:BZ25-Q25*BO25:BS25)</f>
        <v>0</v>
      </c>
      <c r="I171" s="3" t="s">
        <v>57</v>
      </c>
      <c r="J171" s="3">
        <v>0</v>
      </c>
      <c r="K171" s="3"/>
      <c r="L171" s="3"/>
      <c r="M171" s="3" cm="1">
        <f t="array" ref="M171">SUM(W25:AA25*BV25:BZ25-T25*BO25:BS25)</f>
        <v>0</v>
      </c>
      <c r="N171" s="3" t="s">
        <v>56</v>
      </c>
      <c r="O171" s="3">
        <v>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1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 ht="15.6" x14ac:dyDescent="0.3">
      <c r="A172" s="12"/>
      <c r="B172" s="3"/>
      <c r="C172" s="35">
        <f t="shared" si="40"/>
        <v>0</v>
      </c>
      <c r="D172" s="34" t="s">
        <v>56</v>
      </c>
      <c r="E172" s="3">
        <v>1</v>
      </c>
      <c r="F172" s="3"/>
      <c r="G172" s="3"/>
      <c r="H172" s="3" cm="1">
        <f t="array" ref="H172">SUM(W26:AA26*BV26:BZ26-Q26*BO26:BS26)</f>
        <v>0</v>
      </c>
      <c r="I172" s="3" t="s">
        <v>57</v>
      </c>
      <c r="J172" s="3">
        <v>0</v>
      </c>
      <c r="K172" s="3"/>
      <c r="L172" s="3"/>
      <c r="M172" s="3" cm="1">
        <f t="array" ref="M172">SUM(W26:AA26*BV26:BZ26-T26*BO26:BS26)</f>
        <v>0</v>
      </c>
      <c r="N172" s="3" t="s">
        <v>56</v>
      </c>
      <c r="O172" s="3">
        <v>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1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 ht="15.6" x14ac:dyDescent="0.3">
      <c r="A173" s="12"/>
      <c r="B173" s="3"/>
      <c r="C173" s="35">
        <f t="shared" si="40"/>
        <v>1</v>
      </c>
      <c r="D173" s="34" t="s">
        <v>56</v>
      </c>
      <c r="E173" s="3">
        <v>1</v>
      </c>
      <c r="F173" s="3"/>
      <c r="G173" s="3"/>
      <c r="H173" s="3" cm="1">
        <f t="array" ref="H173">SUM(W27:AA27*BV27:BZ27-Q27*BO27:BS27)</f>
        <v>13</v>
      </c>
      <c r="I173" s="3" t="s">
        <v>57</v>
      </c>
      <c r="J173" s="3">
        <v>0</v>
      </c>
      <c r="K173" s="3"/>
      <c r="L173" s="3"/>
      <c r="M173" s="3" cm="1">
        <f t="array" ref="M173">SUM(W27:AA27*BV27:BZ27-T27*BO27:BS27)</f>
        <v>-9</v>
      </c>
      <c r="N173" s="3" t="s">
        <v>56</v>
      </c>
      <c r="O173" s="3">
        <v>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1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 ht="15.6" x14ac:dyDescent="0.3">
      <c r="A174" s="12"/>
      <c r="B174" s="3"/>
      <c r="C174" s="35">
        <f t="shared" si="40"/>
        <v>1</v>
      </c>
      <c r="D174" s="34" t="s">
        <v>56</v>
      </c>
      <c r="E174" s="3">
        <v>1</v>
      </c>
      <c r="F174" s="3"/>
      <c r="G174" s="3"/>
      <c r="H174" s="3" cm="1">
        <f t="array" ref="H174">SUM(W28:AA28*BV28:BZ28-Q28*BO28:BS28)</f>
        <v>8</v>
      </c>
      <c r="I174" s="3" t="s">
        <v>57</v>
      </c>
      <c r="J174" s="3">
        <v>0</v>
      </c>
      <c r="K174" s="3"/>
      <c r="L174" s="3"/>
      <c r="M174" s="3" cm="1">
        <f t="array" ref="M174">SUM(W28:AA28*BV28:BZ28-T28*BO28:BS28)</f>
        <v>-11</v>
      </c>
      <c r="N174" s="3" t="s">
        <v>56</v>
      </c>
      <c r="O174" s="3">
        <v>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1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 ht="15.6" x14ac:dyDescent="0.3">
      <c r="A175" s="12"/>
      <c r="B175" s="3"/>
      <c r="C175" s="35">
        <f t="shared" si="40"/>
        <v>0</v>
      </c>
      <c r="D175" s="34" t="s">
        <v>56</v>
      </c>
      <c r="E175" s="3">
        <v>1</v>
      </c>
      <c r="F175" s="3"/>
      <c r="G175" s="3"/>
      <c r="H175" s="3" cm="1">
        <f t="array" ref="H175">SUM(W29:AA29*BV29:BZ29-Q29*BO29:BS29)</f>
        <v>0</v>
      </c>
      <c r="I175" s="3" t="s">
        <v>57</v>
      </c>
      <c r="J175" s="3">
        <v>0</v>
      </c>
      <c r="K175" s="3"/>
      <c r="L175" s="3"/>
      <c r="M175" s="3" cm="1">
        <f t="array" ref="M175">SUM(W29:AA29*BV29:BZ29-T29*BO29:BS29)</f>
        <v>0</v>
      </c>
      <c r="N175" s="3" t="s">
        <v>56</v>
      </c>
      <c r="O175" s="3">
        <v>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1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 ht="15.6" x14ac:dyDescent="0.3">
      <c r="A176" s="12"/>
      <c r="B176" s="3"/>
      <c r="C176" s="35">
        <f t="shared" si="40"/>
        <v>1</v>
      </c>
      <c r="D176" s="34" t="s">
        <v>56</v>
      </c>
      <c r="E176" s="3">
        <v>1</v>
      </c>
      <c r="F176" s="3"/>
      <c r="G176" s="3"/>
      <c r="H176" s="3" cm="1">
        <f t="array" ref="H176">SUM(W30:AA30*BV30:BZ30-Q30*BO30:BS30)</f>
        <v>3</v>
      </c>
      <c r="I176" s="3" t="s">
        <v>57</v>
      </c>
      <c r="J176" s="3">
        <v>0</v>
      </c>
      <c r="K176" s="3"/>
      <c r="L176" s="3"/>
      <c r="M176" s="3" cm="1">
        <f t="array" ref="M176">SUM(W30:AA30*BV30:BZ30-T30*BO30:BS30)</f>
        <v>-11</v>
      </c>
      <c r="N176" s="3" t="s">
        <v>56</v>
      </c>
      <c r="O176" s="3">
        <v>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1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 ht="15.6" x14ac:dyDescent="0.3">
      <c r="A177" s="12"/>
      <c r="B177" s="3"/>
      <c r="C177" s="35">
        <f t="shared" si="40"/>
        <v>1</v>
      </c>
      <c r="D177" s="34" t="s">
        <v>56</v>
      </c>
      <c r="E177" s="3">
        <v>1</v>
      </c>
      <c r="F177" s="3"/>
      <c r="G177" s="3"/>
      <c r="H177" s="3" cm="1">
        <f t="array" ref="H177">SUM(W31:AA31*BV31:BZ31-Q31*BO31:BS31)</f>
        <v>4</v>
      </c>
      <c r="I177" s="3" t="s">
        <v>57</v>
      </c>
      <c r="J177" s="3">
        <v>0</v>
      </c>
      <c r="K177" s="3"/>
      <c r="L177" s="3"/>
      <c r="M177" s="3" cm="1">
        <f t="array" ref="M177">SUM(W31:AA31*BV31:BZ31-T31*BO31:BS31)</f>
        <v>-20</v>
      </c>
      <c r="N177" s="3" t="s">
        <v>56</v>
      </c>
      <c r="O177" s="3">
        <v>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1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 ht="15.6" x14ac:dyDescent="0.3">
      <c r="A178" s="12"/>
      <c r="B178" s="3"/>
      <c r="C178" s="35">
        <f t="shared" si="40"/>
        <v>1</v>
      </c>
      <c r="D178" s="34" t="s">
        <v>56</v>
      </c>
      <c r="E178" s="3">
        <v>1</v>
      </c>
      <c r="F178" s="3"/>
      <c r="G178" s="3"/>
      <c r="H178" s="3" cm="1">
        <f t="array" ref="H178">SUM(W32:AA32*BV32:BZ32-Q32*BO32:BS32)</f>
        <v>3</v>
      </c>
      <c r="I178" s="3" t="s">
        <v>57</v>
      </c>
      <c r="J178" s="3">
        <v>0</v>
      </c>
      <c r="K178" s="3"/>
      <c r="L178" s="3"/>
      <c r="M178" s="3" cm="1">
        <f t="array" ref="M178">SUM(W32:AA32*BV32:BZ32-T32*BO32:BS32)</f>
        <v>-13</v>
      </c>
      <c r="N178" s="3" t="s">
        <v>56</v>
      </c>
      <c r="O178" s="3">
        <v>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1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 ht="15.6" x14ac:dyDescent="0.3">
      <c r="A179" s="12"/>
      <c r="B179" s="3"/>
      <c r="C179" s="35">
        <f t="shared" si="40"/>
        <v>0</v>
      </c>
      <c r="D179" s="34" t="s">
        <v>56</v>
      </c>
      <c r="E179" s="3">
        <v>1</v>
      </c>
      <c r="F179" s="3"/>
      <c r="G179" s="3"/>
      <c r="H179" s="3" cm="1">
        <f t="array" ref="H179">SUM(W33:AA33*BV33:BZ33-Q33*BO33:BS33)</f>
        <v>0</v>
      </c>
      <c r="I179" s="3" t="s">
        <v>57</v>
      </c>
      <c r="J179" s="3">
        <v>0</v>
      </c>
      <c r="K179" s="3"/>
      <c r="L179" s="3"/>
      <c r="M179" s="3" cm="1">
        <f t="array" ref="M179">SUM(W33:AA33*BV33:BZ33-T33*BO33:BS33)</f>
        <v>0</v>
      </c>
      <c r="N179" s="3" t="s">
        <v>56</v>
      </c>
      <c r="O179" s="3">
        <v>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1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 ht="15.6" x14ac:dyDescent="0.3">
      <c r="A180" s="12"/>
      <c r="B180" s="3"/>
      <c r="C180" s="35">
        <f t="shared" si="40"/>
        <v>0</v>
      </c>
      <c r="D180" s="34" t="s">
        <v>56</v>
      </c>
      <c r="E180" s="3">
        <v>1</v>
      </c>
      <c r="F180" s="3"/>
      <c r="G180" s="3"/>
      <c r="H180" s="3" cm="1">
        <f t="array" ref="H180">SUM(W34:AA34*BV34:BZ34-Q34*BO34:BS34)</f>
        <v>0</v>
      </c>
      <c r="I180" s="3" t="s">
        <v>57</v>
      </c>
      <c r="J180" s="3">
        <v>0</v>
      </c>
      <c r="K180" s="3"/>
      <c r="L180" s="3"/>
      <c r="M180" s="3" cm="1">
        <f t="array" ref="M180">SUM(W34:AA34*BV34:BZ34-T34*BO34:BS34)</f>
        <v>0</v>
      </c>
      <c r="N180" s="3" t="s">
        <v>56</v>
      </c>
      <c r="O180" s="3">
        <v>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1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 ht="15.6" x14ac:dyDescent="0.3">
      <c r="A181" s="12"/>
      <c r="B181" s="3"/>
      <c r="C181" s="35">
        <f t="shared" si="40"/>
        <v>1</v>
      </c>
      <c r="D181" s="34" t="s">
        <v>56</v>
      </c>
      <c r="E181" s="3">
        <v>1</v>
      </c>
      <c r="F181" s="3"/>
      <c r="G181" s="3"/>
      <c r="H181" s="3" cm="1">
        <f t="array" ref="H181">SUM(W35:AA35*BV35:BZ35-Q35*BO35:BS35)</f>
        <v>5</v>
      </c>
      <c r="I181" s="3" t="s">
        <v>57</v>
      </c>
      <c r="J181" s="3">
        <v>0</v>
      </c>
      <c r="K181" s="3"/>
      <c r="L181" s="3"/>
      <c r="M181" s="3" cm="1">
        <f t="array" ref="M181">SUM(W35:AA35*BV35:BZ35-T35*BO35:BS35)</f>
        <v>-14</v>
      </c>
      <c r="N181" s="3" t="s">
        <v>56</v>
      </c>
      <c r="O181" s="3">
        <v>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1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 ht="15.6" x14ac:dyDescent="0.3">
      <c r="A182" s="12"/>
      <c r="B182" s="3"/>
      <c r="C182" s="35">
        <f t="shared" si="40"/>
        <v>0</v>
      </c>
      <c r="D182" s="34" t="s">
        <v>56</v>
      </c>
      <c r="E182" s="3">
        <v>1</v>
      </c>
      <c r="F182" s="3"/>
      <c r="G182" s="3"/>
      <c r="H182" s="3" cm="1">
        <f t="array" ref="H182">SUM(W36:AA36*BV36:BZ36-Q36*BO36:BS36)</f>
        <v>0</v>
      </c>
      <c r="I182" s="3" t="s">
        <v>57</v>
      </c>
      <c r="J182" s="3">
        <v>0</v>
      </c>
      <c r="K182" s="3"/>
      <c r="L182" s="3"/>
      <c r="M182" s="3" cm="1">
        <f t="array" ref="M182">SUM(W36:AA36*BV36:BZ36-T36*BO36:BS36)</f>
        <v>0</v>
      </c>
      <c r="N182" s="3" t="s">
        <v>56</v>
      </c>
      <c r="O182" s="3">
        <v>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1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 ht="15.6" x14ac:dyDescent="0.3">
      <c r="A183" s="12"/>
      <c r="B183" s="3"/>
      <c r="C183" s="35">
        <f t="shared" si="40"/>
        <v>1</v>
      </c>
      <c r="D183" s="34" t="s">
        <v>56</v>
      </c>
      <c r="E183" s="3">
        <v>1</v>
      </c>
      <c r="F183" s="3"/>
      <c r="G183" s="3"/>
      <c r="H183" s="3" cm="1">
        <f t="array" ref="H183">SUM(W37:AA37*BV37:BZ37-Q37*BO37:BS37)</f>
        <v>1</v>
      </c>
      <c r="I183" s="3" t="s">
        <v>57</v>
      </c>
      <c r="J183" s="3">
        <v>0</v>
      </c>
      <c r="K183" s="3"/>
      <c r="L183" s="3"/>
      <c r="M183" s="3" cm="1">
        <f t="array" ref="M183">SUM(W37:AA37*BV37:BZ37-T37*BO37:BS37)</f>
        <v>-19</v>
      </c>
      <c r="N183" s="3" t="s">
        <v>56</v>
      </c>
      <c r="O183" s="3">
        <v>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1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 ht="15.6" x14ac:dyDescent="0.3">
      <c r="A184" s="12"/>
      <c r="B184" s="3"/>
      <c r="C184" s="35">
        <f t="shared" si="40"/>
        <v>1</v>
      </c>
      <c r="D184" s="34" t="s">
        <v>56</v>
      </c>
      <c r="E184" s="3">
        <v>1</v>
      </c>
      <c r="F184" s="3"/>
      <c r="G184" s="3"/>
      <c r="H184" s="3" cm="1">
        <f t="array" ref="H184">SUM(W38:AA38*BV38:BZ38-Q38*BO38:BS38)</f>
        <v>2</v>
      </c>
      <c r="I184" s="3" t="s">
        <v>57</v>
      </c>
      <c r="J184" s="3">
        <v>0</v>
      </c>
      <c r="K184" s="3"/>
      <c r="L184" s="3"/>
      <c r="M184" s="3" cm="1">
        <f t="array" ref="M184">SUM(W38:AA38*BV38:BZ38-T38*BO38:BS38)</f>
        <v>-14</v>
      </c>
      <c r="N184" s="3" t="s">
        <v>56</v>
      </c>
      <c r="O184" s="3">
        <v>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1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 ht="15.6" x14ac:dyDescent="0.3">
      <c r="A185" s="12"/>
      <c r="B185" s="3"/>
      <c r="C185" s="35">
        <f t="shared" si="40"/>
        <v>0</v>
      </c>
      <c r="D185" s="34" t="s">
        <v>56</v>
      </c>
      <c r="E185" s="3">
        <v>1</v>
      </c>
      <c r="F185" s="3"/>
      <c r="G185" s="3"/>
      <c r="H185" s="3" cm="1">
        <f t="array" ref="H185">SUM(W39:AA39*BV39:BZ39-Q39*BO39:BS39)</f>
        <v>0</v>
      </c>
      <c r="I185" s="3" t="s">
        <v>57</v>
      </c>
      <c r="J185" s="3">
        <v>0</v>
      </c>
      <c r="K185" s="3"/>
      <c r="L185" s="3"/>
      <c r="M185" s="3" cm="1">
        <f t="array" ref="M185">SUM(W39:AA39*BV39:BZ39-T39*BO39:BS39)</f>
        <v>0</v>
      </c>
      <c r="N185" s="3" t="s">
        <v>56</v>
      </c>
      <c r="O185" s="3">
        <v>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1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 ht="15.6" x14ac:dyDescent="0.3">
      <c r="A186" s="12"/>
      <c r="B186" s="3"/>
      <c r="C186" s="35">
        <f t="shared" si="40"/>
        <v>0</v>
      </c>
      <c r="D186" s="34" t="s">
        <v>56</v>
      </c>
      <c r="E186" s="3">
        <v>1</v>
      </c>
      <c r="F186" s="3"/>
      <c r="G186" s="3"/>
      <c r="H186" s="3" cm="1">
        <f t="array" ref="H186">SUM(W40:AA40*BV40:BZ40-Q40*BO40:BS40)</f>
        <v>0</v>
      </c>
      <c r="I186" s="3" t="s">
        <v>57</v>
      </c>
      <c r="J186" s="3">
        <v>0</v>
      </c>
      <c r="K186" s="3"/>
      <c r="L186" s="3"/>
      <c r="M186" s="3" cm="1">
        <f t="array" ref="M186">SUM(W40:AA40*BV40:BZ40-T40*BO40:BS40)</f>
        <v>0</v>
      </c>
      <c r="N186" s="3" t="s">
        <v>56</v>
      </c>
      <c r="O186" s="3">
        <v>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1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 ht="15.6" x14ac:dyDescent="0.3">
      <c r="A187" s="12"/>
      <c r="B187" s="3"/>
      <c r="C187" s="35">
        <f t="shared" si="40"/>
        <v>1</v>
      </c>
      <c r="D187" s="34" t="s">
        <v>56</v>
      </c>
      <c r="E187" s="3">
        <v>1</v>
      </c>
      <c r="F187" s="3"/>
      <c r="G187" s="3"/>
      <c r="H187" s="3" cm="1">
        <f t="array" ref="H187">SUM(W41:AA41*BV41:BZ41-Q41*BO41:BS41)</f>
        <v>7</v>
      </c>
      <c r="I187" s="3" t="s">
        <v>57</v>
      </c>
      <c r="J187" s="3">
        <v>0</v>
      </c>
      <c r="K187" s="3"/>
      <c r="L187" s="3"/>
      <c r="M187" s="3" cm="1">
        <f t="array" ref="M187">SUM(W41:AA41*BV41:BZ41-T41*BO41:BS41)</f>
        <v>-4</v>
      </c>
      <c r="N187" s="3" t="s">
        <v>56</v>
      </c>
      <c r="O187" s="3">
        <v>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1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 ht="15.6" x14ac:dyDescent="0.3">
      <c r="A188" s="12"/>
      <c r="B188" s="3"/>
      <c r="C188" s="35">
        <f t="shared" si="40"/>
        <v>1</v>
      </c>
      <c r="D188" s="34" t="s">
        <v>56</v>
      </c>
      <c r="E188" s="3">
        <v>1</v>
      </c>
      <c r="F188" s="3"/>
      <c r="G188" s="3"/>
      <c r="H188" s="3" cm="1">
        <f t="array" ref="H188">SUM(W42:AA42*BV42:BZ42-Q42*BO42:BS42)</f>
        <v>13</v>
      </c>
      <c r="I188" s="3" t="s">
        <v>57</v>
      </c>
      <c r="J188" s="3">
        <v>0</v>
      </c>
      <c r="K188" s="3"/>
      <c r="L188" s="3"/>
      <c r="M188" s="3" cm="1">
        <f t="array" ref="M188">SUM(W42:AA42*BV42:BZ42-T42*BO42:BS42)</f>
        <v>-3</v>
      </c>
      <c r="N188" s="3" t="s">
        <v>56</v>
      </c>
      <c r="O188" s="3">
        <v>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1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 ht="15.6" x14ac:dyDescent="0.3">
      <c r="A189" s="12"/>
      <c r="B189" s="3"/>
      <c r="C189" s="35">
        <f t="shared" si="40"/>
        <v>1</v>
      </c>
      <c r="D189" s="34" t="s">
        <v>56</v>
      </c>
      <c r="E189" s="3">
        <v>1</v>
      </c>
      <c r="F189" s="3"/>
      <c r="G189" s="3"/>
      <c r="H189" s="3" cm="1">
        <f t="array" ref="H189">SUM(W43:AA43*BV43:BZ43-Q43*BO43:BS43)</f>
        <v>2</v>
      </c>
      <c r="I189" s="3" t="s">
        <v>57</v>
      </c>
      <c r="J189" s="3">
        <v>0</v>
      </c>
      <c r="K189" s="3"/>
      <c r="L189" s="3"/>
      <c r="M189" s="3" cm="1">
        <f t="array" ref="M189">SUM(W43:AA43*BV43:BZ43-T43*BO43:BS43)</f>
        <v>-11</v>
      </c>
      <c r="N189" s="3" t="s">
        <v>56</v>
      </c>
      <c r="O189" s="3">
        <v>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1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 ht="15.6" x14ac:dyDescent="0.3">
      <c r="A190" s="12"/>
      <c r="B190" s="3"/>
      <c r="C190" s="35">
        <f t="shared" si="40"/>
        <v>1</v>
      </c>
      <c r="D190" s="34" t="s">
        <v>56</v>
      </c>
      <c r="E190" s="3">
        <v>1</v>
      </c>
      <c r="F190" s="3"/>
      <c r="G190" s="3"/>
      <c r="H190" s="3" cm="1">
        <f t="array" ref="H190">SUM(W44:AA44*BV44:BZ44-Q44*BO44:BS44)</f>
        <v>10</v>
      </c>
      <c r="I190" s="3" t="s">
        <v>57</v>
      </c>
      <c r="J190" s="3">
        <v>0</v>
      </c>
      <c r="K190" s="3"/>
      <c r="L190" s="3"/>
      <c r="M190" s="3" cm="1">
        <f t="array" ref="M190">SUM(W44:AA44*BV44:BZ44-T44*BO44:BS44)</f>
        <v>-10</v>
      </c>
      <c r="N190" s="3" t="s">
        <v>56</v>
      </c>
      <c r="O190" s="3">
        <v>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1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 ht="15.6" x14ac:dyDescent="0.3">
      <c r="A191" s="12"/>
      <c r="B191" s="3"/>
      <c r="C191" s="35">
        <f t="shared" si="40"/>
        <v>1</v>
      </c>
      <c r="D191" s="34" t="s">
        <v>56</v>
      </c>
      <c r="E191" s="3">
        <v>1</v>
      </c>
      <c r="F191" s="3"/>
      <c r="G191" s="3"/>
      <c r="H191" s="3" cm="1">
        <f t="array" ref="H191">SUM(W45:AA45*BV45:BZ45-Q45*BO45:BS45)</f>
        <v>15</v>
      </c>
      <c r="I191" s="3" t="s">
        <v>57</v>
      </c>
      <c r="J191" s="3">
        <v>0</v>
      </c>
      <c r="K191" s="3"/>
      <c r="L191" s="3"/>
      <c r="M191" s="3" cm="1">
        <f t="array" ref="M191">SUM(W45:AA45*BV45:BZ45-T45*BO45:BS45)</f>
        <v>-8</v>
      </c>
      <c r="N191" s="3" t="s">
        <v>56</v>
      </c>
      <c r="O191" s="3">
        <v>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1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 ht="15.6" x14ac:dyDescent="0.3">
      <c r="A192" s="12"/>
      <c r="B192" s="3"/>
      <c r="C192" s="35">
        <f t="shared" si="40"/>
        <v>1</v>
      </c>
      <c r="D192" s="34" t="s">
        <v>56</v>
      </c>
      <c r="E192" s="3">
        <v>1</v>
      </c>
      <c r="F192" s="3"/>
      <c r="G192" s="3"/>
      <c r="H192" s="3" cm="1">
        <f t="array" ref="H192">SUM(W46:AA46*BV46:BZ46-Q46*BO46:BS46)</f>
        <v>7</v>
      </c>
      <c r="I192" s="3" t="s">
        <v>57</v>
      </c>
      <c r="J192" s="3">
        <v>0</v>
      </c>
      <c r="K192" s="3"/>
      <c r="L192" s="3"/>
      <c r="M192" s="3" cm="1">
        <f t="array" ref="M192">SUM(W46:AA46*BV46:BZ46-T46*BO46:BS46)</f>
        <v>-8</v>
      </c>
      <c r="N192" s="3" t="s">
        <v>56</v>
      </c>
      <c r="O192" s="3">
        <v>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1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 ht="15.6" x14ac:dyDescent="0.3">
      <c r="A193" s="12"/>
      <c r="B193" s="3"/>
      <c r="C193" s="35">
        <f t="shared" si="40"/>
        <v>1</v>
      </c>
      <c r="D193" s="34" t="s">
        <v>56</v>
      </c>
      <c r="E193" s="3">
        <v>1</v>
      </c>
      <c r="F193" s="3"/>
      <c r="G193" s="3"/>
      <c r="H193" s="3" cm="1">
        <f t="array" ref="H193">SUM(W47:AA47*BV47:BZ47-Q47*BO47:BS47)</f>
        <v>14</v>
      </c>
      <c r="I193" s="3" t="s">
        <v>57</v>
      </c>
      <c r="J193" s="3">
        <v>0</v>
      </c>
      <c r="K193" s="3"/>
      <c r="L193" s="3"/>
      <c r="M193" s="3" cm="1">
        <f t="array" ref="M193">SUM(W47:AA47*BV47:BZ47-T47*BO47:BS47)</f>
        <v>-2</v>
      </c>
      <c r="N193" s="3" t="s">
        <v>56</v>
      </c>
      <c r="O193" s="3">
        <v>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1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 ht="15.6" x14ac:dyDescent="0.3">
      <c r="A194" s="12"/>
      <c r="B194" s="3"/>
      <c r="C194" s="35">
        <f t="shared" si="40"/>
        <v>0</v>
      </c>
      <c r="D194" s="34" t="s">
        <v>56</v>
      </c>
      <c r="E194" s="3">
        <v>1</v>
      </c>
      <c r="F194" s="3"/>
      <c r="G194" s="3"/>
      <c r="H194" s="3" cm="1">
        <f t="array" ref="H194">SUM(W48:AA48*BV48:BZ48-Q48*BO48:BS48)</f>
        <v>0</v>
      </c>
      <c r="I194" s="3" t="s">
        <v>57</v>
      </c>
      <c r="J194" s="3">
        <v>0</v>
      </c>
      <c r="K194" s="3"/>
      <c r="L194" s="3"/>
      <c r="M194" s="3" cm="1">
        <f t="array" ref="M194">SUM(W48:AA48*BV48:BZ48-T48*BO48:BS48)</f>
        <v>0</v>
      </c>
      <c r="N194" s="3" t="s">
        <v>56</v>
      </c>
      <c r="O194" s="3">
        <v>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1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 ht="15.6" x14ac:dyDescent="0.3">
      <c r="A195" s="12"/>
      <c r="B195" s="3"/>
      <c r="C195" s="35">
        <f t="shared" si="40"/>
        <v>1</v>
      </c>
      <c r="D195" s="34" t="s">
        <v>56</v>
      </c>
      <c r="E195" s="3">
        <v>1</v>
      </c>
      <c r="F195" s="3"/>
      <c r="G195" s="3"/>
      <c r="H195" s="3" cm="1">
        <f t="array" ref="H195">SUM(W49:AA49*BV49:BZ49-Q49*BO49:BS49)</f>
        <v>10</v>
      </c>
      <c r="I195" s="3" t="s">
        <v>57</v>
      </c>
      <c r="J195" s="3">
        <v>0</v>
      </c>
      <c r="K195" s="3"/>
      <c r="L195" s="3"/>
      <c r="M195" s="3" cm="1">
        <f t="array" ref="M195">SUM(W49:AA49*BV49:BZ49-T49*BO49:BS49)</f>
        <v>-10</v>
      </c>
      <c r="N195" s="3" t="s">
        <v>56</v>
      </c>
      <c r="O195" s="3">
        <v>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1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 ht="15.6" x14ac:dyDescent="0.3">
      <c r="A196" s="12"/>
      <c r="B196" s="3"/>
      <c r="C196" s="35">
        <f t="shared" si="40"/>
        <v>1</v>
      </c>
      <c r="D196" s="34" t="s">
        <v>56</v>
      </c>
      <c r="E196" s="3">
        <v>1</v>
      </c>
      <c r="F196" s="3"/>
      <c r="G196" s="3"/>
      <c r="H196" s="3" cm="1">
        <f t="array" ref="H196">SUM(W50:AA50*BV50:BZ50-Q50*BO50:BS50)</f>
        <v>8</v>
      </c>
      <c r="I196" s="3" t="s">
        <v>57</v>
      </c>
      <c r="J196" s="3">
        <v>0</v>
      </c>
      <c r="K196" s="3"/>
      <c r="L196" s="3"/>
      <c r="M196" s="3" cm="1">
        <f t="array" ref="M196">SUM(W50:AA50*BV50:BZ50-T50*BO50:BS50)</f>
        <v>-10</v>
      </c>
      <c r="N196" s="3" t="s">
        <v>56</v>
      </c>
      <c r="O196" s="3">
        <v>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1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 ht="15.6" x14ac:dyDescent="0.3">
      <c r="A197" s="12"/>
      <c r="B197" s="3"/>
      <c r="C197" s="35">
        <f t="shared" si="40"/>
        <v>0</v>
      </c>
      <c r="D197" s="34" t="s">
        <v>56</v>
      </c>
      <c r="E197" s="3">
        <v>1</v>
      </c>
      <c r="F197" s="3"/>
      <c r="G197" s="3"/>
      <c r="H197" s="3" cm="1">
        <f t="array" ref="H197">SUM(W51:AA51*BV51:BZ51-Q51*BO51:BS51)</f>
        <v>0</v>
      </c>
      <c r="I197" s="3" t="s">
        <v>57</v>
      </c>
      <c r="J197" s="3">
        <v>0</v>
      </c>
      <c r="K197" s="3"/>
      <c r="L197" s="3"/>
      <c r="M197" s="3" cm="1">
        <f t="array" ref="M197">SUM(W51:AA51*BV51:BZ51-T51*BO51:BS51)</f>
        <v>0</v>
      </c>
      <c r="N197" s="3" t="s">
        <v>56</v>
      </c>
      <c r="O197" s="3">
        <v>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1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 ht="15.6" x14ac:dyDescent="0.3">
      <c r="A198" s="12"/>
      <c r="B198" s="3"/>
      <c r="C198" s="35">
        <f t="shared" si="40"/>
        <v>1</v>
      </c>
      <c r="D198" s="34" t="s">
        <v>56</v>
      </c>
      <c r="E198" s="3">
        <v>1</v>
      </c>
      <c r="F198" s="3"/>
      <c r="G198" s="3"/>
      <c r="H198" s="3" cm="1">
        <f t="array" ref="H198">SUM(W52:AA52*BV52:BZ52-Q52*BO52:BS52)</f>
        <v>10</v>
      </c>
      <c r="I198" s="3" t="s">
        <v>57</v>
      </c>
      <c r="J198" s="3">
        <v>0</v>
      </c>
      <c r="K198" s="3"/>
      <c r="L198" s="3"/>
      <c r="M198" s="3" cm="1">
        <f t="array" ref="M198">SUM(W52:AA52*BV52:BZ52-T52*BO52:BS52)</f>
        <v>-8</v>
      </c>
      <c r="N198" s="3" t="s">
        <v>56</v>
      </c>
      <c r="O198" s="3">
        <v>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1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 ht="15.6" x14ac:dyDescent="0.3">
      <c r="A199" s="12"/>
      <c r="B199" s="3"/>
      <c r="C199" s="35">
        <f t="shared" si="40"/>
        <v>0</v>
      </c>
      <c r="D199" s="34" t="s">
        <v>56</v>
      </c>
      <c r="E199" s="3">
        <v>1</v>
      </c>
      <c r="F199" s="3"/>
      <c r="G199" s="3"/>
      <c r="H199" s="3" cm="1">
        <f t="array" ref="H199">SUM(W53:AA53*BV53:BZ53-Q53*BO53:BS53)</f>
        <v>0</v>
      </c>
      <c r="I199" s="3" t="s">
        <v>57</v>
      </c>
      <c r="J199" s="3">
        <v>0</v>
      </c>
      <c r="K199" s="3"/>
      <c r="L199" s="3"/>
      <c r="M199" s="3" cm="1">
        <f t="array" ref="M199">SUM(W53:AA53*BV53:BZ53-T53*BO53:BS53)</f>
        <v>0</v>
      </c>
      <c r="N199" s="3" t="s">
        <v>56</v>
      </c>
      <c r="O199" s="3">
        <v>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1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 ht="15.6" x14ac:dyDescent="0.3">
      <c r="A200" s="12"/>
      <c r="B200" s="3"/>
      <c r="C200" s="35">
        <f t="shared" si="40"/>
        <v>0</v>
      </c>
      <c r="D200" s="34" t="s">
        <v>56</v>
      </c>
      <c r="E200" s="3">
        <v>1</v>
      </c>
      <c r="F200" s="3"/>
      <c r="G200" s="3"/>
      <c r="H200" s="3" cm="1">
        <f t="array" ref="H200">SUM(W54:AA54*BV54:BZ54-Q54*BO54:BS54)</f>
        <v>0</v>
      </c>
      <c r="I200" s="3" t="s">
        <v>57</v>
      </c>
      <c r="J200" s="3">
        <v>0</v>
      </c>
      <c r="K200" s="3"/>
      <c r="L200" s="3"/>
      <c r="M200" s="3" cm="1">
        <f t="array" ref="M200">SUM(W54:AA54*BV54:BZ54-T54*BO54:BS54)</f>
        <v>0</v>
      </c>
      <c r="N200" s="3" t="s">
        <v>56</v>
      </c>
      <c r="O200" s="3">
        <v>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1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 ht="15.6" x14ac:dyDescent="0.3">
      <c r="A201" s="12"/>
      <c r="B201" s="3"/>
      <c r="C201" s="35">
        <f t="shared" si="40"/>
        <v>1</v>
      </c>
      <c r="D201" s="34" t="s">
        <v>56</v>
      </c>
      <c r="E201" s="3">
        <v>1</v>
      </c>
      <c r="F201" s="3"/>
      <c r="G201" s="3"/>
      <c r="H201" s="3" cm="1">
        <f t="array" ref="H201">SUM(W55:AA55*BV55:BZ55-Q55*BO55:BS55)</f>
        <v>0</v>
      </c>
      <c r="I201" s="3" t="s">
        <v>57</v>
      </c>
      <c r="J201" s="3">
        <v>0</v>
      </c>
      <c r="K201" s="3"/>
      <c r="L201" s="3"/>
      <c r="M201" s="3" cm="1">
        <f t="array" ref="M201">SUM(W55:AA55*BV55:BZ55-T55*BO55:BS55)</f>
        <v>-18</v>
      </c>
      <c r="N201" s="3" t="s">
        <v>56</v>
      </c>
      <c r="O201" s="3">
        <v>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1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 ht="15.6" x14ac:dyDescent="0.3">
      <c r="A202" s="12"/>
      <c r="B202" s="3"/>
      <c r="C202" s="35">
        <f t="shared" si="40"/>
        <v>1</v>
      </c>
      <c r="D202" s="34" t="s">
        <v>56</v>
      </c>
      <c r="E202" s="3">
        <v>1</v>
      </c>
      <c r="F202" s="3"/>
      <c r="G202" s="3"/>
      <c r="H202" s="3" cm="1">
        <f t="array" ref="H202">SUM(W56:AA56*BV56:BZ56-Q56*BO56:BS56)</f>
        <v>8</v>
      </c>
      <c r="I202" s="3" t="s">
        <v>57</v>
      </c>
      <c r="J202" s="3">
        <v>0</v>
      </c>
      <c r="K202" s="3"/>
      <c r="L202" s="3"/>
      <c r="M202" s="3" cm="1">
        <f t="array" ref="M202">SUM(W56:AA56*BV56:BZ56-T56*BO56:BS56)</f>
        <v>-12</v>
      </c>
      <c r="N202" s="3" t="s">
        <v>56</v>
      </c>
      <c r="O202" s="3">
        <v>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1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 ht="15.6" x14ac:dyDescent="0.3">
      <c r="A203" s="12"/>
      <c r="B203" s="3"/>
      <c r="C203" s="35">
        <f t="shared" si="40"/>
        <v>0</v>
      </c>
      <c r="D203" s="34" t="s">
        <v>56</v>
      </c>
      <c r="E203" s="3">
        <v>1</v>
      </c>
      <c r="F203" s="3"/>
      <c r="G203" s="3"/>
      <c r="H203" s="3" cm="1">
        <f t="array" ref="H203">SUM(W57:AA57*BV57:BZ57-Q57*BO57:BS57)</f>
        <v>0</v>
      </c>
      <c r="I203" s="3" t="s">
        <v>57</v>
      </c>
      <c r="J203" s="3">
        <v>0</v>
      </c>
      <c r="K203" s="3"/>
      <c r="L203" s="3"/>
      <c r="M203" s="3" cm="1">
        <f t="array" ref="M203">SUM(W57:AA57*BV57:BZ57-T57*BO57:BS57)</f>
        <v>0</v>
      </c>
      <c r="N203" s="3" t="s">
        <v>56</v>
      </c>
      <c r="O203" s="3">
        <v>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1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 ht="15.6" x14ac:dyDescent="0.3">
      <c r="A204" s="12"/>
      <c r="B204" s="3"/>
      <c r="C204" s="35">
        <f t="shared" si="40"/>
        <v>1</v>
      </c>
      <c r="D204" s="34" t="s">
        <v>56</v>
      </c>
      <c r="E204" s="3">
        <v>1</v>
      </c>
      <c r="F204" s="3"/>
      <c r="G204" s="3"/>
      <c r="H204" s="3" cm="1">
        <f t="array" ref="H204">SUM(W58:AA58*BV58:BZ58-Q58*BO58:BS58)</f>
        <v>12</v>
      </c>
      <c r="I204" s="3" t="s">
        <v>57</v>
      </c>
      <c r="J204" s="3">
        <v>0</v>
      </c>
      <c r="K204" s="3"/>
      <c r="L204" s="3"/>
      <c r="M204" s="3" cm="1">
        <f t="array" ref="M204">SUM(W58:AA58*BV58:BZ58-T58*BO58:BS58)</f>
        <v>-6</v>
      </c>
      <c r="N204" s="3" t="s">
        <v>56</v>
      </c>
      <c r="O204" s="3">
        <v>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1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 ht="15.6" x14ac:dyDescent="0.3">
      <c r="A205" s="12"/>
      <c r="B205" s="3"/>
      <c r="C205" s="35">
        <f t="shared" si="40"/>
        <v>0</v>
      </c>
      <c r="D205" s="34" t="s">
        <v>56</v>
      </c>
      <c r="E205" s="3">
        <v>1</v>
      </c>
      <c r="F205" s="3"/>
      <c r="G205" s="3"/>
      <c r="H205" s="3" cm="1">
        <f t="array" ref="H205">SUM(W59:AA59*BV59:BZ59-Q59*BO59:BS59)</f>
        <v>0</v>
      </c>
      <c r="I205" s="3" t="s">
        <v>57</v>
      </c>
      <c r="J205" s="3">
        <v>0</v>
      </c>
      <c r="K205" s="3"/>
      <c r="L205" s="3"/>
      <c r="M205" s="3" cm="1">
        <f t="array" ref="M205">SUM(W59:AA59*BV59:BZ59-T59*BO59:BS59)</f>
        <v>0</v>
      </c>
      <c r="N205" s="3" t="s">
        <v>56</v>
      </c>
      <c r="O205" s="3">
        <v>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1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 ht="15.6" x14ac:dyDescent="0.3">
      <c r="A206" s="12"/>
      <c r="B206" s="3"/>
      <c r="C206" s="35">
        <f t="shared" si="40"/>
        <v>0</v>
      </c>
      <c r="D206" s="34" t="s">
        <v>56</v>
      </c>
      <c r="E206" s="3">
        <v>1</v>
      </c>
      <c r="F206" s="3"/>
      <c r="G206" s="3"/>
      <c r="H206" s="3" cm="1">
        <f t="array" ref="H206">SUM(W60:AA60*BV60:BZ60-Q60*BO60:BS60)</f>
        <v>0</v>
      </c>
      <c r="I206" s="3" t="s">
        <v>57</v>
      </c>
      <c r="J206" s="3">
        <v>0</v>
      </c>
      <c r="K206" s="3"/>
      <c r="L206" s="3"/>
      <c r="M206" s="3" cm="1">
        <f t="array" ref="M206">SUM(W60:AA60*BV60:BZ60-T60*BO60:BS60)</f>
        <v>0</v>
      </c>
      <c r="N206" s="3" t="s">
        <v>56</v>
      </c>
      <c r="O206" s="3">
        <v>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1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 ht="15.6" x14ac:dyDescent="0.3">
      <c r="A207" s="12"/>
      <c r="B207" s="3"/>
      <c r="C207" s="35">
        <f t="shared" si="40"/>
        <v>1</v>
      </c>
      <c r="D207" s="34" t="s">
        <v>56</v>
      </c>
      <c r="E207" s="3">
        <v>1</v>
      </c>
      <c r="F207" s="3"/>
      <c r="G207" s="3"/>
      <c r="H207" s="3" cm="1">
        <f t="array" ref="H207">SUM(W61:AA61*BV61:BZ61-Q61*BO61:BS61)</f>
        <v>14</v>
      </c>
      <c r="I207" s="3" t="s">
        <v>57</v>
      </c>
      <c r="J207" s="3">
        <v>0</v>
      </c>
      <c r="K207" s="3"/>
      <c r="L207" s="3"/>
      <c r="M207" s="3" cm="1">
        <f t="array" ref="M207">SUM(W61:AA61*BV61:BZ61-T61*BO61:BS61)</f>
        <v>-7</v>
      </c>
      <c r="N207" s="3" t="s">
        <v>56</v>
      </c>
      <c r="O207" s="3">
        <v>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1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 ht="15.6" x14ac:dyDescent="0.3">
      <c r="A208" s="12"/>
      <c r="B208" s="3"/>
      <c r="C208" s="35">
        <f t="shared" si="40"/>
        <v>1</v>
      </c>
      <c r="D208" s="34" t="s">
        <v>56</v>
      </c>
      <c r="E208" s="3">
        <v>1</v>
      </c>
      <c r="F208" s="3"/>
      <c r="G208" s="3"/>
      <c r="H208" s="3" cm="1">
        <f t="array" ref="H208">SUM(W62:AA62*BV62:BZ62-Q62*BO62:BS62)</f>
        <v>7</v>
      </c>
      <c r="I208" s="3" t="s">
        <v>57</v>
      </c>
      <c r="J208" s="3">
        <v>0</v>
      </c>
      <c r="K208" s="3"/>
      <c r="L208" s="3"/>
      <c r="M208" s="3" cm="1">
        <f t="array" ref="M208">SUM(W62:AA62*BV62:BZ62-T62*BO62:BS62)</f>
        <v>-12</v>
      </c>
      <c r="N208" s="3" t="s">
        <v>56</v>
      </c>
      <c r="O208" s="3">
        <v>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1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 ht="15.6" x14ac:dyDescent="0.3">
      <c r="A209" s="12"/>
      <c r="B209" s="3"/>
      <c r="C209" s="35">
        <f t="shared" si="40"/>
        <v>1</v>
      </c>
      <c r="D209" s="34" t="s">
        <v>56</v>
      </c>
      <c r="E209" s="3">
        <v>1</v>
      </c>
      <c r="F209" s="3"/>
      <c r="G209" s="3"/>
      <c r="H209" s="3" cm="1">
        <f t="array" ref="H209">SUM(W63:AA63*BV63:BZ63-Q63*BO63:BS63)</f>
        <v>2</v>
      </c>
      <c r="I209" s="3" t="s">
        <v>57</v>
      </c>
      <c r="J209" s="3">
        <v>0</v>
      </c>
      <c r="K209" s="3"/>
      <c r="L209" s="3"/>
      <c r="M209" s="3" cm="1">
        <f t="array" ref="M209">SUM(W63:AA63*BV63:BZ63-T63*BO63:BS63)</f>
        <v>-10</v>
      </c>
      <c r="N209" s="3" t="s">
        <v>56</v>
      </c>
      <c r="O209" s="3">
        <v>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1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 ht="15.6" x14ac:dyDescent="0.3">
      <c r="A210" s="12"/>
      <c r="B210" s="3"/>
      <c r="C210" s="35">
        <f t="shared" si="40"/>
        <v>1</v>
      </c>
      <c r="D210" s="34" t="s">
        <v>56</v>
      </c>
      <c r="E210" s="3">
        <v>1</v>
      </c>
      <c r="F210" s="3"/>
      <c r="G210" s="3"/>
      <c r="H210" s="3" cm="1">
        <f t="array" ref="H210">SUM(W64:AA64*BV64:BZ64-Q64*BO64:BS64)</f>
        <v>10</v>
      </c>
      <c r="I210" s="3" t="s">
        <v>57</v>
      </c>
      <c r="J210" s="3">
        <v>0</v>
      </c>
      <c r="K210" s="3"/>
      <c r="L210" s="3"/>
      <c r="M210" s="3" cm="1">
        <f t="array" ref="M210">SUM(W64:AA64*BV64:BZ64-T64*BO64:BS64)</f>
        <v>-13</v>
      </c>
      <c r="N210" s="3" t="s">
        <v>56</v>
      </c>
      <c r="O210" s="3">
        <v>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1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 ht="15.6" x14ac:dyDescent="0.3">
      <c r="A211" s="12"/>
      <c r="B211" s="3"/>
      <c r="C211" s="35">
        <f t="shared" si="40"/>
        <v>1</v>
      </c>
      <c r="D211" s="34" t="s">
        <v>56</v>
      </c>
      <c r="E211" s="3">
        <v>1</v>
      </c>
      <c r="F211" s="3"/>
      <c r="G211" s="3"/>
      <c r="H211" s="3" cm="1">
        <f t="array" ref="H211">SUM(W65:AA65*BV65:BZ65-Q65*BO65:BS65)</f>
        <v>3</v>
      </c>
      <c r="I211" s="3" t="s">
        <v>57</v>
      </c>
      <c r="J211" s="3">
        <v>0</v>
      </c>
      <c r="K211" s="3"/>
      <c r="L211" s="3"/>
      <c r="M211" s="3" cm="1">
        <f t="array" ref="M211">SUM(W65:AA65*BV65:BZ65-T65*BO65:BS65)</f>
        <v>-15</v>
      </c>
      <c r="N211" s="3" t="s">
        <v>56</v>
      </c>
      <c r="O211" s="3">
        <v>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1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 ht="15.6" x14ac:dyDescent="0.3">
      <c r="A212" s="12"/>
      <c r="B212" s="3"/>
      <c r="C212" s="35">
        <f t="shared" si="40"/>
        <v>0</v>
      </c>
      <c r="D212" s="34" t="s">
        <v>56</v>
      </c>
      <c r="E212" s="3">
        <v>1</v>
      </c>
      <c r="F212" s="3"/>
      <c r="G212" s="3"/>
      <c r="H212" s="3" cm="1">
        <f t="array" ref="H212">SUM(W66:AA66*BV66:BZ66-Q66*BO66:BS66)</f>
        <v>0</v>
      </c>
      <c r="I212" s="3" t="s">
        <v>57</v>
      </c>
      <c r="J212" s="3">
        <v>0</v>
      </c>
      <c r="K212" s="3"/>
      <c r="L212" s="3"/>
      <c r="M212" s="3" cm="1">
        <f t="array" ref="M212">SUM(W66:AA66*BV66:BZ66-T66*BO66:BS66)</f>
        <v>0</v>
      </c>
      <c r="N212" s="3" t="s">
        <v>56</v>
      </c>
      <c r="O212" s="3">
        <v>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1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 ht="15.6" x14ac:dyDescent="0.3">
      <c r="A213" s="12"/>
      <c r="B213" s="3"/>
      <c r="C213" s="35">
        <f t="shared" si="40"/>
        <v>0</v>
      </c>
      <c r="D213" s="34" t="s">
        <v>56</v>
      </c>
      <c r="E213" s="3">
        <v>1</v>
      </c>
      <c r="F213" s="3"/>
      <c r="G213" s="3"/>
      <c r="H213" s="3" cm="1">
        <f t="array" ref="H213">SUM(W67:AA67*BV67:BZ67-Q67*BO67:BS67)</f>
        <v>0</v>
      </c>
      <c r="I213" s="3" t="s">
        <v>57</v>
      </c>
      <c r="J213" s="3">
        <v>0</v>
      </c>
      <c r="K213" s="3"/>
      <c r="L213" s="3"/>
      <c r="M213" s="3" cm="1">
        <f t="array" ref="M213">SUM(W67:AA67*BV67:BZ67-T67*BO67:BS67)</f>
        <v>0</v>
      </c>
      <c r="N213" s="3" t="s">
        <v>56</v>
      </c>
      <c r="O213" s="3">
        <v>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1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 ht="15.6" x14ac:dyDescent="0.3">
      <c r="A214" s="12"/>
      <c r="B214" s="3"/>
      <c r="C214" s="35">
        <f t="shared" ref="C214:C248" si="41">SUM(AL68:AP68,AS68:AW68,AZ68:BD68,BG68:BK68)</f>
        <v>0</v>
      </c>
      <c r="D214" s="34" t="s">
        <v>56</v>
      </c>
      <c r="E214" s="3">
        <v>1</v>
      </c>
      <c r="F214" s="3"/>
      <c r="G214" s="3"/>
      <c r="H214" s="3" cm="1">
        <f t="array" ref="H214">SUM(W68:AA68*BV68:BZ68-Q68*BO68:BS68)</f>
        <v>0</v>
      </c>
      <c r="I214" s="3" t="s">
        <v>57</v>
      </c>
      <c r="J214" s="3">
        <v>0</v>
      </c>
      <c r="K214" s="3"/>
      <c r="L214" s="3"/>
      <c r="M214" s="3" cm="1">
        <f t="array" ref="M214">SUM(W68:AA68*BV68:BZ68-T68*BO68:BS68)</f>
        <v>0</v>
      </c>
      <c r="N214" s="3" t="s">
        <v>56</v>
      </c>
      <c r="O214" s="3">
        <v>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1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 ht="15.6" x14ac:dyDescent="0.3">
      <c r="A215" s="12"/>
      <c r="B215" s="3"/>
      <c r="C215" s="35">
        <f t="shared" si="41"/>
        <v>0</v>
      </c>
      <c r="D215" s="34" t="s">
        <v>56</v>
      </c>
      <c r="E215" s="3">
        <v>1</v>
      </c>
      <c r="F215" s="3"/>
      <c r="G215" s="3"/>
      <c r="H215" s="3" cm="1">
        <f t="array" ref="H215">SUM(W69:AA69*BV69:BZ69-Q69*BO69:BS69)</f>
        <v>0</v>
      </c>
      <c r="I215" s="3" t="s">
        <v>57</v>
      </c>
      <c r="J215" s="3">
        <v>0</v>
      </c>
      <c r="K215" s="3"/>
      <c r="L215" s="3"/>
      <c r="M215" s="3" cm="1">
        <f t="array" ref="M215">SUM(W69:AA69*BV69:BZ69-T69*BO69:BS69)</f>
        <v>0</v>
      </c>
      <c r="N215" s="3" t="s">
        <v>56</v>
      </c>
      <c r="O215" s="3">
        <v>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1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 ht="15.6" x14ac:dyDescent="0.3">
      <c r="A216" s="12"/>
      <c r="B216" s="3"/>
      <c r="C216" s="35">
        <f t="shared" si="41"/>
        <v>0</v>
      </c>
      <c r="D216" s="34" t="s">
        <v>56</v>
      </c>
      <c r="E216" s="3">
        <v>1</v>
      </c>
      <c r="F216" s="3"/>
      <c r="G216" s="3"/>
      <c r="H216" s="3" cm="1">
        <f t="array" ref="H216">SUM(W70:AA70*BV70:BZ70-Q70*BO70:BS70)</f>
        <v>0</v>
      </c>
      <c r="I216" s="3" t="s">
        <v>57</v>
      </c>
      <c r="J216" s="3">
        <v>0</v>
      </c>
      <c r="K216" s="3"/>
      <c r="L216" s="3"/>
      <c r="M216" s="3" cm="1">
        <f t="array" ref="M216">SUM(W70:AA70*BV70:BZ70-T70*BO70:BS70)</f>
        <v>0</v>
      </c>
      <c r="N216" s="3" t="s">
        <v>56</v>
      </c>
      <c r="O216" s="3">
        <v>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1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 ht="15.6" x14ac:dyDescent="0.3">
      <c r="A217" s="12"/>
      <c r="B217" s="3"/>
      <c r="C217" s="35">
        <f t="shared" si="41"/>
        <v>0</v>
      </c>
      <c r="D217" s="34" t="s">
        <v>56</v>
      </c>
      <c r="E217" s="3">
        <v>1</v>
      </c>
      <c r="F217" s="3"/>
      <c r="G217" s="3"/>
      <c r="H217" s="3" cm="1">
        <f t="array" ref="H217">SUM(W71:AA71*BV71:BZ71-Q71*BO71:BS71)</f>
        <v>0</v>
      </c>
      <c r="I217" s="3" t="s">
        <v>57</v>
      </c>
      <c r="J217" s="3">
        <v>0</v>
      </c>
      <c r="K217" s="3"/>
      <c r="L217" s="3"/>
      <c r="M217" s="3" cm="1">
        <f t="array" ref="M217">SUM(W71:AA71*BV71:BZ71-T71*BO71:BS71)</f>
        <v>0</v>
      </c>
      <c r="N217" s="3" t="s">
        <v>56</v>
      </c>
      <c r="O217" s="3">
        <v>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1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 ht="15.6" x14ac:dyDescent="0.3">
      <c r="A218" s="12"/>
      <c r="B218" s="3"/>
      <c r="C218" s="35">
        <f t="shared" si="41"/>
        <v>0</v>
      </c>
      <c r="D218" s="34" t="s">
        <v>56</v>
      </c>
      <c r="E218" s="3">
        <v>1</v>
      </c>
      <c r="F218" s="3"/>
      <c r="G218" s="3"/>
      <c r="H218" s="3" cm="1">
        <f t="array" ref="H218">SUM(W72:AA72*BV72:BZ72-Q72*BO72:BS72)</f>
        <v>0</v>
      </c>
      <c r="I218" s="3" t="s">
        <v>57</v>
      </c>
      <c r="J218" s="3">
        <v>0</v>
      </c>
      <c r="K218" s="3"/>
      <c r="L218" s="3"/>
      <c r="M218" s="3" cm="1">
        <f t="array" ref="M218">SUM(W72:AA72*BV72:BZ72-T72*BO72:BS72)</f>
        <v>0</v>
      </c>
      <c r="N218" s="3" t="s">
        <v>56</v>
      </c>
      <c r="O218" s="3">
        <v>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1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 ht="15.6" x14ac:dyDescent="0.3">
      <c r="A219" s="12"/>
      <c r="B219" s="3"/>
      <c r="C219" s="35">
        <f t="shared" si="41"/>
        <v>0</v>
      </c>
      <c r="D219" s="34" t="s">
        <v>56</v>
      </c>
      <c r="E219" s="3">
        <v>1</v>
      </c>
      <c r="F219" s="3"/>
      <c r="G219" s="3"/>
      <c r="H219" s="3" cm="1">
        <f t="array" ref="H219">SUM(W73:AA73*BV73:BZ73-Q73*BO73:BS73)</f>
        <v>0</v>
      </c>
      <c r="I219" s="3" t="s">
        <v>57</v>
      </c>
      <c r="J219" s="3">
        <v>0</v>
      </c>
      <c r="K219" s="3"/>
      <c r="L219" s="3"/>
      <c r="M219" s="3" cm="1">
        <f t="array" ref="M219">SUM(W73:AA73*BV73:BZ73-T73*BO73:BS73)</f>
        <v>0</v>
      </c>
      <c r="N219" s="3" t="s">
        <v>56</v>
      </c>
      <c r="O219" s="3">
        <v>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1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 ht="15.6" x14ac:dyDescent="0.3">
      <c r="A220" s="12"/>
      <c r="B220" s="3"/>
      <c r="C220" s="35">
        <f t="shared" si="41"/>
        <v>0</v>
      </c>
      <c r="D220" s="34" t="s">
        <v>56</v>
      </c>
      <c r="E220" s="3">
        <v>1</v>
      </c>
      <c r="F220" s="3"/>
      <c r="G220" s="3"/>
      <c r="H220" s="3" cm="1">
        <f t="array" ref="H220">SUM(W74:AA74*BV74:BZ74-Q74*BO74:BS74)</f>
        <v>0</v>
      </c>
      <c r="I220" s="3" t="s">
        <v>57</v>
      </c>
      <c r="J220" s="3">
        <v>0</v>
      </c>
      <c r="K220" s="3"/>
      <c r="L220" s="3"/>
      <c r="M220" s="3" cm="1">
        <f t="array" ref="M220">SUM(W74:AA74*BV74:BZ74-T74*BO74:BS74)</f>
        <v>0</v>
      </c>
      <c r="N220" s="3" t="s">
        <v>56</v>
      </c>
      <c r="O220" s="3">
        <v>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1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 ht="15.6" x14ac:dyDescent="0.3">
      <c r="A221" s="12"/>
      <c r="B221" s="3"/>
      <c r="C221" s="35">
        <f t="shared" si="41"/>
        <v>1</v>
      </c>
      <c r="D221" s="34" t="s">
        <v>56</v>
      </c>
      <c r="E221" s="3">
        <v>1</v>
      </c>
      <c r="F221" s="3"/>
      <c r="G221" s="3"/>
      <c r="H221" s="3" cm="1">
        <f t="array" ref="H221">SUM(W75:AA75*BV75:BZ75-Q75*BO75:BS75)</f>
        <v>8</v>
      </c>
      <c r="I221" s="3" t="s">
        <v>57</v>
      </c>
      <c r="J221" s="3">
        <v>0</v>
      </c>
      <c r="K221" s="3"/>
      <c r="L221" s="3"/>
      <c r="M221" s="3" cm="1">
        <f t="array" ref="M221">SUM(W75:AA75*BV75:BZ75-T75*BO75:BS75)</f>
        <v>-12</v>
      </c>
      <c r="N221" s="3" t="s">
        <v>56</v>
      </c>
      <c r="O221" s="3">
        <v>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1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 ht="15.6" x14ac:dyDescent="0.3">
      <c r="A222" s="12"/>
      <c r="B222" s="3"/>
      <c r="C222" s="35">
        <f t="shared" si="41"/>
        <v>1</v>
      </c>
      <c r="D222" s="34" t="s">
        <v>56</v>
      </c>
      <c r="E222" s="3">
        <v>1</v>
      </c>
      <c r="F222" s="3"/>
      <c r="G222" s="3"/>
      <c r="H222" s="3" cm="1">
        <f t="array" ref="H222">SUM(W76:AA76*BV76:BZ76-Q76*BO76:BS76)</f>
        <v>10</v>
      </c>
      <c r="I222" s="3" t="s">
        <v>57</v>
      </c>
      <c r="J222" s="3">
        <v>0</v>
      </c>
      <c r="K222" s="3"/>
      <c r="L222" s="3"/>
      <c r="M222" s="3" cm="1">
        <f t="array" ref="M222">SUM(W76:AA76*BV76:BZ76-T76*BO76:BS76)</f>
        <v>-8</v>
      </c>
      <c r="N222" s="3" t="s">
        <v>56</v>
      </c>
      <c r="O222" s="3">
        <v>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1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 ht="15.6" x14ac:dyDescent="0.3">
      <c r="A223" s="12"/>
      <c r="B223" s="3"/>
      <c r="C223" s="35">
        <f t="shared" si="41"/>
        <v>0</v>
      </c>
      <c r="D223" s="34" t="s">
        <v>56</v>
      </c>
      <c r="E223" s="3">
        <v>1</v>
      </c>
      <c r="F223" s="3"/>
      <c r="G223" s="3"/>
      <c r="H223" s="3" cm="1">
        <f t="array" ref="H223">SUM(W77:AA77*BV77:BZ77-Q77*BO77:BS77)</f>
        <v>0</v>
      </c>
      <c r="I223" s="3" t="s">
        <v>57</v>
      </c>
      <c r="J223" s="3">
        <v>0</v>
      </c>
      <c r="K223" s="3"/>
      <c r="L223" s="3"/>
      <c r="M223" s="3" cm="1">
        <f t="array" ref="M223">SUM(W77:AA77*BV77:BZ77-T77*BO77:BS77)</f>
        <v>0</v>
      </c>
      <c r="N223" s="3" t="s">
        <v>56</v>
      </c>
      <c r="O223" s="3">
        <v>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1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 ht="15.6" x14ac:dyDescent="0.3">
      <c r="A224" s="12"/>
      <c r="B224" s="3"/>
      <c r="C224" s="35">
        <f t="shared" si="41"/>
        <v>0</v>
      </c>
      <c r="D224" s="34" t="s">
        <v>56</v>
      </c>
      <c r="E224" s="3">
        <v>1</v>
      </c>
      <c r="F224" s="3"/>
      <c r="G224" s="3"/>
      <c r="H224" s="3" cm="1">
        <f t="array" ref="H224">SUM(W78:AA78*BV78:BZ78-Q78*BO78:BS78)</f>
        <v>0</v>
      </c>
      <c r="I224" s="3" t="s">
        <v>57</v>
      </c>
      <c r="J224" s="3">
        <v>0</v>
      </c>
      <c r="K224" s="3"/>
      <c r="L224" s="3"/>
      <c r="M224" s="3" cm="1">
        <f t="array" ref="M224">SUM(W78:AA78*BV78:BZ78-T78*BO78:BS78)</f>
        <v>0</v>
      </c>
      <c r="N224" s="3" t="s">
        <v>56</v>
      </c>
      <c r="O224" s="3">
        <v>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1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 ht="15.6" x14ac:dyDescent="0.3">
      <c r="A225" s="12"/>
      <c r="B225" s="3"/>
      <c r="C225" s="35">
        <f t="shared" si="41"/>
        <v>0</v>
      </c>
      <c r="D225" s="34" t="s">
        <v>56</v>
      </c>
      <c r="E225" s="3">
        <v>1</v>
      </c>
      <c r="F225" s="3"/>
      <c r="G225" s="3"/>
      <c r="H225" s="3" cm="1">
        <f t="array" ref="H225">SUM(W79:AA79*BV79:BZ79-Q79*BO79:BS79)</f>
        <v>0</v>
      </c>
      <c r="I225" s="3" t="s">
        <v>57</v>
      </c>
      <c r="J225" s="3">
        <v>0</v>
      </c>
      <c r="K225" s="3"/>
      <c r="L225" s="3"/>
      <c r="M225" s="3" cm="1">
        <f t="array" ref="M225">SUM(W79:AA79*BV79:BZ79-T79*BO79:BS79)</f>
        <v>0</v>
      </c>
      <c r="N225" s="3" t="s">
        <v>56</v>
      </c>
      <c r="O225" s="3">
        <v>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1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 ht="15.6" x14ac:dyDescent="0.3">
      <c r="A226" s="12"/>
      <c r="B226" s="3"/>
      <c r="C226" s="35">
        <f t="shared" si="41"/>
        <v>0</v>
      </c>
      <c r="D226" s="34" t="s">
        <v>56</v>
      </c>
      <c r="E226" s="3">
        <v>1</v>
      </c>
      <c r="F226" s="3"/>
      <c r="G226" s="3"/>
      <c r="H226" s="3" cm="1">
        <f t="array" ref="H226">SUM(W80:AA80*BV80:BZ80-Q80*BO80:BS80)</f>
        <v>0</v>
      </c>
      <c r="I226" s="3" t="s">
        <v>57</v>
      </c>
      <c r="J226" s="3">
        <v>0</v>
      </c>
      <c r="K226" s="3"/>
      <c r="L226" s="3"/>
      <c r="M226" s="3" cm="1">
        <f t="array" ref="M226">SUM(W80:AA80*BV80:BZ80-T80*BO80:BS80)</f>
        <v>0</v>
      </c>
      <c r="N226" s="3" t="s">
        <v>56</v>
      </c>
      <c r="O226" s="3">
        <v>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1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 ht="15.6" x14ac:dyDescent="0.3">
      <c r="A227" s="12"/>
      <c r="B227" s="3"/>
      <c r="C227" s="35">
        <f t="shared" si="41"/>
        <v>0</v>
      </c>
      <c r="D227" s="34" t="s">
        <v>56</v>
      </c>
      <c r="E227" s="3">
        <v>1</v>
      </c>
      <c r="F227" s="3"/>
      <c r="G227" s="3"/>
      <c r="H227" s="3" cm="1">
        <f t="array" ref="H227">SUM(W81:AA81*BV81:BZ81-Q81*BO81:BS81)</f>
        <v>0</v>
      </c>
      <c r="I227" s="3" t="s">
        <v>57</v>
      </c>
      <c r="J227" s="3">
        <v>0</v>
      </c>
      <c r="K227" s="3"/>
      <c r="L227" s="3"/>
      <c r="M227" s="3" cm="1">
        <f t="array" ref="M227">SUM(W81:AA81*BV81:BZ81-T81*BO81:BS81)</f>
        <v>0</v>
      </c>
      <c r="N227" s="3" t="s">
        <v>56</v>
      </c>
      <c r="O227" s="3">
        <v>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1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 ht="15.6" x14ac:dyDescent="0.3">
      <c r="A228" s="12"/>
      <c r="B228" s="3"/>
      <c r="C228" s="35">
        <f t="shared" si="41"/>
        <v>0</v>
      </c>
      <c r="D228" s="34" t="s">
        <v>56</v>
      </c>
      <c r="E228" s="3">
        <v>1</v>
      </c>
      <c r="F228" s="3"/>
      <c r="G228" s="3"/>
      <c r="H228" s="3" cm="1">
        <f t="array" ref="H228">SUM(W82:AA82*BV82:BZ82-Q82*BO82:BS82)</f>
        <v>0</v>
      </c>
      <c r="I228" s="3" t="s">
        <v>57</v>
      </c>
      <c r="J228" s="3">
        <v>0</v>
      </c>
      <c r="K228" s="3"/>
      <c r="L228" s="3"/>
      <c r="M228" s="3" cm="1">
        <f t="array" ref="M228">SUM(W82:AA82*BV82:BZ82-T82*BO82:BS82)</f>
        <v>0</v>
      </c>
      <c r="N228" s="3" t="s">
        <v>56</v>
      </c>
      <c r="O228" s="3">
        <v>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1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 ht="15.6" x14ac:dyDescent="0.3">
      <c r="A229" s="12"/>
      <c r="B229" s="3"/>
      <c r="C229" s="35">
        <f t="shared" si="41"/>
        <v>1</v>
      </c>
      <c r="D229" s="34" t="s">
        <v>56</v>
      </c>
      <c r="E229" s="3">
        <v>1</v>
      </c>
      <c r="F229" s="3"/>
      <c r="G229" s="3"/>
      <c r="H229" s="3" cm="1">
        <f t="array" ref="H229">SUM(W83:AA83*BV83:BZ83-Q83*BO83:BS83)</f>
        <v>7</v>
      </c>
      <c r="I229" s="3" t="s">
        <v>57</v>
      </c>
      <c r="J229" s="3">
        <v>0</v>
      </c>
      <c r="K229" s="3"/>
      <c r="L229" s="3"/>
      <c r="M229" s="3" cm="1">
        <f t="array" ref="M229">SUM(W83:AA83*BV83:BZ83-T83*BO83:BS83)</f>
        <v>-15</v>
      </c>
      <c r="N229" s="3" t="s">
        <v>56</v>
      </c>
      <c r="O229" s="3">
        <v>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1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 ht="15.6" x14ac:dyDescent="0.3">
      <c r="A230" s="12"/>
      <c r="B230" s="3"/>
      <c r="C230" s="35">
        <f t="shared" si="41"/>
        <v>0</v>
      </c>
      <c r="D230" s="34" t="s">
        <v>56</v>
      </c>
      <c r="E230" s="3">
        <v>1</v>
      </c>
      <c r="F230" s="3"/>
      <c r="G230" s="3"/>
      <c r="H230" s="3" cm="1">
        <f t="array" ref="H230">SUM(W84:AA84*BV84:BZ84-Q84*BO84:BS84)</f>
        <v>0</v>
      </c>
      <c r="I230" s="3" t="s">
        <v>57</v>
      </c>
      <c r="J230" s="3">
        <v>0</v>
      </c>
      <c r="K230" s="3"/>
      <c r="L230" s="3"/>
      <c r="M230" s="3" cm="1">
        <f t="array" ref="M230">SUM(W84:AA84*BV84:BZ84-T84*BO84:BS84)</f>
        <v>0</v>
      </c>
      <c r="N230" s="3" t="s">
        <v>56</v>
      </c>
      <c r="O230" s="3">
        <v>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1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 ht="15.6" x14ac:dyDescent="0.3">
      <c r="A231" s="12"/>
      <c r="B231" s="3"/>
      <c r="C231" s="35">
        <f t="shared" si="41"/>
        <v>1</v>
      </c>
      <c r="D231" s="34" t="s">
        <v>56</v>
      </c>
      <c r="E231" s="3">
        <v>1</v>
      </c>
      <c r="F231" s="3"/>
      <c r="G231" s="3"/>
      <c r="H231" s="3" cm="1">
        <f t="array" ref="H231">SUM(W85:AA85*BV85:BZ85-Q85*BO85:BS85)</f>
        <v>13</v>
      </c>
      <c r="I231" s="3" t="s">
        <v>57</v>
      </c>
      <c r="J231" s="3">
        <v>0</v>
      </c>
      <c r="K231" s="3"/>
      <c r="L231" s="3"/>
      <c r="M231" s="3" cm="1">
        <f t="array" ref="M231">SUM(W85:AA85*BV85:BZ85-T85*BO85:BS85)</f>
        <v>-4</v>
      </c>
      <c r="N231" s="3" t="s">
        <v>56</v>
      </c>
      <c r="O231" s="3">
        <v>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1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 ht="15.6" x14ac:dyDescent="0.3">
      <c r="A232" s="12"/>
      <c r="B232" s="3"/>
      <c r="C232" s="35">
        <f t="shared" si="41"/>
        <v>1</v>
      </c>
      <c r="D232" s="34" t="s">
        <v>56</v>
      </c>
      <c r="E232" s="3">
        <v>1</v>
      </c>
      <c r="F232" s="3"/>
      <c r="G232" s="3"/>
      <c r="H232" s="3" cm="1">
        <f t="array" ref="H232">SUM(W86:AA86*BV86:BZ86-Q86*BO86:BS86)</f>
        <v>11</v>
      </c>
      <c r="I232" s="3" t="s">
        <v>57</v>
      </c>
      <c r="J232" s="3">
        <v>0</v>
      </c>
      <c r="K232" s="3"/>
      <c r="L232" s="3"/>
      <c r="M232" s="3" cm="1">
        <f t="array" ref="M232">SUM(W86:AA86*BV86:BZ86-T86*BO86:BS86)</f>
        <v>0</v>
      </c>
      <c r="N232" s="3" t="s">
        <v>56</v>
      </c>
      <c r="O232" s="3">
        <v>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1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 ht="15.6" x14ac:dyDescent="0.3">
      <c r="A233" s="12"/>
      <c r="B233" s="3"/>
      <c r="C233" s="35">
        <f t="shared" si="41"/>
        <v>0</v>
      </c>
      <c r="D233" s="34" t="s">
        <v>56</v>
      </c>
      <c r="E233" s="3">
        <v>1</v>
      </c>
      <c r="F233" s="3"/>
      <c r="G233" s="3"/>
      <c r="H233" s="3" cm="1">
        <f t="array" ref="H233">SUM(W87:AA87*BV87:BZ87-Q87*BO87:BS87)</f>
        <v>0</v>
      </c>
      <c r="I233" s="3" t="s">
        <v>57</v>
      </c>
      <c r="J233" s="3">
        <v>0</v>
      </c>
      <c r="K233" s="3"/>
      <c r="L233" s="3"/>
      <c r="M233" s="3" cm="1">
        <f t="array" ref="M233">SUM(W87:AA87*BV87:BZ87-T87*BO87:BS87)</f>
        <v>0</v>
      </c>
      <c r="N233" s="3" t="s">
        <v>56</v>
      </c>
      <c r="O233" s="3">
        <v>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1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 ht="15.6" x14ac:dyDescent="0.3">
      <c r="A234" s="12"/>
      <c r="B234" s="3"/>
      <c r="C234" s="35">
        <f t="shared" si="41"/>
        <v>0</v>
      </c>
      <c r="D234" s="34" t="s">
        <v>56</v>
      </c>
      <c r="E234" s="3">
        <v>1</v>
      </c>
      <c r="F234" s="3"/>
      <c r="G234" s="3"/>
      <c r="H234" s="3" cm="1">
        <f t="array" ref="H234">SUM(W88:AA88*BV88:BZ88-Q88*BO88:BS88)</f>
        <v>0</v>
      </c>
      <c r="I234" s="3" t="s">
        <v>57</v>
      </c>
      <c r="J234" s="3">
        <v>0</v>
      </c>
      <c r="K234" s="3"/>
      <c r="L234" s="3"/>
      <c r="M234" s="3" cm="1">
        <f t="array" ref="M234">SUM(W88:AA88*BV88:BZ88-T88*BO88:BS88)</f>
        <v>0</v>
      </c>
      <c r="N234" s="3" t="s">
        <v>56</v>
      </c>
      <c r="O234" s="3">
        <v>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1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 ht="15.6" x14ac:dyDescent="0.3">
      <c r="A235" s="12"/>
      <c r="B235" s="3"/>
      <c r="C235" s="35">
        <f t="shared" si="41"/>
        <v>0</v>
      </c>
      <c r="D235" s="34" t="s">
        <v>56</v>
      </c>
      <c r="E235" s="3">
        <v>1</v>
      </c>
      <c r="F235" s="3"/>
      <c r="G235" s="3"/>
      <c r="H235" s="3" cm="1">
        <f t="array" ref="H235">SUM(W89:AA89*BV89:BZ89-Q89*BO89:BS89)</f>
        <v>0</v>
      </c>
      <c r="I235" s="3" t="s">
        <v>57</v>
      </c>
      <c r="J235" s="3">
        <v>0</v>
      </c>
      <c r="K235" s="3"/>
      <c r="L235" s="3"/>
      <c r="M235" s="3" cm="1">
        <f t="array" ref="M235">SUM(W89:AA89*BV89:BZ89-T89*BO89:BS89)</f>
        <v>0</v>
      </c>
      <c r="N235" s="3" t="s">
        <v>56</v>
      </c>
      <c r="O235" s="3">
        <v>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1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 ht="15.6" x14ac:dyDescent="0.3">
      <c r="A236" s="12"/>
      <c r="B236" s="3"/>
      <c r="C236" s="35">
        <f t="shared" si="41"/>
        <v>1</v>
      </c>
      <c r="D236" s="34" t="s">
        <v>56</v>
      </c>
      <c r="E236" s="3">
        <v>1</v>
      </c>
      <c r="F236" s="3"/>
      <c r="G236" s="3"/>
      <c r="H236" s="3" cm="1">
        <f t="array" ref="H236">SUM(W90:AA90*BV90:BZ90-Q90*BO90:BS90)</f>
        <v>5</v>
      </c>
      <c r="I236" s="3" t="s">
        <v>57</v>
      </c>
      <c r="J236" s="3">
        <v>0</v>
      </c>
      <c r="K236" s="3"/>
      <c r="L236" s="3"/>
      <c r="M236" s="3" cm="1">
        <f t="array" ref="M236">SUM(W90:AA90*BV90:BZ90-T90*BO90:BS90)</f>
        <v>-7</v>
      </c>
      <c r="N236" s="3" t="s">
        <v>56</v>
      </c>
      <c r="O236" s="3">
        <v>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1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 ht="15.6" x14ac:dyDescent="0.3">
      <c r="A237" s="12"/>
      <c r="B237" s="3"/>
      <c r="C237" s="35">
        <f t="shared" si="41"/>
        <v>0</v>
      </c>
      <c r="D237" s="34" t="s">
        <v>56</v>
      </c>
      <c r="E237" s="3">
        <v>1</v>
      </c>
      <c r="F237" s="3"/>
      <c r="G237" s="3"/>
      <c r="H237" s="3" cm="1">
        <f t="array" ref="H237">SUM(W91:AA91*BV91:BZ91-Q91*BO91:BS91)</f>
        <v>0</v>
      </c>
      <c r="I237" s="3" t="s">
        <v>57</v>
      </c>
      <c r="J237" s="3">
        <v>0</v>
      </c>
      <c r="K237" s="3"/>
      <c r="L237" s="3"/>
      <c r="M237" s="3" cm="1">
        <f t="array" ref="M237">SUM(W91:AA91*BV91:BZ91-T91*BO91:BS91)</f>
        <v>0</v>
      </c>
      <c r="N237" s="3" t="s">
        <v>56</v>
      </c>
      <c r="O237" s="3">
        <v>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1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 ht="15.6" x14ac:dyDescent="0.3">
      <c r="A238" s="12"/>
      <c r="B238" s="3"/>
      <c r="C238" s="35">
        <f t="shared" si="41"/>
        <v>0</v>
      </c>
      <c r="D238" s="34" t="s">
        <v>56</v>
      </c>
      <c r="E238" s="3">
        <v>1</v>
      </c>
      <c r="F238" s="3"/>
      <c r="G238" s="3"/>
      <c r="H238" s="3" cm="1">
        <f t="array" ref="H238">SUM(W92:AA92*BV92:BZ92-Q92*BO92:BS92)</f>
        <v>0</v>
      </c>
      <c r="I238" s="3" t="s">
        <v>57</v>
      </c>
      <c r="J238" s="3">
        <v>0</v>
      </c>
      <c r="K238" s="3"/>
      <c r="L238" s="3"/>
      <c r="M238" s="3" cm="1">
        <f t="array" ref="M238">SUM(W92:AA92*BV92:BZ92-T92*BO92:BS92)</f>
        <v>0</v>
      </c>
      <c r="N238" s="3" t="s">
        <v>56</v>
      </c>
      <c r="O238" s="3">
        <v>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1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 ht="15.6" x14ac:dyDescent="0.3">
      <c r="A239" s="12"/>
      <c r="B239" s="3"/>
      <c r="C239" s="35">
        <f t="shared" si="41"/>
        <v>0</v>
      </c>
      <c r="D239" s="34" t="s">
        <v>56</v>
      </c>
      <c r="E239" s="3">
        <v>1</v>
      </c>
      <c r="F239" s="3"/>
      <c r="G239" s="3"/>
      <c r="H239" s="3" cm="1">
        <f t="array" ref="H239">SUM(W93:AA93*BV93:BZ93-Q93*BO93:BS93)</f>
        <v>0</v>
      </c>
      <c r="I239" s="3" t="s">
        <v>57</v>
      </c>
      <c r="J239" s="3">
        <v>0</v>
      </c>
      <c r="K239" s="3"/>
      <c r="L239" s="3"/>
      <c r="M239" s="3" cm="1">
        <f t="array" ref="M239">SUM(W93:AA93*BV93:BZ93-T93*BO93:BS93)</f>
        <v>0</v>
      </c>
      <c r="N239" s="3" t="s">
        <v>56</v>
      </c>
      <c r="O239" s="3">
        <v>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1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1:57" ht="15.6" x14ac:dyDescent="0.3">
      <c r="A240" s="12"/>
      <c r="B240" s="3"/>
      <c r="C240" s="35">
        <f t="shared" si="41"/>
        <v>1</v>
      </c>
      <c r="D240" s="34" t="s">
        <v>56</v>
      </c>
      <c r="E240" s="3">
        <v>1</v>
      </c>
      <c r="F240" s="3"/>
      <c r="G240" s="3"/>
      <c r="H240" s="3" cm="1">
        <f t="array" ref="H240">SUM(W94:AA94*BV94:BZ94-Q94*BO94:BS94)</f>
        <v>7</v>
      </c>
      <c r="I240" s="3" t="s">
        <v>57</v>
      </c>
      <c r="J240" s="3">
        <v>0</v>
      </c>
      <c r="K240" s="3"/>
      <c r="L240" s="3"/>
      <c r="M240" s="3" cm="1">
        <f t="array" ref="M240">SUM(W94:AA94*BV94:BZ94-T94*BO94:BS94)</f>
        <v>-6</v>
      </c>
      <c r="N240" s="3" t="s">
        <v>56</v>
      </c>
      <c r="O240" s="3">
        <v>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1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 ht="15.6" x14ac:dyDescent="0.3">
      <c r="A241" s="12"/>
      <c r="B241" s="3"/>
      <c r="C241" s="35">
        <f t="shared" si="41"/>
        <v>1</v>
      </c>
      <c r="D241" s="34" t="s">
        <v>56</v>
      </c>
      <c r="E241" s="3">
        <v>1</v>
      </c>
      <c r="F241" s="3"/>
      <c r="G241" s="3"/>
      <c r="H241" s="3" cm="1">
        <f t="array" ref="H241">SUM(W95:AA95*BV95:BZ95-Q95*BO95:BS95)</f>
        <v>1</v>
      </c>
      <c r="I241" s="3" t="s">
        <v>57</v>
      </c>
      <c r="J241" s="3">
        <v>0</v>
      </c>
      <c r="K241" s="3"/>
      <c r="L241" s="3"/>
      <c r="M241" s="3" cm="1">
        <f t="array" ref="M241">SUM(W95:AA95*BV95:BZ95-T95*BO95:BS95)</f>
        <v>-19</v>
      </c>
      <c r="N241" s="3" t="s">
        <v>56</v>
      </c>
      <c r="O241" s="3">
        <v>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1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 ht="15.6" x14ac:dyDescent="0.3">
      <c r="A242" s="12"/>
      <c r="B242" s="3"/>
      <c r="C242" s="35">
        <f t="shared" si="41"/>
        <v>1</v>
      </c>
      <c r="D242" s="34" t="s">
        <v>56</v>
      </c>
      <c r="E242" s="3">
        <v>1</v>
      </c>
      <c r="F242" s="3"/>
      <c r="G242" s="3"/>
      <c r="H242" s="3" cm="1">
        <f t="array" ref="H242">SUM(W96:AA96*BV96:BZ96-Q96*BO96:BS96)</f>
        <v>11</v>
      </c>
      <c r="I242" s="3" t="s">
        <v>57</v>
      </c>
      <c r="J242" s="3">
        <v>0</v>
      </c>
      <c r="K242" s="3"/>
      <c r="L242" s="3"/>
      <c r="M242" s="3" cm="1">
        <f t="array" ref="M242">SUM(W96:AA96*BV96:BZ96-T96*BO96:BS96)</f>
        <v>-4</v>
      </c>
      <c r="N242" s="3" t="s">
        <v>56</v>
      </c>
      <c r="O242" s="3">
        <v>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1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 ht="15.6" x14ac:dyDescent="0.3">
      <c r="A243" s="12"/>
      <c r="B243" s="3"/>
      <c r="C243" s="35">
        <f t="shared" si="41"/>
        <v>0</v>
      </c>
      <c r="D243" s="34" t="s">
        <v>56</v>
      </c>
      <c r="E243" s="3">
        <v>1</v>
      </c>
      <c r="F243" s="3"/>
      <c r="G243" s="3"/>
      <c r="H243" s="3" cm="1">
        <f t="array" ref="H243">SUM(W97:AA97*BV97:BZ97-Q97*BO97:BS97)</f>
        <v>0</v>
      </c>
      <c r="I243" s="3" t="s">
        <v>57</v>
      </c>
      <c r="J243" s="3">
        <v>0</v>
      </c>
      <c r="K243" s="3"/>
      <c r="L243" s="3"/>
      <c r="M243" s="3" cm="1">
        <f t="array" ref="M243">SUM(W97:AA97*BV97:BZ97-T97*BO97:BS97)</f>
        <v>0</v>
      </c>
      <c r="N243" s="3" t="s">
        <v>56</v>
      </c>
      <c r="O243" s="3">
        <v>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1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 ht="15.6" x14ac:dyDescent="0.3">
      <c r="A244" s="12"/>
      <c r="B244" s="3"/>
      <c r="C244" s="35">
        <f t="shared" si="41"/>
        <v>0</v>
      </c>
      <c r="D244" s="34" t="s">
        <v>56</v>
      </c>
      <c r="E244" s="3">
        <v>1</v>
      </c>
      <c r="F244" s="3"/>
      <c r="G244" s="3"/>
      <c r="H244" s="3" cm="1">
        <f t="array" ref="H244">SUM(W98:AA98*BV98:BZ98-Q98*BO98:BS98)</f>
        <v>0</v>
      </c>
      <c r="I244" s="3" t="s">
        <v>57</v>
      </c>
      <c r="J244" s="3">
        <v>0</v>
      </c>
      <c r="K244" s="3"/>
      <c r="L244" s="3"/>
      <c r="M244" s="3" cm="1">
        <f t="array" ref="M244">SUM(W98:AA98*BV98:BZ98-T98*BO98:BS98)</f>
        <v>0</v>
      </c>
      <c r="N244" s="3" t="s">
        <v>56</v>
      </c>
      <c r="O244" s="3">
        <v>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1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 ht="15.6" x14ac:dyDescent="0.3">
      <c r="A245" s="12"/>
      <c r="B245" s="3"/>
      <c r="C245" s="35">
        <f t="shared" si="41"/>
        <v>1</v>
      </c>
      <c r="D245" s="34" t="s">
        <v>56</v>
      </c>
      <c r="E245" s="3">
        <v>1</v>
      </c>
      <c r="F245" s="3"/>
      <c r="G245" s="3"/>
      <c r="H245" s="3" cm="1">
        <f t="array" ref="H245">SUM(W99:AA99*BV99:BZ99-Q99*BO99:BS99)</f>
        <v>0</v>
      </c>
      <c r="I245" s="3" t="s">
        <v>57</v>
      </c>
      <c r="J245" s="3">
        <v>0</v>
      </c>
      <c r="K245" s="3"/>
      <c r="L245" s="3"/>
      <c r="M245" s="3" cm="1">
        <f t="array" ref="M245">SUM(W99:AA99*BV99:BZ99-T99*BO99:BS99)</f>
        <v>-12</v>
      </c>
      <c r="N245" s="3" t="s">
        <v>56</v>
      </c>
      <c r="O245" s="3">
        <v>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1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 ht="15.6" x14ac:dyDescent="0.3">
      <c r="A246" s="12"/>
      <c r="B246" s="3"/>
      <c r="C246" s="35">
        <f t="shared" si="41"/>
        <v>0</v>
      </c>
      <c r="D246" s="34" t="s">
        <v>56</v>
      </c>
      <c r="E246" s="3">
        <v>1</v>
      </c>
      <c r="F246" s="3"/>
      <c r="G246" s="3"/>
      <c r="H246" s="3" cm="1">
        <f t="array" ref="H246">SUM(W100:AA100*BV100:BZ100-Q100*BO100:BS100)</f>
        <v>0</v>
      </c>
      <c r="I246" s="3" t="s">
        <v>57</v>
      </c>
      <c r="J246" s="3">
        <v>0</v>
      </c>
      <c r="K246" s="3"/>
      <c r="L246" s="3"/>
      <c r="M246" s="3" cm="1">
        <f t="array" ref="M246">SUM(W100:AA100*BV100:BZ100-T100*BO100:BS100)</f>
        <v>0</v>
      </c>
      <c r="N246" s="3" t="s">
        <v>56</v>
      </c>
      <c r="O246" s="3">
        <v>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1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 ht="15.6" x14ac:dyDescent="0.3">
      <c r="A247" s="12"/>
      <c r="B247" s="3"/>
      <c r="C247" s="35">
        <f t="shared" si="41"/>
        <v>1</v>
      </c>
      <c r="D247" s="34" t="s">
        <v>56</v>
      </c>
      <c r="E247" s="3">
        <v>1</v>
      </c>
      <c r="F247" s="3"/>
      <c r="G247" s="3"/>
      <c r="H247" s="3" cm="1">
        <f t="array" ref="H247">SUM(W101:AA101*BV101:BZ101-Q101*BO101:BS101)</f>
        <v>2</v>
      </c>
      <c r="I247" s="3" t="s">
        <v>57</v>
      </c>
      <c r="J247" s="3">
        <v>0</v>
      </c>
      <c r="K247" s="3"/>
      <c r="L247" s="3"/>
      <c r="M247" s="3" cm="1">
        <f t="array" ref="M247">SUM(W101:AA101*BV101:BZ101-T101*BO101:BS101)</f>
        <v>-21</v>
      </c>
      <c r="N247" s="3" t="s">
        <v>56</v>
      </c>
      <c r="O247" s="3">
        <v>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1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 ht="15.6" x14ac:dyDescent="0.3">
      <c r="A248" s="12"/>
      <c r="B248" s="3"/>
      <c r="C248" s="35">
        <f t="shared" si="41"/>
        <v>0</v>
      </c>
      <c r="D248" s="34" t="s">
        <v>56</v>
      </c>
      <c r="E248" s="3">
        <v>1</v>
      </c>
      <c r="F248" s="3"/>
      <c r="G248" s="3"/>
      <c r="H248" s="3" cm="1">
        <f t="array" ref="H248">SUM(W102:AA102*BV102:BZ102-Q102*BO102:BS102)</f>
        <v>0</v>
      </c>
      <c r="I248" s="3" t="s">
        <v>57</v>
      </c>
      <c r="J248" s="3">
        <v>0</v>
      </c>
      <c r="K248" s="3"/>
      <c r="L248" s="3"/>
      <c r="M248" s="3" cm="1">
        <f t="array" ref="M248">SUM(W102:AA102*BV102:BZ102-T102*BO102:BS102)</f>
        <v>0</v>
      </c>
      <c r="N248" s="3" t="s">
        <v>56</v>
      </c>
      <c r="O248" s="3">
        <v>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1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 x14ac:dyDescent="0.3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1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 x14ac:dyDescent="0.3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1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 ht="15" thickBot="1" x14ac:dyDescent="0.35">
      <c r="A251" s="19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1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135EB-555A-4DBB-B617-9287BFC67CC5}">
  <dimension ref="A1"/>
  <sheetViews>
    <sheetView workbookViewId="0">
      <selection activeCell="L12" sqref="L1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5AE9ACD61DF4581E288D29AF79FA4" ma:contentTypeVersion="2" ma:contentTypeDescription="Create a new document." ma:contentTypeScope="" ma:versionID="6fff2b9b3e9c3ef2196d5eeadb3d3d87">
  <xsd:schema xmlns:xsd="http://www.w3.org/2001/XMLSchema" xmlns:xs="http://www.w3.org/2001/XMLSchema" xmlns:p="http://schemas.microsoft.com/office/2006/metadata/properties" xmlns:ns3="b79073fe-1e48-4a97-9229-baaa8603d156" targetNamespace="http://schemas.microsoft.com/office/2006/metadata/properties" ma:root="true" ma:fieldsID="5b8355e74ffe6f2b4bc219cfa7e75ee0" ns3:_="">
    <xsd:import namespace="b79073fe-1e48-4a97-9229-baaa8603d1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073fe-1e48-4a97-9229-baaa8603d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02344C-1E31-48FD-A6C8-ABD6B7091C9E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79073fe-1e48-4a97-9229-baaa8603d15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7A0280-A8D5-4F9E-B36C-165EA1279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073fe-1e48-4a97-9229-baaa8603d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C69B3C-7444-495B-811E-575C2AEF0F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Sayfa1</vt:lpstr>
      <vt:lpstr>Sheet2</vt:lpstr>
    </vt:vector>
  </TitlesOfParts>
  <Company>METU Industrial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 Boran</dc:creator>
  <cp:lastModifiedBy>ersel hengrmen</cp:lastModifiedBy>
  <dcterms:created xsi:type="dcterms:W3CDTF">2020-12-17T10:25:54Z</dcterms:created>
  <dcterms:modified xsi:type="dcterms:W3CDTF">2021-01-12T23:00:26Z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0x010100ED75AE9ACD61DF4581E288D29AF79FA4</vt:lpwstr>
  </property>
</Properties>
</file>